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defaultThemeVersion="124226"/>
  <mc:AlternateContent xmlns:mc="http://schemas.openxmlformats.org/markup-compatibility/2006">
    <mc:Choice Requires="x15">
      <x15ac:absPath xmlns:x15ac="http://schemas.microsoft.com/office/spreadsheetml/2010/11/ac" url="https://d.docs.live.net/4CAEDD71AF6B7FB6/Documents/"/>
    </mc:Choice>
  </mc:AlternateContent>
  <xr:revisionPtr revIDLastSave="0" documentId="8_{98A35360-E2B7-419F-803D-15BB334A429A}" xr6:coauthVersionLast="47" xr6:coauthVersionMax="47" xr10:uidLastSave="{00000000-0000-0000-0000-000000000000}"/>
  <bookViews>
    <workbookView xWindow="-98" yWindow="-98" windowWidth="21795" windowHeight="13875" firstSheet="25" activeTab="27" xr2:uid="{00000000-000D-0000-FFFF-FFFF00000000}"/>
  </bookViews>
  <sheets>
    <sheet name="داشبورد محاسبگر" sheetId="1" r:id="rId1"/>
    <sheet name="Database" sheetId="2" r:id="rId2"/>
    <sheet name="Calculator" sheetId="3" r:id="rId3"/>
    <sheet name="Claude Log" sheetId="4" r:id="rId4"/>
    <sheet name="پمپ" sheetId="5" r:id="rId5"/>
    <sheet name="همزن" sheetId="6" r:id="rId6"/>
    <sheet name="Sheet1" sheetId="7" r:id="rId7"/>
    <sheet name="آشغالگیر" sheetId="8" r:id="rId8"/>
    <sheet name="بلوئر" sheetId="9" r:id="rId9"/>
    <sheet name="هواده" sheetId="10" r:id="rId10"/>
    <sheet name="دیفیوزر" sheetId="11" r:id="rId11"/>
    <sheet name="فیلتر پرس" sheetId="12" r:id="rId12"/>
    <sheet name="گندزدایی" sheetId="13" r:id="rId13"/>
    <sheet name="گراول فیلتر" sheetId="14" r:id="rId14"/>
    <sheet name="جرثقیل" sheetId="15" r:id="rId15"/>
    <sheet name="الکتروموتور" sheetId="16" r:id="rId16"/>
    <sheet name="فلومتر" sheetId="17" r:id="rId17"/>
    <sheet name=" شیرآلات فلزی" sheetId="18" r:id="rId18"/>
    <sheet name="شيرالات پلاستيكي" sheetId="19" r:id="rId19"/>
    <sheet name="کارهای فلزی" sheetId="20" r:id="rId20"/>
    <sheet name="استیل ویکتالیک" sheetId="21" r:id="rId21"/>
    <sheet name="عملگر برقی" sheetId="22" r:id="rId22"/>
    <sheet name="فیلتر و ممبران" sheetId="23" r:id="rId23"/>
    <sheet name="Sheet4" sheetId="24" r:id="rId24"/>
    <sheet name="تابع توانی قیمت-سایز" sheetId="25" r:id="rId25"/>
    <sheet name="فهرست مراجع" sheetId="26" r:id="rId26"/>
    <sheet name="رگرسیون لگاریتمی" sheetId="27" r:id="rId27"/>
    <sheet name="Smart_Dashboard_v2" sheetId="28" r:id="rId28"/>
    <sheet name="Econometric_Analysis" sheetId="29" r:id="rId29"/>
  </sheet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33" i="28" l="1"/>
  <c r="O133" i="28"/>
  <c r="N133" i="28"/>
  <c r="K133" i="28"/>
  <c r="J133" i="28"/>
  <c r="G133" i="28"/>
  <c r="F133" i="28"/>
  <c r="Q132" i="28"/>
  <c r="O132" i="28"/>
  <c r="N132" i="28"/>
  <c r="K132" i="28"/>
  <c r="J132" i="28"/>
  <c r="G132" i="28"/>
  <c r="F132" i="28"/>
  <c r="P132" i="28" s="1"/>
  <c r="R132" i="28" s="1"/>
  <c r="Q131" i="28"/>
  <c r="O131" i="28"/>
  <c r="N131" i="28"/>
  <c r="K131" i="28"/>
  <c r="J131" i="28"/>
  <c r="P131" i="28" s="1"/>
  <c r="R131" i="28" s="1"/>
  <c r="G131" i="28"/>
  <c r="F131" i="28"/>
  <c r="Q130" i="28"/>
  <c r="P130" i="28"/>
  <c r="R130" i="28" s="1"/>
  <c r="O130" i="28"/>
  <c r="N130" i="28"/>
  <c r="K130" i="28"/>
  <c r="J130" i="28"/>
  <c r="G130" i="28"/>
  <c r="F130" i="28"/>
  <c r="Q129" i="28"/>
  <c r="O129" i="28"/>
  <c r="N129" i="28"/>
  <c r="K129" i="28"/>
  <c r="J129" i="28"/>
  <c r="G129" i="28"/>
  <c r="F129" i="28"/>
  <c r="Q128" i="28"/>
  <c r="O128" i="28"/>
  <c r="N128" i="28"/>
  <c r="K128" i="28"/>
  <c r="J128" i="28"/>
  <c r="G128" i="28"/>
  <c r="F128" i="28"/>
  <c r="P128" i="28" s="1"/>
  <c r="R128" i="28" s="1"/>
  <c r="Q127" i="28"/>
  <c r="O127" i="28"/>
  <c r="N127" i="28"/>
  <c r="K127" i="28"/>
  <c r="J127" i="28"/>
  <c r="P127" i="28" s="1"/>
  <c r="R127" i="28" s="1"/>
  <c r="G127" i="28"/>
  <c r="F127" i="28"/>
  <c r="Q126" i="28"/>
  <c r="P126" i="28"/>
  <c r="R126" i="28" s="1"/>
  <c r="O126" i="28"/>
  <c r="N126" i="28"/>
  <c r="K126" i="28"/>
  <c r="J126" i="28"/>
  <c r="G126" i="28"/>
  <c r="F126" i="28"/>
  <c r="Q125" i="28"/>
  <c r="O125" i="28"/>
  <c r="N125" i="28"/>
  <c r="K125" i="28"/>
  <c r="J125" i="28"/>
  <c r="G125" i="28"/>
  <c r="F125" i="28"/>
  <c r="Q124" i="28"/>
  <c r="O124" i="28"/>
  <c r="N124" i="28"/>
  <c r="K124" i="28"/>
  <c r="J124" i="28"/>
  <c r="G124" i="28"/>
  <c r="F124" i="28"/>
  <c r="P124" i="28" s="1"/>
  <c r="R124" i="28" s="1"/>
  <c r="Q123" i="28"/>
  <c r="O123" i="28"/>
  <c r="N123" i="28"/>
  <c r="K123" i="28"/>
  <c r="J123" i="28"/>
  <c r="P123" i="28" s="1"/>
  <c r="R123" i="28" s="1"/>
  <c r="G123" i="28"/>
  <c r="F123" i="28"/>
  <c r="Q122" i="28"/>
  <c r="O122" i="28"/>
  <c r="N122" i="28"/>
  <c r="K122" i="28"/>
  <c r="J122" i="28"/>
  <c r="P122" i="28" s="1"/>
  <c r="R122" i="28" s="1"/>
  <c r="G122" i="28"/>
  <c r="F122" i="28"/>
  <c r="Q121" i="28"/>
  <c r="O121" i="28"/>
  <c r="N121" i="28"/>
  <c r="K121" i="28"/>
  <c r="J121" i="28"/>
  <c r="G121" i="28"/>
  <c r="F121" i="28"/>
  <c r="P121" i="28" s="1"/>
  <c r="R121" i="28" s="1"/>
  <c r="Q120" i="28"/>
  <c r="O120" i="28"/>
  <c r="N120" i="28"/>
  <c r="K120" i="28"/>
  <c r="J120" i="28"/>
  <c r="G120" i="28"/>
  <c r="F120" i="28"/>
  <c r="P120" i="28" s="1"/>
  <c r="R120" i="28" s="1"/>
  <c r="Q119" i="28"/>
  <c r="O119" i="28"/>
  <c r="N119" i="28"/>
  <c r="K119" i="28"/>
  <c r="J119" i="28"/>
  <c r="P119" i="28" s="1"/>
  <c r="R119" i="28" s="1"/>
  <c r="G119" i="28"/>
  <c r="F119" i="28"/>
  <c r="Q118" i="28"/>
  <c r="P118" i="28"/>
  <c r="R118" i="28" s="1"/>
  <c r="O118" i="28"/>
  <c r="N118" i="28"/>
  <c r="K118" i="28"/>
  <c r="J118" i="28"/>
  <c r="G118" i="28"/>
  <c r="F118" i="28"/>
  <c r="Q117" i="28"/>
  <c r="O117" i="28"/>
  <c r="N117" i="28"/>
  <c r="K117" i="28"/>
  <c r="J117" i="28"/>
  <c r="G117" i="28"/>
  <c r="F117" i="28"/>
  <c r="Q116" i="28"/>
  <c r="O116" i="28"/>
  <c r="N116" i="28"/>
  <c r="K116" i="28"/>
  <c r="J116" i="28"/>
  <c r="G116" i="28"/>
  <c r="F116" i="28"/>
  <c r="P116" i="28" s="1"/>
  <c r="R116" i="28" s="1"/>
  <c r="Q115" i="28"/>
  <c r="O115" i="28"/>
  <c r="N115" i="28"/>
  <c r="K115" i="28"/>
  <c r="J115" i="28"/>
  <c r="P115" i="28" s="1"/>
  <c r="R115" i="28" s="1"/>
  <c r="G115" i="28"/>
  <c r="F115" i="28"/>
  <c r="Q114" i="28"/>
  <c r="P114" i="28"/>
  <c r="R114" i="28" s="1"/>
  <c r="O114" i="28"/>
  <c r="N114" i="28"/>
  <c r="K114" i="28"/>
  <c r="J114" i="28"/>
  <c r="G114" i="28"/>
  <c r="F114" i="28"/>
  <c r="Q113" i="28"/>
  <c r="O113" i="28"/>
  <c r="N113" i="28"/>
  <c r="K113" i="28"/>
  <c r="J113" i="28"/>
  <c r="G113" i="28"/>
  <c r="F113" i="28"/>
  <c r="Q112" i="28"/>
  <c r="O112" i="28"/>
  <c r="N112" i="28"/>
  <c r="K112" i="28"/>
  <c r="J112" i="28"/>
  <c r="G112" i="28"/>
  <c r="F112" i="28"/>
  <c r="P112" i="28" s="1"/>
  <c r="R112" i="28" s="1"/>
  <c r="Q111" i="28"/>
  <c r="O111" i="28"/>
  <c r="N111" i="28"/>
  <c r="K111" i="28"/>
  <c r="J111" i="28"/>
  <c r="P111" i="28" s="1"/>
  <c r="R111" i="28" s="1"/>
  <c r="G111" i="28"/>
  <c r="F111" i="28"/>
  <c r="Q110" i="28"/>
  <c r="O110" i="28"/>
  <c r="N110" i="28"/>
  <c r="K110" i="28"/>
  <c r="J110" i="28"/>
  <c r="P110" i="28" s="1"/>
  <c r="R110" i="28" s="1"/>
  <c r="G110" i="28"/>
  <c r="F110" i="28"/>
  <c r="Q109" i="28"/>
  <c r="O109" i="28"/>
  <c r="N109" i="28"/>
  <c r="K109" i="28"/>
  <c r="J109" i="28"/>
  <c r="G109" i="28"/>
  <c r="F109" i="28"/>
  <c r="P109" i="28" s="1"/>
  <c r="R109" i="28" s="1"/>
  <c r="Q108" i="28"/>
  <c r="O108" i="28"/>
  <c r="N108" i="28"/>
  <c r="K108" i="28"/>
  <c r="J108" i="28"/>
  <c r="G108" i="28"/>
  <c r="F108" i="28"/>
  <c r="P108" i="28" s="1"/>
  <c r="R108" i="28" s="1"/>
  <c r="Q107" i="28"/>
  <c r="O107" i="28"/>
  <c r="N107" i="28"/>
  <c r="K107" i="28"/>
  <c r="J107" i="28"/>
  <c r="P107" i="28" s="1"/>
  <c r="R107" i="28" s="1"/>
  <c r="G107" i="28"/>
  <c r="F107" i="28"/>
  <c r="Q106" i="28"/>
  <c r="O106" i="28"/>
  <c r="N106" i="28"/>
  <c r="K106" i="28"/>
  <c r="J106" i="28"/>
  <c r="P106" i="28" s="1"/>
  <c r="R106" i="28" s="1"/>
  <c r="G106" i="28"/>
  <c r="F106" i="28"/>
  <c r="Q105" i="28"/>
  <c r="O105" i="28"/>
  <c r="N105" i="28"/>
  <c r="K105" i="28"/>
  <c r="J105" i="28"/>
  <c r="G105" i="28"/>
  <c r="F105" i="28"/>
  <c r="Q104" i="28"/>
  <c r="O104" i="28"/>
  <c r="N104" i="28"/>
  <c r="K104" i="28"/>
  <c r="J104" i="28"/>
  <c r="G104" i="28"/>
  <c r="F104" i="28"/>
  <c r="P104" i="28" s="1"/>
  <c r="R104" i="28" s="1"/>
  <c r="Q103" i="28"/>
  <c r="O103" i="28"/>
  <c r="N103" i="28"/>
  <c r="K103" i="28"/>
  <c r="J103" i="28"/>
  <c r="P103" i="28" s="1"/>
  <c r="R103" i="28" s="1"/>
  <c r="G103" i="28"/>
  <c r="F103" i="28"/>
  <c r="Q102" i="28"/>
  <c r="P102" i="28"/>
  <c r="R102" i="28" s="1"/>
  <c r="O102" i="28"/>
  <c r="N102" i="28"/>
  <c r="K102" i="28"/>
  <c r="J102" i="28"/>
  <c r="G102" i="28"/>
  <c r="F102" i="28"/>
  <c r="Q101" i="28"/>
  <c r="O101" i="28"/>
  <c r="N101" i="28"/>
  <c r="K101" i="28"/>
  <c r="J101" i="28"/>
  <c r="G101" i="28"/>
  <c r="F101" i="28"/>
  <c r="Q100" i="28"/>
  <c r="O100" i="28"/>
  <c r="N100" i="28"/>
  <c r="K100" i="28"/>
  <c r="J100" i="28"/>
  <c r="G100" i="28"/>
  <c r="F100" i="28"/>
  <c r="P100" i="28" s="1"/>
  <c r="R100" i="28" s="1"/>
  <c r="R99" i="28"/>
  <c r="Q99" i="28"/>
  <c r="P99" i="28"/>
  <c r="O99" i="28"/>
  <c r="N99" i="28"/>
  <c r="K99" i="28"/>
  <c r="J99" i="28"/>
  <c r="G99" i="28"/>
  <c r="F99" i="28"/>
  <c r="Q98" i="28"/>
  <c r="P98" i="28"/>
  <c r="R98" i="28" s="1"/>
  <c r="O98" i="28"/>
  <c r="N98" i="28"/>
  <c r="K98" i="28"/>
  <c r="J98" i="28"/>
  <c r="G98" i="28"/>
  <c r="F98" i="28"/>
  <c r="Q97" i="28"/>
  <c r="O97" i="28"/>
  <c r="N97" i="28"/>
  <c r="K97" i="28"/>
  <c r="J97" i="28"/>
  <c r="G97" i="28"/>
  <c r="F97" i="28"/>
  <c r="P97" i="28" s="1"/>
  <c r="R97" i="28" s="1"/>
  <c r="R96" i="28"/>
  <c r="Q96" i="28"/>
  <c r="P96" i="28"/>
  <c r="O96" i="28"/>
  <c r="N96" i="28"/>
  <c r="K96" i="28"/>
  <c r="J96" i="28"/>
  <c r="G96" i="28"/>
  <c r="F96" i="28"/>
  <c r="Q95" i="28"/>
  <c r="P95" i="28"/>
  <c r="R95" i="28" s="1"/>
  <c r="O95" i="28"/>
  <c r="N95" i="28"/>
  <c r="K95" i="28"/>
  <c r="J95" i="28"/>
  <c r="G95" i="28"/>
  <c r="F95" i="28"/>
  <c r="Q94" i="28"/>
  <c r="O94" i="28"/>
  <c r="N94" i="28"/>
  <c r="K94" i="28"/>
  <c r="J94" i="28"/>
  <c r="G94" i="28"/>
  <c r="F94" i="28"/>
  <c r="P94" i="28" s="1"/>
  <c r="R94" i="28" s="1"/>
  <c r="Q93" i="28"/>
  <c r="O93" i="28"/>
  <c r="N93" i="28"/>
  <c r="K93" i="28"/>
  <c r="J93" i="28"/>
  <c r="G93" i="28"/>
  <c r="F93" i="28"/>
  <c r="P93" i="28" s="1"/>
  <c r="R93" i="28" s="1"/>
  <c r="Q92" i="28"/>
  <c r="O92" i="28"/>
  <c r="N92" i="28"/>
  <c r="K92" i="28"/>
  <c r="J92" i="28"/>
  <c r="G92" i="28"/>
  <c r="F92" i="28"/>
  <c r="P92" i="28" s="1"/>
  <c r="R92" i="28" s="1"/>
  <c r="Q91" i="28"/>
  <c r="P91" i="28"/>
  <c r="R91" i="28" s="1"/>
  <c r="O91" i="28"/>
  <c r="N91" i="28"/>
  <c r="K91" i="28"/>
  <c r="J91" i="28"/>
  <c r="G91" i="28"/>
  <c r="F91" i="28"/>
  <c r="Q90" i="28"/>
  <c r="O90" i="28"/>
  <c r="N90" i="28"/>
  <c r="K90" i="28"/>
  <c r="J90" i="28"/>
  <c r="G90" i="28"/>
  <c r="F90" i="28"/>
  <c r="P90" i="28" s="1"/>
  <c r="R90" i="28" s="1"/>
  <c r="Q89" i="28"/>
  <c r="O89" i="28"/>
  <c r="N89" i="28"/>
  <c r="K89" i="28"/>
  <c r="J89" i="28"/>
  <c r="P89" i="28" s="1"/>
  <c r="R89" i="28" s="1"/>
  <c r="G89" i="28"/>
  <c r="F89" i="28"/>
  <c r="Q88" i="28"/>
  <c r="P88" i="28"/>
  <c r="R88" i="28" s="1"/>
  <c r="O88" i="28"/>
  <c r="N88" i="28"/>
  <c r="K88" i="28"/>
  <c r="J88" i="28"/>
  <c r="G88" i="28"/>
  <c r="F88" i="28"/>
  <c r="Q87" i="28"/>
  <c r="O87" i="28"/>
  <c r="N87" i="28"/>
  <c r="K87" i="28"/>
  <c r="J87" i="28"/>
  <c r="G87" i="28"/>
  <c r="F87" i="28"/>
  <c r="P87" i="28" s="1"/>
  <c r="R87" i="28" s="1"/>
  <c r="Q86" i="28"/>
  <c r="O86" i="28"/>
  <c r="N86" i="28"/>
  <c r="K86" i="28"/>
  <c r="J86" i="28"/>
  <c r="G86" i="28"/>
  <c r="F86" i="28"/>
  <c r="P86" i="28" s="1"/>
  <c r="R86" i="28" s="1"/>
  <c r="Q85" i="28"/>
  <c r="O85" i="28"/>
  <c r="N85" i="28"/>
  <c r="K85" i="28"/>
  <c r="J85" i="28"/>
  <c r="G85" i="28"/>
  <c r="F85" i="28"/>
  <c r="P85" i="28" s="1"/>
  <c r="R85" i="28" s="1"/>
  <c r="Q84" i="28"/>
  <c r="P84" i="28"/>
  <c r="R84" i="28" s="1"/>
  <c r="O84" i="28"/>
  <c r="N84" i="28"/>
  <c r="K84" i="28"/>
  <c r="J84" i="28"/>
  <c r="G84" i="28"/>
  <c r="F84" i="28"/>
  <c r="Q83" i="28"/>
  <c r="O83" i="28"/>
  <c r="N83" i="28"/>
  <c r="K83" i="28"/>
  <c r="J83" i="28"/>
  <c r="G83" i="28"/>
  <c r="F83" i="28"/>
  <c r="P83" i="28" s="1"/>
  <c r="R83" i="28" s="1"/>
  <c r="Q82" i="28"/>
  <c r="O82" i="28"/>
  <c r="N82" i="28"/>
  <c r="K82" i="28"/>
  <c r="J82" i="28"/>
  <c r="G82" i="28"/>
  <c r="F82" i="28"/>
  <c r="P82" i="28" s="1"/>
  <c r="R82" i="28" s="1"/>
  <c r="Q81" i="28"/>
  <c r="O81" i="28"/>
  <c r="N81" i="28"/>
  <c r="K81" i="28"/>
  <c r="J81" i="28"/>
  <c r="G81" i="28"/>
  <c r="F81" i="28"/>
  <c r="P81" i="28" s="1"/>
  <c r="R81" i="28" s="1"/>
  <c r="Q80" i="28"/>
  <c r="P80" i="28"/>
  <c r="R80" i="28" s="1"/>
  <c r="O80" i="28"/>
  <c r="N80" i="28"/>
  <c r="K80" i="28"/>
  <c r="J80" i="28"/>
  <c r="G80" i="28"/>
  <c r="F80" i="28"/>
  <c r="Q79" i="28"/>
  <c r="O79" i="28"/>
  <c r="N79" i="28"/>
  <c r="K79" i="28"/>
  <c r="J79" i="28"/>
  <c r="P79" i="28" s="1"/>
  <c r="R79" i="28" s="1"/>
  <c r="G79" i="28"/>
  <c r="F79" i="28"/>
  <c r="Q78" i="28"/>
  <c r="O78" i="28"/>
  <c r="N78" i="28"/>
  <c r="K78" i="28"/>
  <c r="J78" i="28"/>
  <c r="G78" i="28"/>
  <c r="F78" i="28"/>
  <c r="P78" i="28" s="1"/>
  <c r="R78" i="28" s="1"/>
  <c r="Q77" i="28"/>
  <c r="P77" i="28"/>
  <c r="R77" i="28" s="1"/>
  <c r="O77" i="28"/>
  <c r="N77" i="28"/>
  <c r="K77" i="28"/>
  <c r="J77" i="28"/>
  <c r="G77" i="28"/>
  <c r="F77" i="28"/>
  <c r="Q76" i="28"/>
  <c r="O76" i="28"/>
  <c r="N76" i="28"/>
  <c r="K76" i="28"/>
  <c r="J76" i="28"/>
  <c r="G76" i="28"/>
  <c r="F76" i="28"/>
  <c r="P76" i="28" s="1"/>
  <c r="R76" i="28" s="1"/>
  <c r="Q75" i="28"/>
  <c r="O75" i="28"/>
  <c r="N75" i="28"/>
  <c r="K75" i="28"/>
  <c r="J75" i="28"/>
  <c r="G75" i="28"/>
  <c r="F75" i="28"/>
  <c r="P75" i="28" s="1"/>
  <c r="R75" i="28" s="1"/>
  <c r="Q74" i="28"/>
  <c r="O74" i="28"/>
  <c r="N74" i="28"/>
  <c r="K74" i="28"/>
  <c r="J74" i="28"/>
  <c r="G74" i="28"/>
  <c r="F74" i="28"/>
  <c r="P74" i="28" s="1"/>
  <c r="R74" i="28" s="1"/>
  <c r="Q73" i="28"/>
  <c r="P73" i="28"/>
  <c r="R73" i="28" s="1"/>
  <c r="O73" i="28"/>
  <c r="N73" i="28"/>
  <c r="K73" i="28"/>
  <c r="J73" i="28"/>
  <c r="G73" i="28"/>
  <c r="F73" i="28"/>
  <c r="Q72" i="28"/>
  <c r="O72" i="28"/>
  <c r="N72" i="28"/>
  <c r="P72" i="28" s="1"/>
  <c r="R72" i="28" s="1"/>
  <c r="K72" i="28"/>
  <c r="J72" i="28"/>
  <c r="G72" i="28"/>
  <c r="F72" i="28"/>
  <c r="Q71" i="28"/>
  <c r="O71" i="28"/>
  <c r="N71" i="28"/>
  <c r="K71" i="28"/>
  <c r="J71" i="28"/>
  <c r="G71" i="28"/>
  <c r="F71" i="28"/>
  <c r="P71" i="28" s="1"/>
  <c r="R71" i="28" s="1"/>
  <c r="Q70" i="28"/>
  <c r="O70" i="28"/>
  <c r="N70" i="28"/>
  <c r="K70" i="28"/>
  <c r="J70" i="28"/>
  <c r="G70" i="28"/>
  <c r="F70" i="28"/>
  <c r="P70" i="28" s="1"/>
  <c r="R70" i="28" s="1"/>
  <c r="Q69" i="28"/>
  <c r="P69" i="28"/>
  <c r="R69" i="28" s="1"/>
  <c r="O69" i="28"/>
  <c r="N69" i="28"/>
  <c r="K69" i="28"/>
  <c r="J69" i="28"/>
  <c r="G69" i="28"/>
  <c r="F69" i="28"/>
  <c r="Q68" i="28"/>
  <c r="P68" i="28"/>
  <c r="R68" i="28" s="1"/>
  <c r="O68" i="28"/>
  <c r="N68" i="28"/>
  <c r="K68" i="28"/>
  <c r="J68" i="28"/>
  <c r="G68" i="28"/>
  <c r="F68" i="28"/>
  <c r="Q67" i="28"/>
  <c r="O67" i="28"/>
  <c r="N67" i="28"/>
  <c r="K67" i="28"/>
  <c r="J67" i="28"/>
  <c r="G67" i="28"/>
  <c r="F67" i="28"/>
  <c r="P67" i="28" s="1"/>
  <c r="R67" i="28" s="1"/>
  <c r="Q66" i="28"/>
  <c r="P66" i="28"/>
  <c r="R66" i="28" s="1"/>
  <c r="O66" i="28"/>
  <c r="N66" i="28"/>
  <c r="K66" i="28"/>
  <c r="J66" i="28"/>
  <c r="G66" i="28"/>
  <c r="F66" i="28"/>
  <c r="Q65" i="28"/>
  <c r="O65" i="28"/>
  <c r="N65" i="28"/>
  <c r="K65" i="28"/>
  <c r="J65" i="28"/>
  <c r="G65" i="28"/>
  <c r="F65" i="28"/>
  <c r="P65" i="28" s="1"/>
  <c r="R65" i="28" s="1"/>
  <c r="Q64" i="28"/>
  <c r="O64" i="28"/>
  <c r="N64" i="28"/>
  <c r="K64" i="28"/>
  <c r="J64" i="28"/>
  <c r="G64" i="28"/>
  <c r="F64" i="28"/>
  <c r="P64" i="28" s="1"/>
  <c r="R64" i="28" s="1"/>
  <c r="Q63" i="28"/>
  <c r="O63" i="28"/>
  <c r="N63" i="28"/>
  <c r="K63" i="28"/>
  <c r="J63" i="28"/>
  <c r="P63" i="28" s="1"/>
  <c r="R63" i="28" s="1"/>
  <c r="G63" i="28"/>
  <c r="F63" i="28"/>
  <c r="Q62" i="28"/>
  <c r="P62" i="28"/>
  <c r="R62" i="28" s="1"/>
  <c r="O62" i="28"/>
  <c r="N62" i="28"/>
  <c r="K62" i="28"/>
  <c r="J62" i="28"/>
  <c r="G62" i="28"/>
  <c r="F62" i="28"/>
  <c r="Q61" i="28"/>
  <c r="O61" i="28"/>
  <c r="N61" i="28"/>
  <c r="K61" i="28"/>
  <c r="J61" i="28"/>
  <c r="G61" i="28"/>
  <c r="F61" i="28"/>
  <c r="P61" i="28" s="1"/>
  <c r="R61" i="28" s="1"/>
  <c r="Q60" i="28"/>
  <c r="O60" i="28"/>
  <c r="N60" i="28"/>
  <c r="K60" i="28"/>
  <c r="J60" i="28"/>
  <c r="G60" i="28"/>
  <c r="F60" i="28"/>
  <c r="P60" i="28" s="1"/>
  <c r="R60" i="28" s="1"/>
  <c r="Q59" i="28"/>
  <c r="O59" i="28"/>
  <c r="N59" i="28"/>
  <c r="K59" i="28"/>
  <c r="J59" i="28"/>
  <c r="P59" i="28" s="1"/>
  <c r="R59" i="28" s="1"/>
  <c r="G59" i="28"/>
  <c r="F59" i="28"/>
  <c r="Q58" i="28"/>
  <c r="O58" i="28"/>
  <c r="N58" i="28"/>
  <c r="K58" i="28"/>
  <c r="J58" i="28"/>
  <c r="G58" i="28"/>
  <c r="F58" i="28"/>
  <c r="P58" i="28" s="1"/>
  <c r="R58" i="28" s="1"/>
  <c r="Q57" i="28"/>
  <c r="O57" i="28"/>
  <c r="N57" i="28"/>
  <c r="K57" i="28"/>
  <c r="J57" i="28"/>
  <c r="P57" i="28" s="1"/>
  <c r="R57" i="28" s="1"/>
  <c r="G57" i="28"/>
  <c r="F57" i="28"/>
  <c r="Q56" i="28"/>
  <c r="O56" i="28"/>
  <c r="N56" i="28"/>
  <c r="K56" i="28"/>
  <c r="J56" i="28"/>
  <c r="G56" i="28"/>
  <c r="F56" i="28"/>
  <c r="P56" i="28" s="1"/>
  <c r="R56" i="28" s="1"/>
  <c r="Q55" i="28"/>
  <c r="O55" i="28"/>
  <c r="N55" i="28"/>
  <c r="K55" i="28"/>
  <c r="J55" i="28"/>
  <c r="G55" i="28"/>
  <c r="F55" i="28"/>
  <c r="P55" i="28" s="1"/>
  <c r="R55" i="28" s="1"/>
  <c r="Q54" i="28"/>
  <c r="O54" i="28"/>
  <c r="N54" i="28"/>
  <c r="K54" i="28"/>
  <c r="J54" i="28"/>
  <c r="G54" i="28"/>
  <c r="F54" i="28"/>
  <c r="P54" i="28" s="1"/>
  <c r="R54" i="28" s="1"/>
  <c r="Q53" i="28"/>
  <c r="O53" i="28"/>
  <c r="N53" i="28"/>
  <c r="K53" i="28"/>
  <c r="J53" i="28"/>
  <c r="G53" i="28"/>
  <c r="F53" i="28"/>
  <c r="Q52" i="28"/>
  <c r="O52" i="28"/>
  <c r="N52" i="28"/>
  <c r="P52" i="28" s="1"/>
  <c r="R52" i="28" s="1"/>
  <c r="K52" i="28"/>
  <c r="J52" i="28"/>
  <c r="G52" i="28"/>
  <c r="F52" i="28"/>
  <c r="Q51" i="28"/>
  <c r="P51" i="28"/>
  <c r="R51" i="28" s="1"/>
  <c r="O51" i="28"/>
  <c r="N51" i="28"/>
  <c r="K51" i="28"/>
  <c r="J51" i="28"/>
  <c r="G51" i="28"/>
  <c r="F51" i="28"/>
  <c r="Q50" i="28"/>
  <c r="O50" i="28"/>
  <c r="N50" i="28"/>
  <c r="K50" i="28"/>
  <c r="J50" i="28"/>
  <c r="G50" i="28"/>
  <c r="F50" i="28"/>
  <c r="Q49" i="28"/>
  <c r="O49" i="28"/>
  <c r="N49" i="28"/>
  <c r="K49" i="28"/>
  <c r="J49" i="28"/>
  <c r="G49" i="28"/>
  <c r="F49" i="28"/>
  <c r="P49" i="28" s="1"/>
  <c r="R49" i="28" s="1"/>
  <c r="Q48" i="28"/>
  <c r="O48" i="28"/>
  <c r="N48" i="28"/>
  <c r="P48" i="28" s="1"/>
  <c r="R48" i="28" s="1"/>
  <c r="K48" i="28"/>
  <c r="J48" i="28"/>
  <c r="G48" i="28"/>
  <c r="F48" i="28"/>
  <c r="Q47" i="28"/>
  <c r="P47" i="28"/>
  <c r="O47" i="28"/>
  <c r="N47" i="28"/>
  <c r="K47" i="28"/>
  <c r="J47" i="28"/>
  <c r="G47" i="28"/>
  <c r="F47" i="28"/>
  <c r="Q46" i="28"/>
  <c r="O46" i="28"/>
  <c r="N46" i="28"/>
  <c r="K46" i="28"/>
  <c r="J46" i="28"/>
  <c r="P46" i="28" s="1"/>
  <c r="R46" i="28" s="1"/>
  <c r="G46" i="28"/>
  <c r="F46" i="28"/>
  <c r="Q45" i="28"/>
  <c r="O45" i="28"/>
  <c r="N45" i="28"/>
  <c r="K45" i="28"/>
  <c r="J45" i="28"/>
  <c r="G45" i="28"/>
  <c r="F45" i="28"/>
  <c r="P45" i="28" s="1"/>
  <c r="R45" i="28" s="1"/>
  <c r="Q44" i="28"/>
  <c r="O44" i="28"/>
  <c r="N44" i="28"/>
  <c r="K44" i="28"/>
  <c r="J44" i="28"/>
  <c r="G44" i="28"/>
  <c r="F44" i="28"/>
  <c r="P44" i="28" s="1"/>
  <c r="R44" i="28" s="1"/>
  <c r="Q43" i="28"/>
  <c r="O43" i="28"/>
  <c r="N43" i="28"/>
  <c r="K43" i="28"/>
  <c r="J43" i="28"/>
  <c r="G43" i="28"/>
  <c r="F43" i="28"/>
  <c r="P43" i="28" s="1"/>
  <c r="R43" i="28" s="1"/>
  <c r="Q42" i="28"/>
  <c r="O42" i="28"/>
  <c r="N42" i="28"/>
  <c r="K42" i="28"/>
  <c r="J42" i="28"/>
  <c r="G42" i="28"/>
  <c r="F42" i="28"/>
  <c r="P42" i="28" s="1"/>
  <c r="R42" i="28" s="1"/>
  <c r="Q41" i="28"/>
  <c r="O41" i="28"/>
  <c r="N41" i="28"/>
  <c r="K41" i="28"/>
  <c r="J41" i="28"/>
  <c r="G41" i="28"/>
  <c r="F41" i="28"/>
  <c r="Q40" i="28"/>
  <c r="O40" i="28"/>
  <c r="N40" i="28"/>
  <c r="K40" i="28"/>
  <c r="J40" i="28"/>
  <c r="G40" i="28"/>
  <c r="F40" i="28"/>
  <c r="P40" i="28" s="1"/>
  <c r="R40" i="28" s="1"/>
  <c r="Q39" i="28"/>
  <c r="O39" i="28"/>
  <c r="N39" i="28"/>
  <c r="K39" i="28"/>
  <c r="J39" i="28"/>
  <c r="G39" i="28"/>
  <c r="F39" i="28"/>
  <c r="Q38" i="28"/>
  <c r="O38" i="28"/>
  <c r="N38" i="28"/>
  <c r="K38" i="28"/>
  <c r="J38" i="28"/>
  <c r="G38" i="28"/>
  <c r="F38" i="28"/>
  <c r="P38" i="28" s="1"/>
  <c r="R38" i="28" s="1"/>
  <c r="Q37" i="28"/>
  <c r="O37" i="28"/>
  <c r="N37" i="28"/>
  <c r="K37" i="28"/>
  <c r="J37" i="28"/>
  <c r="P37" i="28" s="1"/>
  <c r="R37" i="28" s="1"/>
  <c r="G37" i="28"/>
  <c r="F37" i="28"/>
  <c r="Q36" i="28"/>
  <c r="O36" i="28"/>
  <c r="N36" i="28"/>
  <c r="K36" i="28"/>
  <c r="J36" i="28"/>
  <c r="G36" i="28"/>
  <c r="F36" i="28"/>
  <c r="P36" i="28" s="1"/>
  <c r="R36" i="28" s="1"/>
  <c r="Q35" i="28"/>
  <c r="O35" i="28"/>
  <c r="N35" i="28"/>
  <c r="K35" i="28"/>
  <c r="J35" i="28"/>
  <c r="G35" i="28"/>
  <c r="F35" i="28"/>
  <c r="Q34" i="28"/>
  <c r="O34" i="28"/>
  <c r="N34" i="28"/>
  <c r="K34" i="28"/>
  <c r="J34" i="28"/>
  <c r="G34" i="28"/>
  <c r="F34" i="28"/>
  <c r="P34" i="28" s="1"/>
  <c r="R34" i="28" s="1"/>
  <c r="Q33" i="28"/>
  <c r="O33" i="28"/>
  <c r="N33" i="28"/>
  <c r="K33" i="28"/>
  <c r="J33" i="28"/>
  <c r="G33" i="28"/>
  <c r="F33" i="28"/>
  <c r="P33" i="28" s="1"/>
  <c r="R33" i="28" s="1"/>
  <c r="Q32" i="28"/>
  <c r="P32" i="28"/>
  <c r="R32" i="28" s="1"/>
  <c r="O32" i="28"/>
  <c r="N32" i="28"/>
  <c r="K32" i="28"/>
  <c r="J32" i="28"/>
  <c r="G32" i="28"/>
  <c r="F32" i="28"/>
  <c r="Q31" i="28"/>
  <c r="P31" i="28"/>
  <c r="R31" i="28" s="1"/>
  <c r="O31" i="28"/>
  <c r="N31" i="28"/>
  <c r="K31" i="28"/>
  <c r="J31" i="28"/>
  <c r="G31" i="28"/>
  <c r="F31" i="28"/>
  <c r="Q30" i="28"/>
  <c r="O30" i="28"/>
  <c r="N30" i="28"/>
  <c r="K30" i="28"/>
  <c r="J30" i="28"/>
  <c r="G30" i="28"/>
  <c r="F30" i="28"/>
  <c r="Q29" i="28"/>
  <c r="O29" i="28"/>
  <c r="N29" i="28"/>
  <c r="K29" i="28"/>
  <c r="J29" i="28"/>
  <c r="P29" i="28" s="1"/>
  <c r="R29" i="28" s="1"/>
  <c r="G29" i="28"/>
  <c r="F29" i="28"/>
  <c r="Q28" i="28"/>
  <c r="O28" i="28"/>
  <c r="N28" i="28"/>
  <c r="K28" i="28"/>
  <c r="J28" i="28"/>
  <c r="G28" i="28"/>
  <c r="F28" i="28"/>
  <c r="Q27" i="28"/>
  <c r="O27" i="28"/>
  <c r="N27" i="28"/>
  <c r="K27" i="28"/>
  <c r="J27" i="28"/>
  <c r="G27" i="28"/>
  <c r="F27" i="28"/>
  <c r="P27" i="28" s="1"/>
  <c r="R27" i="28" s="1"/>
  <c r="Q26" i="28"/>
  <c r="O26" i="28"/>
  <c r="N26" i="28"/>
  <c r="K26" i="28"/>
  <c r="J26" i="28"/>
  <c r="P26" i="28" s="1"/>
  <c r="R26" i="28" s="1"/>
  <c r="G26" i="28"/>
  <c r="F26" i="28"/>
  <c r="Q25" i="28"/>
  <c r="P25" i="28"/>
  <c r="O25" i="28"/>
  <c r="N25" i="28"/>
  <c r="K25" i="28"/>
  <c r="J25" i="28"/>
  <c r="G25" i="28"/>
  <c r="F25" i="28"/>
  <c r="R24" i="28"/>
  <c r="Q24" i="28"/>
  <c r="O24" i="28"/>
  <c r="N24" i="28"/>
  <c r="K24" i="28"/>
  <c r="J24" i="28"/>
  <c r="G24" i="28"/>
  <c r="F24" i="28"/>
  <c r="P24" i="28" s="1"/>
  <c r="Q23" i="28"/>
  <c r="O23" i="28"/>
  <c r="N23" i="28"/>
  <c r="K23" i="28"/>
  <c r="J23" i="28"/>
  <c r="G23" i="28"/>
  <c r="F23" i="28"/>
  <c r="P23" i="28" s="1"/>
  <c r="R23" i="28" s="1"/>
  <c r="Q22" i="28"/>
  <c r="O22" i="28"/>
  <c r="N22" i="28"/>
  <c r="K22" i="28"/>
  <c r="J22" i="28"/>
  <c r="G22" i="28"/>
  <c r="F22" i="28"/>
  <c r="P22" i="28" s="1"/>
  <c r="R22" i="28" s="1"/>
  <c r="Q21" i="28"/>
  <c r="O21" i="28"/>
  <c r="N21" i="28"/>
  <c r="K21" i="28"/>
  <c r="J21" i="28"/>
  <c r="G21" i="28"/>
  <c r="F21" i="28"/>
  <c r="Q20" i="28"/>
  <c r="P20" i="28"/>
  <c r="R20" i="28" s="1"/>
  <c r="O20" i="28"/>
  <c r="N20" i="28"/>
  <c r="K20" i="28"/>
  <c r="J20" i="28"/>
  <c r="G20" i="28"/>
  <c r="F20" i="28"/>
  <c r="Q19" i="28"/>
  <c r="O19" i="28"/>
  <c r="N19" i="28"/>
  <c r="K19" i="28"/>
  <c r="J19" i="28"/>
  <c r="P19" i="28" s="1"/>
  <c r="R19" i="28" s="1"/>
  <c r="G19" i="28"/>
  <c r="F19" i="28"/>
  <c r="Q18" i="28"/>
  <c r="P18" i="28"/>
  <c r="R18" i="28" s="1"/>
  <c r="O18" i="28"/>
  <c r="N18" i="28"/>
  <c r="K18" i="28"/>
  <c r="J18" i="28"/>
  <c r="G18" i="28"/>
  <c r="F18" i="28"/>
  <c r="R17" i="28"/>
  <c r="Q17" i="28"/>
  <c r="O17" i="28"/>
  <c r="N17" i="28"/>
  <c r="K17" i="28"/>
  <c r="J17" i="28"/>
  <c r="G17" i="28"/>
  <c r="F17" i="28"/>
  <c r="P17" i="28" s="1"/>
  <c r="Q16" i="28"/>
  <c r="O16" i="28"/>
  <c r="N16" i="28"/>
  <c r="P16" i="28" s="1"/>
  <c r="R16" i="28" s="1"/>
  <c r="K16" i="28"/>
  <c r="J16" i="28"/>
  <c r="G16" i="28"/>
  <c r="F16" i="28"/>
  <c r="Q15" i="28"/>
  <c r="P15" i="28"/>
  <c r="R15" i="28" s="1"/>
  <c r="O15" i="28"/>
  <c r="N15" i="28"/>
  <c r="K15" i="28"/>
  <c r="J15" i="28"/>
  <c r="G15" i="28"/>
  <c r="F15" i="28"/>
  <c r="Q14" i="28"/>
  <c r="O14" i="28"/>
  <c r="N14" i="28"/>
  <c r="K14" i="28"/>
  <c r="J14" i="28"/>
  <c r="G14" i="28"/>
  <c r="F14" i="28"/>
  <c r="P14" i="28" s="1"/>
  <c r="R14" i="28" s="1"/>
  <c r="R13" i="28"/>
  <c r="Q13" i="28"/>
  <c r="O13" i="28"/>
  <c r="N13" i="28"/>
  <c r="K13" i="28"/>
  <c r="J13" i="28"/>
  <c r="G13" i="28"/>
  <c r="F13" i="28"/>
  <c r="P13" i="28" s="1"/>
  <c r="R12" i="28"/>
  <c r="Q12" i="28"/>
  <c r="O12" i="28"/>
  <c r="N12" i="28"/>
  <c r="K12" i="28"/>
  <c r="J12" i="28"/>
  <c r="G12" i="28"/>
  <c r="F12" i="28"/>
  <c r="P12" i="28" s="1"/>
  <c r="Q11" i="28"/>
  <c r="O11" i="28"/>
  <c r="N11" i="28"/>
  <c r="K11" i="28"/>
  <c r="J11" i="28"/>
  <c r="P11" i="28" s="1"/>
  <c r="R11" i="28" s="1"/>
  <c r="G11" i="28"/>
  <c r="F11" i="28"/>
  <c r="C7" i="28"/>
  <c r="K6" i="28"/>
  <c r="E17" i="23"/>
  <c r="H16" i="23"/>
  <c r="G16" i="23"/>
  <c r="F16" i="23"/>
  <c r="E16" i="23"/>
  <c r="F15" i="23"/>
  <c r="E15" i="23"/>
  <c r="G15" i="23" s="1"/>
  <c r="H15" i="23" s="1"/>
  <c r="E14" i="23"/>
  <c r="H13" i="23"/>
  <c r="G13" i="23"/>
  <c r="F13" i="23"/>
  <c r="E13" i="23"/>
  <c r="G12" i="23"/>
  <c r="H12" i="23" s="1"/>
  <c r="E12" i="23"/>
  <c r="F12" i="23" s="1"/>
  <c r="H11" i="23"/>
  <c r="G11" i="23"/>
  <c r="F11" i="23"/>
  <c r="E11" i="23"/>
  <c r="G10" i="23"/>
  <c r="H10" i="23" s="1"/>
  <c r="F10" i="23"/>
  <c r="E10" i="23"/>
  <c r="G9" i="23"/>
  <c r="H9" i="23" s="1"/>
  <c r="F9" i="23"/>
  <c r="E9" i="23"/>
  <c r="H8" i="23"/>
  <c r="G8" i="23"/>
  <c r="F8" i="23"/>
  <c r="E8" i="23"/>
  <c r="G7" i="23"/>
  <c r="H7" i="23" s="1"/>
  <c r="F7" i="23"/>
  <c r="E7" i="23"/>
  <c r="E6" i="23"/>
  <c r="G6" i="23" s="1"/>
  <c r="H6" i="23" s="1"/>
  <c r="G5" i="23"/>
  <c r="H5" i="23" s="1"/>
  <c r="F5" i="23"/>
  <c r="E5" i="23"/>
  <c r="H4" i="23"/>
  <c r="G4" i="23"/>
  <c r="F4" i="23"/>
  <c r="E4" i="23"/>
  <c r="E3" i="23"/>
  <c r="F2" i="23"/>
  <c r="E2" i="23"/>
  <c r="G2" i="23" s="1"/>
  <c r="H2" i="23" s="1"/>
  <c r="G13" i="22"/>
  <c r="F13" i="22"/>
  <c r="G12" i="22"/>
  <c r="F12" i="22"/>
  <c r="F11" i="22"/>
  <c r="G11" i="22" s="1"/>
  <c r="G10" i="22"/>
  <c r="F10" i="22"/>
  <c r="F9" i="22"/>
  <c r="G9" i="22" s="1"/>
  <c r="F8" i="22"/>
  <c r="G8" i="22" s="1"/>
  <c r="G7" i="22"/>
  <c r="F7" i="22"/>
  <c r="G6" i="22"/>
  <c r="F6" i="22"/>
  <c r="F5" i="22"/>
  <c r="G5" i="22" s="1"/>
  <c r="G4" i="22"/>
  <c r="F4" i="22"/>
  <c r="F3" i="22"/>
  <c r="G3" i="22" s="1"/>
  <c r="G2" i="22"/>
  <c r="F2" i="22"/>
  <c r="J11" i="21"/>
  <c r="I11" i="21"/>
  <c r="F11" i="21" s="1"/>
  <c r="G11" i="21" s="1"/>
  <c r="J10" i="21"/>
  <c r="I10" i="21"/>
  <c r="G10" i="21"/>
  <c r="F10" i="21"/>
  <c r="J9" i="21"/>
  <c r="I9" i="21"/>
  <c r="G9" i="21"/>
  <c r="F9" i="21"/>
  <c r="I8" i="21"/>
  <c r="J7" i="21"/>
  <c r="I7" i="21"/>
  <c r="F7" i="21" s="1"/>
  <c r="G7" i="21" s="1"/>
  <c r="J6" i="21"/>
  <c r="I6" i="21"/>
  <c r="F6" i="21" s="1"/>
  <c r="G6" i="21" s="1"/>
  <c r="J5" i="21"/>
  <c r="I5" i="21"/>
  <c r="F5" i="21" s="1"/>
  <c r="G5" i="21" s="1"/>
  <c r="I4" i="21"/>
  <c r="J3" i="21"/>
  <c r="I3" i="21"/>
  <c r="F3" i="21"/>
  <c r="G3" i="21" s="1"/>
  <c r="J2" i="21"/>
  <c r="I2" i="21"/>
  <c r="F2" i="21" s="1"/>
  <c r="G2" i="21"/>
  <c r="P37" i="20"/>
  <c r="J37" i="20" s="1"/>
  <c r="K37" i="20"/>
  <c r="H37" i="20"/>
  <c r="G37" i="20"/>
  <c r="P36" i="20"/>
  <c r="K36" i="20"/>
  <c r="J36" i="20"/>
  <c r="H36" i="20"/>
  <c r="G36" i="20"/>
  <c r="P35" i="20"/>
  <c r="K35" i="20"/>
  <c r="J35" i="20"/>
  <c r="H35" i="20"/>
  <c r="G35" i="20"/>
  <c r="P34" i="20"/>
  <c r="J34" i="20" s="1"/>
  <c r="K34" i="20"/>
  <c r="H34" i="20"/>
  <c r="G34" i="20"/>
  <c r="P33" i="20"/>
  <c r="J33" i="20" s="1"/>
  <c r="K33" i="20"/>
  <c r="H33" i="20"/>
  <c r="G33" i="20"/>
  <c r="P32" i="20"/>
  <c r="K32" i="20"/>
  <c r="J32" i="20"/>
  <c r="H32" i="20"/>
  <c r="G32" i="20"/>
  <c r="P31" i="20"/>
  <c r="K31" i="20"/>
  <c r="J31" i="20"/>
  <c r="H31" i="20"/>
  <c r="G31" i="20"/>
  <c r="P30" i="20"/>
  <c r="K30" i="20"/>
  <c r="H30" i="20"/>
  <c r="G30" i="20"/>
  <c r="Q29" i="20"/>
  <c r="P29" i="20" s="1"/>
  <c r="K29" i="20"/>
  <c r="H29" i="20"/>
  <c r="G29" i="20"/>
  <c r="Q28" i="20"/>
  <c r="P28" i="20"/>
  <c r="I28" i="20" s="1"/>
  <c r="J28" i="20" s="1"/>
  <c r="K28" i="20"/>
  <c r="H28" i="20"/>
  <c r="G28" i="20"/>
  <c r="R27" i="20"/>
  <c r="Q27" i="20"/>
  <c r="P27" i="20" s="1"/>
  <c r="K27" i="20"/>
  <c r="H27" i="20"/>
  <c r="G27" i="20"/>
  <c r="S26" i="20"/>
  <c r="R26" i="20"/>
  <c r="Q26" i="20"/>
  <c r="P26" i="20" s="1"/>
  <c r="K26" i="20"/>
  <c r="J26" i="20"/>
  <c r="I26" i="20"/>
  <c r="H26" i="20"/>
  <c r="G26" i="20"/>
  <c r="Q25" i="20"/>
  <c r="P25" i="20" s="1"/>
  <c r="K25" i="20"/>
  <c r="H25" i="20"/>
  <c r="G25" i="20"/>
  <c r="S24" i="20"/>
  <c r="R24" i="20"/>
  <c r="Q24" i="20"/>
  <c r="P24" i="20" s="1"/>
  <c r="I24" i="20" s="1"/>
  <c r="K24" i="20"/>
  <c r="J24" i="20"/>
  <c r="H24" i="20"/>
  <c r="G24" i="20"/>
  <c r="Q23" i="20"/>
  <c r="P23" i="20" s="1"/>
  <c r="K23" i="20"/>
  <c r="H23" i="20"/>
  <c r="G23" i="20"/>
  <c r="S22" i="20"/>
  <c r="R22" i="20"/>
  <c r="Q22" i="20"/>
  <c r="P22" i="20" s="1"/>
  <c r="K22" i="20"/>
  <c r="J22" i="20"/>
  <c r="I22" i="20"/>
  <c r="H22" i="20"/>
  <c r="G22" i="20"/>
  <c r="S21" i="20"/>
  <c r="Q21" i="20"/>
  <c r="P21" i="20"/>
  <c r="K21" i="20"/>
  <c r="H21" i="20"/>
  <c r="G21" i="20"/>
  <c r="Q20" i="20"/>
  <c r="P20" i="20"/>
  <c r="K20" i="20"/>
  <c r="H20" i="20"/>
  <c r="G20" i="20"/>
  <c r="Q19" i="20"/>
  <c r="P19" i="20"/>
  <c r="K19" i="20"/>
  <c r="H19" i="20"/>
  <c r="G19" i="20"/>
  <c r="Q18" i="20"/>
  <c r="P18" i="20" s="1"/>
  <c r="K18" i="20"/>
  <c r="H18" i="20"/>
  <c r="G18" i="20"/>
  <c r="Q17" i="20"/>
  <c r="P17" i="20"/>
  <c r="K17" i="20"/>
  <c r="H17" i="20"/>
  <c r="G17" i="20"/>
  <c r="Q16" i="20"/>
  <c r="P16" i="20"/>
  <c r="K16" i="20"/>
  <c r="H16" i="20"/>
  <c r="G16" i="20"/>
  <c r="Q15" i="20"/>
  <c r="P15" i="20" s="1"/>
  <c r="K15" i="20"/>
  <c r="H15" i="20"/>
  <c r="G15" i="20"/>
  <c r="S14" i="20"/>
  <c r="R14" i="20"/>
  <c r="Q14" i="20"/>
  <c r="P14" i="20" s="1"/>
  <c r="K14" i="20"/>
  <c r="J14" i="20"/>
  <c r="I14" i="20"/>
  <c r="H14" i="20"/>
  <c r="G14" i="20"/>
  <c r="R13" i="20"/>
  <c r="Q13" i="20"/>
  <c r="P13" i="20" s="1"/>
  <c r="K13" i="20"/>
  <c r="H13" i="20"/>
  <c r="G13" i="20"/>
  <c r="Q12" i="20"/>
  <c r="P12" i="20" s="1"/>
  <c r="S12" i="20" s="1"/>
  <c r="K12" i="20"/>
  <c r="I12" i="20"/>
  <c r="J12" i="20" s="1"/>
  <c r="H12" i="20"/>
  <c r="G12" i="20"/>
  <c r="R11" i="20"/>
  <c r="Q11" i="20"/>
  <c r="P11" i="20" s="1"/>
  <c r="S11" i="20" s="1"/>
  <c r="K11" i="20"/>
  <c r="H11" i="20"/>
  <c r="G11" i="20"/>
  <c r="S10" i="20"/>
  <c r="R10" i="20"/>
  <c r="Q10" i="20"/>
  <c r="P10" i="20" s="1"/>
  <c r="I10" i="20" s="1"/>
  <c r="J10" i="20" s="1"/>
  <c r="K10" i="20"/>
  <c r="H10" i="20"/>
  <c r="G10" i="20"/>
  <c r="S9" i="20"/>
  <c r="R9" i="20"/>
  <c r="Q9" i="20"/>
  <c r="P9" i="20" s="1"/>
  <c r="I9" i="20" s="1"/>
  <c r="K9" i="20"/>
  <c r="J9" i="20"/>
  <c r="H9" i="20"/>
  <c r="G9" i="20"/>
  <c r="S8" i="20"/>
  <c r="R8" i="20"/>
  <c r="Q8" i="20"/>
  <c r="P8" i="20" s="1"/>
  <c r="K8" i="20"/>
  <c r="I8" i="20"/>
  <c r="J8" i="20" s="1"/>
  <c r="H8" i="20"/>
  <c r="G8" i="20"/>
  <c r="Q7" i="20"/>
  <c r="P7" i="20"/>
  <c r="S7" i="20" s="1"/>
  <c r="K7" i="20"/>
  <c r="I7" i="20"/>
  <c r="J7" i="20" s="1"/>
  <c r="H7" i="20"/>
  <c r="G7" i="20"/>
  <c r="Q6" i="20"/>
  <c r="P6" i="20" s="1"/>
  <c r="K6" i="20"/>
  <c r="H6" i="20"/>
  <c r="G6" i="20"/>
  <c r="Q5" i="20"/>
  <c r="P5" i="20"/>
  <c r="K5" i="20"/>
  <c r="H5" i="20"/>
  <c r="G5" i="20"/>
  <c r="Q4" i="20"/>
  <c r="P4" i="20"/>
  <c r="S4" i="20" s="1"/>
  <c r="K4" i="20"/>
  <c r="J4" i="20"/>
  <c r="I4" i="20"/>
  <c r="H4" i="20"/>
  <c r="G4" i="20"/>
  <c r="U3" i="20"/>
  <c r="T3" i="20"/>
  <c r="S3" i="20"/>
  <c r="R3" i="20"/>
  <c r="Q3" i="20"/>
  <c r="P3" i="20"/>
  <c r="K3" i="20"/>
  <c r="J3" i="20"/>
  <c r="I3" i="20"/>
  <c r="H3" i="20"/>
  <c r="G3" i="20"/>
  <c r="K66" i="19"/>
  <c r="I66" i="19"/>
  <c r="H66" i="19"/>
  <c r="K65" i="19"/>
  <c r="I65" i="19"/>
  <c r="H65" i="19"/>
  <c r="I64" i="19"/>
  <c r="H64" i="19"/>
  <c r="K64" i="19" s="1"/>
  <c r="K63" i="19"/>
  <c r="I63" i="19"/>
  <c r="H63" i="19"/>
  <c r="K62" i="19"/>
  <c r="I62" i="19"/>
  <c r="H62" i="19"/>
  <c r="K61" i="19"/>
  <c r="I61" i="19"/>
  <c r="H61" i="19"/>
  <c r="I60" i="19"/>
  <c r="H60" i="19"/>
  <c r="K60" i="19" s="1"/>
  <c r="I59" i="19"/>
  <c r="H59" i="19"/>
  <c r="K59" i="19" s="1"/>
  <c r="I58" i="19"/>
  <c r="H58" i="19"/>
  <c r="F58" i="19" s="1"/>
  <c r="K58" i="19" s="1"/>
  <c r="H57" i="19"/>
  <c r="I56" i="19"/>
  <c r="H56" i="19"/>
  <c r="F56" i="19" s="1"/>
  <c r="K56" i="19" s="1"/>
  <c r="I55" i="19"/>
  <c r="H55" i="19"/>
  <c r="F55" i="19"/>
  <c r="K55" i="19" s="1"/>
  <c r="H54" i="19"/>
  <c r="I54" i="19" s="1"/>
  <c r="H53" i="19"/>
  <c r="H52" i="19"/>
  <c r="I52" i="19" s="1"/>
  <c r="F52" i="19"/>
  <c r="K52" i="19" s="1"/>
  <c r="H51" i="19"/>
  <c r="I51" i="19" s="1"/>
  <c r="H50" i="19"/>
  <c r="I50" i="19" s="1"/>
  <c r="K49" i="19"/>
  <c r="I49" i="19"/>
  <c r="H49" i="19"/>
  <c r="F49" i="19" s="1"/>
  <c r="H48" i="19"/>
  <c r="K47" i="19"/>
  <c r="I47" i="19"/>
  <c r="H47" i="19"/>
  <c r="F47" i="19"/>
  <c r="H46" i="19"/>
  <c r="H45" i="19"/>
  <c r="I45" i="19" s="1"/>
  <c r="F45" i="19"/>
  <c r="K45" i="19" s="1"/>
  <c r="H44" i="19"/>
  <c r="I43" i="19"/>
  <c r="H43" i="19"/>
  <c r="F43" i="19"/>
  <c r="K43" i="19" s="1"/>
  <c r="H42" i="19"/>
  <c r="I42" i="19" s="1"/>
  <c r="H41" i="19"/>
  <c r="I41" i="19" s="1"/>
  <c r="F41" i="19"/>
  <c r="K41" i="19" s="1"/>
  <c r="I40" i="19"/>
  <c r="H40" i="19"/>
  <c r="F40" i="19" s="1"/>
  <c r="K40" i="19" s="1"/>
  <c r="H39" i="19"/>
  <c r="H38" i="19"/>
  <c r="I38" i="19" s="1"/>
  <c r="F38" i="19"/>
  <c r="K38" i="19" s="1"/>
  <c r="H37" i="19"/>
  <c r="I37" i="19" s="1"/>
  <c r="H36" i="19"/>
  <c r="I36" i="19" s="1"/>
  <c r="K35" i="19"/>
  <c r="I35" i="19"/>
  <c r="H35" i="19"/>
  <c r="F35" i="19" s="1"/>
  <c r="K34" i="19"/>
  <c r="I34" i="19"/>
  <c r="H34" i="19"/>
  <c r="F34" i="19"/>
  <c r="H33" i="19"/>
  <c r="I33" i="19" s="1"/>
  <c r="I32" i="19"/>
  <c r="H32" i="19"/>
  <c r="F32" i="19" s="1"/>
  <c r="K32" i="19" s="1"/>
  <c r="H31" i="19"/>
  <c r="F31" i="19" s="1"/>
  <c r="K31" i="19" s="1"/>
  <c r="H30" i="19"/>
  <c r="I30" i="19" s="1"/>
  <c r="I29" i="19"/>
  <c r="H29" i="19"/>
  <c r="F29" i="19"/>
  <c r="K29" i="19" s="1"/>
  <c r="K28" i="19"/>
  <c r="I28" i="19"/>
  <c r="H28" i="19"/>
  <c r="F28" i="19"/>
  <c r="H27" i="19"/>
  <c r="I27" i="19" s="1"/>
  <c r="K26" i="19"/>
  <c r="I26" i="19"/>
  <c r="H26" i="19"/>
  <c r="F26" i="19" s="1"/>
  <c r="I25" i="19"/>
  <c r="H25" i="19"/>
  <c r="F25" i="19" s="1"/>
  <c r="K25" i="19" s="1"/>
  <c r="H24" i="19"/>
  <c r="I24" i="19" s="1"/>
  <c r="F24" i="19"/>
  <c r="K24" i="19" s="1"/>
  <c r="H23" i="19"/>
  <c r="H22" i="19"/>
  <c r="I22" i="19" s="1"/>
  <c r="F22" i="19"/>
  <c r="K22" i="19" s="1"/>
  <c r="H21" i="19"/>
  <c r="K20" i="19"/>
  <c r="I20" i="19"/>
  <c r="H20" i="19"/>
  <c r="F20" i="19"/>
  <c r="K19" i="19"/>
  <c r="I19" i="19"/>
  <c r="H19" i="19"/>
  <c r="F19" i="19" s="1"/>
  <c r="H18" i="19"/>
  <c r="H17" i="19"/>
  <c r="I17" i="19" s="1"/>
  <c r="K16" i="19"/>
  <c r="I16" i="19"/>
  <c r="H16" i="19"/>
  <c r="F16" i="19" s="1"/>
  <c r="H15" i="19"/>
  <c r="I15" i="19" s="1"/>
  <c r="F15" i="19"/>
  <c r="K15" i="19" s="1"/>
  <c r="H14" i="19"/>
  <c r="H13" i="19"/>
  <c r="F13" i="19" s="1"/>
  <c r="K13" i="19" s="1"/>
  <c r="H12" i="19"/>
  <c r="I12" i="19" s="1"/>
  <c r="I11" i="19"/>
  <c r="H11" i="19"/>
  <c r="F11" i="19"/>
  <c r="K11" i="19" s="1"/>
  <c r="H10" i="19"/>
  <c r="I10" i="19" s="1"/>
  <c r="H9" i="19"/>
  <c r="H8" i="19"/>
  <c r="K7" i="19"/>
  <c r="I7" i="19"/>
  <c r="H7" i="19"/>
  <c r="F7" i="19"/>
  <c r="H6" i="19"/>
  <c r="I6" i="19" s="1"/>
  <c r="F6" i="19"/>
  <c r="K6" i="19" s="1"/>
  <c r="I5" i="19"/>
  <c r="H5" i="19"/>
  <c r="F5" i="19" s="1"/>
  <c r="K5" i="19" s="1"/>
  <c r="H4" i="19"/>
  <c r="F4" i="19" s="1"/>
  <c r="K4" i="19" s="1"/>
  <c r="H3" i="19"/>
  <c r="I3" i="19" s="1"/>
  <c r="F3" i="19"/>
  <c r="K3" i="19" s="1"/>
  <c r="H2" i="19"/>
  <c r="F2" i="19" s="1"/>
  <c r="K2" i="19" s="1"/>
  <c r="AA142" i="18"/>
  <c r="W142" i="18"/>
  <c r="Y142" i="18" s="1"/>
  <c r="T142" i="18"/>
  <c r="X142" i="18" s="1"/>
  <c r="P142" i="18"/>
  <c r="O142" i="18"/>
  <c r="F142" i="18"/>
  <c r="AE141" i="18"/>
  <c r="AD141" i="18"/>
  <c r="AB141" i="18"/>
  <c r="AA141" i="18"/>
  <c r="Y141" i="18"/>
  <c r="W141" i="18"/>
  <c r="AC141" i="18" s="1"/>
  <c r="T141" i="18"/>
  <c r="P141" i="18"/>
  <c r="O141" i="18"/>
  <c r="J141" i="18"/>
  <c r="F141" i="18"/>
  <c r="AA140" i="18"/>
  <c r="Y140" i="18"/>
  <c r="W140" i="18"/>
  <c r="AC140" i="18" s="1"/>
  <c r="T140" i="18"/>
  <c r="X140" i="18" s="1"/>
  <c r="P140" i="18"/>
  <c r="O140" i="18"/>
  <c r="AD139" i="18"/>
  <c r="AB139" i="18"/>
  <c r="AA139" i="18"/>
  <c r="AE139" i="18" s="1"/>
  <c r="Y139" i="18"/>
  <c r="W139" i="18"/>
  <c r="AC139" i="18" s="1"/>
  <c r="T139" i="18"/>
  <c r="P139" i="18"/>
  <c r="O139" i="18"/>
  <c r="X139" i="18" s="1"/>
  <c r="J139" i="18"/>
  <c r="F139" i="18"/>
  <c r="AB138" i="18"/>
  <c r="AA138" i="18"/>
  <c r="W138" i="18"/>
  <c r="Y138" i="18" s="1"/>
  <c r="T138" i="18"/>
  <c r="P138" i="18"/>
  <c r="O138" i="18"/>
  <c r="X138" i="18" s="1"/>
  <c r="J138" i="18"/>
  <c r="F138" i="18"/>
  <c r="AB137" i="18"/>
  <c r="AA137" i="18"/>
  <c r="W137" i="18"/>
  <c r="U137" i="18"/>
  <c r="T137" i="18"/>
  <c r="X137" i="18" s="1"/>
  <c r="P137" i="18"/>
  <c r="O137" i="18"/>
  <c r="F137" i="18"/>
  <c r="AD136" i="18"/>
  <c r="AB136" i="18"/>
  <c r="AA136" i="18"/>
  <c r="W136" i="18"/>
  <c r="U136" i="18"/>
  <c r="T136" i="18"/>
  <c r="X136" i="18" s="1"/>
  <c r="P136" i="18"/>
  <c r="O136" i="18"/>
  <c r="F136" i="18"/>
  <c r="AE135" i="18"/>
  <c r="AD135" i="18"/>
  <c r="AB135" i="18"/>
  <c r="AA135" i="18"/>
  <c r="X135" i="18"/>
  <c r="W135" i="18"/>
  <c r="U135" i="18"/>
  <c r="T135" i="18"/>
  <c r="P135" i="18"/>
  <c r="O135" i="18"/>
  <c r="J135" i="18"/>
  <c r="F135" i="18"/>
  <c r="AA134" i="18"/>
  <c r="Y134" i="18"/>
  <c r="W134" i="18"/>
  <c r="AC134" i="18" s="1"/>
  <c r="U134" i="18"/>
  <c r="T134" i="18"/>
  <c r="P134" i="18"/>
  <c r="O134" i="18"/>
  <c r="J134" i="18"/>
  <c r="AE133" i="18"/>
  <c r="AD133" i="18"/>
  <c r="AC133" i="18"/>
  <c r="AB133" i="18"/>
  <c r="AA133" i="18"/>
  <c r="Y133" i="18"/>
  <c r="W133" i="18"/>
  <c r="U133" i="18"/>
  <c r="T133" i="18"/>
  <c r="X133" i="18" s="1"/>
  <c r="P133" i="18"/>
  <c r="O133" i="18"/>
  <c r="J133" i="18"/>
  <c r="F133" i="18"/>
  <c r="W132" i="18"/>
  <c r="U132" i="18"/>
  <c r="T132" i="18"/>
  <c r="P132" i="18"/>
  <c r="O132" i="18"/>
  <c r="AC131" i="18"/>
  <c r="W131" i="18"/>
  <c r="Y131" i="18" s="1"/>
  <c r="U131" i="18"/>
  <c r="T131" i="18"/>
  <c r="P131" i="18"/>
  <c r="O131" i="18"/>
  <c r="AE130" i="18"/>
  <c r="AD130" i="18"/>
  <c r="AC130" i="18"/>
  <c r="AB130" i="18"/>
  <c r="X130" i="18"/>
  <c r="W130" i="18"/>
  <c r="Y130" i="18" s="1"/>
  <c r="U130" i="18"/>
  <c r="T130" i="18"/>
  <c r="P130" i="18"/>
  <c r="O130" i="18"/>
  <c r="J130" i="18"/>
  <c r="F130" i="18"/>
  <c r="AA129" i="18"/>
  <c r="Y129" i="18"/>
  <c r="W129" i="18"/>
  <c r="AC129" i="18" s="1"/>
  <c r="U129" i="18"/>
  <c r="T129" i="18"/>
  <c r="P129" i="18"/>
  <c r="O129" i="18"/>
  <c r="X129" i="18" s="1"/>
  <c r="AC128" i="18"/>
  <c r="Y128" i="18"/>
  <c r="X128" i="18"/>
  <c r="AA128" i="18" s="1"/>
  <c r="W128" i="18"/>
  <c r="U128" i="18"/>
  <c r="T128" i="18"/>
  <c r="P128" i="18"/>
  <c r="O128" i="18"/>
  <c r="W127" i="18"/>
  <c r="U127" i="18"/>
  <c r="T127" i="18"/>
  <c r="X127" i="18" s="1"/>
  <c r="P127" i="18"/>
  <c r="O127" i="18"/>
  <c r="W126" i="18"/>
  <c r="AC126" i="18" s="1"/>
  <c r="U126" i="18"/>
  <c r="T126" i="18"/>
  <c r="X126" i="18" s="1"/>
  <c r="AA126" i="18" s="1"/>
  <c r="F126" i="18" s="1"/>
  <c r="P126" i="18"/>
  <c r="O126" i="18"/>
  <c r="AA125" i="18"/>
  <c r="W125" i="18"/>
  <c r="AC125" i="18" s="1"/>
  <c r="U125" i="18"/>
  <c r="T125" i="18"/>
  <c r="P125" i="18"/>
  <c r="O125" i="18"/>
  <c r="X125" i="18" s="1"/>
  <c r="F125" i="18"/>
  <c r="AD124" i="18"/>
  <c r="AB124" i="18"/>
  <c r="AA124" i="18"/>
  <c r="W124" i="18"/>
  <c r="AC124" i="18" s="1"/>
  <c r="U124" i="18"/>
  <c r="T124" i="18"/>
  <c r="P124" i="18"/>
  <c r="O124" i="18"/>
  <c r="J124" i="18"/>
  <c r="AE123" i="18"/>
  <c r="AD123" i="18"/>
  <c r="AC123" i="18"/>
  <c r="AB123" i="18"/>
  <c r="AA123" i="18"/>
  <c r="Y123" i="18"/>
  <c r="W123" i="18"/>
  <c r="U123" i="18"/>
  <c r="T123" i="18"/>
  <c r="X123" i="18" s="1"/>
  <c r="P123" i="18"/>
  <c r="O123" i="18"/>
  <c r="J123" i="18"/>
  <c r="F123" i="18"/>
  <c r="AE122" i="18"/>
  <c r="AD122" i="18"/>
  <c r="AB122" i="18"/>
  <c r="AA122" i="18"/>
  <c r="W122" i="18"/>
  <c r="U122" i="18"/>
  <c r="T122" i="18"/>
  <c r="X122" i="18" s="1"/>
  <c r="P122" i="18"/>
  <c r="O122" i="18"/>
  <c r="J122" i="18"/>
  <c r="F122" i="18"/>
  <c r="AD121" i="18"/>
  <c r="AC121" i="18"/>
  <c r="AB121" i="18"/>
  <c r="AA121" i="18"/>
  <c r="W121" i="18"/>
  <c r="Y121" i="18" s="1"/>
  <c r="U121" i="18"/>
  <c r="T121" i="18"/>
  <c r="P121" i="18"/>
  <c r="O121" i="18"/>
  <c r="X121" i="18" s="1"/>
  <c r="F121" i="18"/>
  <c r="AD120" i="18"/>
  <c r="AC120" i="18"/>
  <c r="Y120" i="18"/>
  <c r="W120" i="18"/>
  <c r="AA120" i="18" s="1"/>
  <c r="AB120" i="18" s="1"/>
  <c r="U120" i="18"/>
  <c r="T120" i="18"/>
  <c r="P120" i="18"/>
  <c r="O120" i="18"/>
  <c r="X120" i="18" s="1"/>
  <c r="J120" i="18"/>
  <c r="F120" i="18"/>
  <c r="AC119" i="18"/>
  <c r="AB119" i="18"/>
  <c r="AA119" i="18"/>
  <c r="Y119" i="18"/>
  <c r="W119" i="18"/>
  <c r="U119" i="18"/>
  <c r="T119" i="18"/>
  <c r="P119" i="18"/>
  <c r="O119" i="18"/>
  <c r="AC118" i="18"/>
  <c r="X118" i="18"/>
  <c r="W118" i="18"/>
  <c r="U118" i="18"/>
  <c r="T118" i="18"/>
  <c r="P118" i="18"/>
  <c r="O118" i="18"/>
  <c r="AB117" i="18"/>
  <c r="AA117" i="18"/>
  <c r="Y117" i="18"/>
  <c r="X117" i="18"/>
  <c r="W117" i="18"/>
  <c r="AC117" i="18" s="1"/>
  <c r="U117" i="18"/>
  <c r="T117" i="18"/>
  <c r="P117" i="18"/>
  <c r="O117" i="18"/>
  <c r="AD116" i="18"/>
  <c r="AC116" i="18"/>
  <c r="AB116" i="18"/>
  <c r="AA116" i="18"/>
  <c r="Y116" i="18"/>
  <c r="W116" i="18"/>
  <c r="U116" i="18"/>
  <c r="T116" i="18"/>
  <c r="P116" i="18"/>
  <c r="O116" i="18"/>
  <c r="X116" i="18" s="1"/>
  <c r="F116" i="18"/>
  <c r="AD115" i="18"/>
  <c r="AC115" i="18"/>
  <c r="AB115" i="18"/>
  <c r="Y115" i="18"/>
  <c r="W115" i="18"/>
  <c r="AA115" i="18" s="1"/>
  <c r="U115" i="18"/>
  <c r="T115" i="18"/>
  <c r="P115" i="18"/>
  <c r="O115" i="18"/>
  <c r="J115" i="18"/>
  <c r="F115" i="18"/>
  <c r="AD114" i="18"/>
  <c r="Z114" i="18"/>
  <c r="AE114" i="18" s="1"/>
  <c r="Y114" i="18"/>
  <c r="X114" i="18"/>
  <c r="W114" i="18"/>
  <c r="AA114" i="18" s="1"/>
  <c r="AB114" i="18" s="1"/>
  <c r="U114" i="18"/>
  <c r="T114" i="18"/>
  <c r="P114" i="18"/>
  <c r="O114" i="18"/>
  <c r="J114" i="18"/>
  <c r="F114" i="18"/>
  <c r="AA113" i="18"/>
  <c r="W113" i="18"/>
  <c r="U113" i="18"/>
  <c r="T113" i="18"/>
  <c r="P113" i="18"/>
  <c r="O113" i="18"/>
  <c r="X113" i="18" s="1"/>
  <c r="AE112" i="18"/>
  <c r="AD112" i="18"/>
  <c r="AB112" i="18"/>
  <c r="W112" i="18"/>
  <c r="Y112" i="18" s="1"/>
  <c r="U112" i="18"/>
  <c r="T112" i="18"/>
  <c r="X112" i="18" s="1"/>
  <c r="P112" i="18"/>
  <c r="O112" i="18"/>
  <c r="J112" i="18"/>
  <c r="Y111" i="18"/>
  <c r="X111" i="18"/>
  <c r="AA111" i="18" s="1"/>
  <c r="W111" i="18"/>
  <c r="AC111" i="18" s="1"/>
  <c r="U111" i="18"/>
  <c r="T111" i="18"/>
  <c r="P111" i="18"/>
  <c r="O111" i="18"/>
  <c r="Y110" i="18"/>
  <c r="X110" i="18"/>
  <c r="AA110" i="18" s="1"/>
  <c r="W110" i="18"/>
  <c r="AC110" i="18" s="1"/>
  <c r="U110" i="18"/>
  <c r="T110" i="18"/>
  <c r="P110" i="18"/>
  <c r="O110" i="18"/>
  <c r="Y109" i="18"/>
  <c r="W109" i="18"/>
  <c r="AC109" i="18" s="1"/>
  <c r="U109" i="18"/>
  <c r="T109" i="18"/>
  <c r="P109" i="18"/>
  <c r="O109" i="18"/>
  <c r="AE108" i="18"/>
  <c r="AD108" i="18"/>
  <c r="AC108" i="18"/>
  <c r="AB108" i="18"/>
  <c r="Y108" i="18"/>
  <c r="X108" i="18"/>
  <c r="W108" i="18"/>
  <c r="AA108" i="18" s="1"/>
  <c r="U108" i="18"/>
  <c r="T108" i="18"/>
  <c r="P108" i="18"/>
  <c r="O108" i="18"/>
  <c r="J108" i="18"/>
  <c r="F108" i="18"/>
  <c r="AA107" i="18"/>
  <c r="Y107" i="18"/>
  <c r="W107" i="18"/>
  <c r="AC107" i="18" s="1"/>
  <c r="U107" i="18"/>
  <c r="T107" i="18"/>
  <c r="X107" i="18" s="1"/>
  <c r="P107" i="18"/>
  <c r="O107" i="18"/>
  <c r="X106" i="18"/>
  <c r="W106" i="18"/>
  <c r="U106" i="18"/>
  <c r="T106" i="18"/>
  <c r="P106" i="18"/>
  <c r="O106" i="18"/>
  <c r="AC105" i="18"/>
  <c r="AA105" i="18"/>
  <c r="Y105" i="18"/>
  <c r="W105" i="18"/>
  <c r="U105" i="18"/>
  <c r="T105" i="18"/>
  <c r="P105" i="18"/>
  <c r="O105" i="18"/>
  <c r="X105" i="18" s="1"/>
  <c r="AC104" i="18"/>
  <c r="W104" i="18"/>
  <c r="Y104" i="18" s="1"/>
  <c r="U104" i="18"/>
  <c r="T104" i="18"/>
  <c r="X104" i="18" s="1"/>
  <c r="AA104" i="18" s="1"/>
  <c r="P104" i="18"/>
  <c r="O104" i="18"/>
  <c r="X103" i="18"/>
  <c r="AA103" i="18" s="1"/>
  <c r="W103" i="18"/>
  <c r="U103" i="18"/>
  <c r="T103" i="18"/>
  <c r="P103" i="18"/>
  <c r="O103" i="18"/>
  <c r="AE102" i="18"/>
  <c r="Y102" i="18"/>
  <c r="X102" i="18"/>
  <c r="AA102" i="18" s="1"/>
  <c r="W102" i="18"/>
  <c r="AC102" i="18" s="1"/>
  <c r="U102" i="18"/>
  <c r="T102" i="18"/>
  <c r="P102" i="18"/>
  <c r="O102" i="18"/>
  <c r="AC101" i="18"/>
  <c r="Y101" i="18"/>
  <c r="X101" i="18"/>
  <c r="AA101" i="18" s="1"/>
  <c r="W101" i="18"/>
  <c r="U101" i="18"/>
  <c r="T101" i="18"/>
  <c r="P101" i="18"/>
  <c r="O101" i="18"/>
  <c r="AE100" i="18"/>
  <c r="AB100" i="18"/>
  <c r="AA100" i="18"/>
  <c r="W100" i="18"/>
  <c r="U100" i="18"/>
  <c r="T100" i="18"/>
  <c r="X100" i="18" s="1"/>
  <c r="P100" i="18"/>
  <c r="O100" i="18"/>
  <c r="AE99" i="18"/>
  <c r="AD99" i="18"/>
  <c r="AC99" i="18"/>
  <c r="AB99" i="18"/>
  <c r="AA99" i="18"/>
  <c r="Y99" i="18"/>
  <c r="X99" i="18"/>
  <c r="W99" i="18"/>
  <c r="U99" i="18"/>
  <c r="T99" i="18"/>
  <c r="P99" i="18"/>
  <c r="O99" i="18"/>
  <c r="J99" i="18"/>
  <c r="F99" i="18"/>
  <c r="AC98" i="18"/>
  <c r="AA98" i="18"/>
  <c r="X98" i="18"/>
  <c r="W98" i="18"/>
  <c r="Y98" i="18" s="1"/>
  <c r="U98" i="18"/>
  <c r="T98" i="18"/>
  <c r="P98" i="18"/>
  <c r="O98" i="18"/>
  <c r="Y97" i="18"/>
  <c r="X97" i="18"/>
  <c r="AA97" i="18" s="1"/>
  <c r="W97" i="18"/>
  <c r="AC97" i="18" s="1"/>
  <c r="U97" i="18"/>
  <c r="T97" i="18"/>
  <c r="P97" i="18"/>
  <c r="O97" i="18"/>
  <c r="AD96" i="18"/>
  <c r="AC96" i="18"/>
  <c r="AB96" i="18"/>
  <c r="AA96" i="18"/>
  <c r="Y96" i="18"/>
  <c r="W96" i="18"/>
  <c r="U96" i="18"/>
  <c r="T96" i="18"/>
  <c r="X96" i="18" s="1"/>
  <c r="P96" i="18"/>
  <c r="O96" i="18"/>
  <c r="J96" i="18"/>
  <c r="AC95" i="18"/>
  <c r="Y95" i="18"/>
  <c r="W95" i="18"/>
  <c r="U95" i="18"/>
  <c r="T95" i="18"/>
  <c r="X95" i="18" s="1"/>
  <c r="AA95" i="18" s="1"/>
  <c r="AB95" i="18" s="1"/>
  <c r="P95" i="18"/>
  <c r="O95" i="18"/>
  <c r="AC94" i="18"/>
  <c r="W94" i="18"/>
  <c r="Y94" i="18" s="1"/>
  <c r="U94" i="18"/>
  <c r="T94" i="18"/>
  <c r="X94" i="18" s="1"/>
  <c r="AA94" i="18" s="1"/>
  <c r="F94" i="18" s="1"/>
  <c r="P94" i="18"/>
  <c r="O94" i="18"/>
  <c r="J94" i="18"/>
  <c r="AC93" i="18"/>
  <c r="Y93" i="18"/>
  <c r="W93" i="18"/>
  <c r="U93" i="18"/>
  <c r="T93" i="18"/>
  <c r="P93" i="18"/>
  <c r="O93" i="18"/>
  <c r="X93" i="18" s="1"/>
  <c r="AA93" i="18" s="1"/>
  <c r="AE92" i="18"/>
  <c r="W92" i="18"/>
  <c r="U92" i="18"/>
  <c r="T92" i="18"/>
  <c r="P92" i="18"/>
  <c r="O92" i="18"/>
  <c r="X92" i="18" s="1"/>
  <c r="AA92" i="18" s="1"/>
  <c r="W91" i="18"/>
  <c r="U91" i="18"/>
  <c r="T91" i="18"/>
  <c r="X91" i="18" s="1"/>
  <c r="P91" i="18"/>
  <c r="O91" i="18"/>
  <c r="X90" i="18"/>
  <c r="AA90" i="18" s="1"/>
  <c r="W90" i="18"/>
  <c r="U90" i="18"/>
  <c r="T90" i="18"/>
  <c r="P90" i="18"/>
  <c r="O90" i="18"/>
  <c r="J90" i="18"/>
  <c r="AC89" i="18"/>
  <c r="Y89" i="18"/>
  <c r="W89" i="18"/>
  <c r="U89" i="18"/>
  <c r="T89" i="18"/>
  <c r="X89" i="18" s="1"/>
  <c r="AA89" i="18" s="1"/>
  <c r="P89" i="18"/>
  <c r="O89" i="18"/>
  <c r="AD88" i="18"/>
  <c r="AC88" i="18"/>
  <c r="AB88" i="18"/>
  <c r="X88" i="18"/>
  <c r="AA88" i="18" s="1"/>
  <c r="F88" i="18" s="1"/>
  <c r="W88" i="18"/>
  <c r="Y88" i="18" s="1"/>
  <c r="U88" i="18"/>
  <c r="T88" i="18"/>
  <c r="P88" i="18"/>
  <c r="O88" i="18"/>
  <c r="J88" i="18"/>
  <c r="AF88" i="18" s="1"/>
  <c r="W87" i="18"/>
  <c r="U87" i="18"/>
  <c r="T87" i="18"/>
  <c r="X87" i="18" s="1"/>
  <c r="AA87" i="18" s="1"/>
  <c r="P87" i="18"/>
  <c r="O87" i="18"/>
  <c r="W86" i="18"/>
  <c r="AC86" i="18" s="1"/>
  <c r="U86" i="18"/>
  <c r="T86" i="18"/>
  <c r="X86" i="18" s="1"/>
  <c r="AA86" i="18" s="1"/>
  <c r="P86" i="18"/>
  <c r="O86" i="18"/>
  <c r="AB85" i="18"/>
  <c r="X85" i="18"/>
  <c r="AA85" i="18" s="1"/>
  <c r="W85" i="18"/>
  <c r="U85" i="18"/>
  <c r="T85" i="18"/>
  <c r="P85" i="18"/>
  <c r="O85" i="18"/>
  <c r="AC84" i="18"/>
  <c r="AB84" i="18"/>
  <c r="Y84" i="18"/>
  <c r="W84" i="18"/>
  <c r="U84" i="18"/>
  <c r="T84" i="18"/>
  <c r="X84" i="18" s="1"/>
  <c r="AA84" i="18" s="1"/>
  <c r="P84" i="18"/>
  <c r="O84" i="18"/>
  <c r="AC83" i="18"/>
  <c r="X83" i="18"/>
  <c r="AA83" i="18" s="1"/>
  <c r="W83" i="18"/>
  <c r="Y83" i="18" s="1"/>
  <c r="U83" i="18"/>
  <c r="T83" i="18"/>
  <c r="P83" i="18"/>
  <c r="O83" i="18"/>
  <c r="Y82" i="18"/>
  <c r="W82" i="18"/>
  <c r="AC82" i="18" s="1"/>
  <c r="U82" i="18"/>
  <c r="T82" i="18"/>
  <c r="X82" i="18" s="1"/>
  <c r="AA82" i="18" s="1"/>
  <c r="P82" i="18"/>
  <c r="O82" i="18"/>
  <c r="AA81" i="18"/>
  <c r="W81" i="18"/>
  <c r="U81" i="18"/>
  <c r="T81" i="18"/>
  <c r="X81" i="18" s="1"/>
  <c r="P81" i="18"/>
  <c r="O81" i="18"/>
  <c r="AE80" i="18"/>
  <c r="Y80" i="18"/>
  <c r="X80" i="18"/>
  <c r="AA80" i="18" s="1"/>
  <c r="W80" i="18"/>
  <c r="AC80" i="18" s="1"/>
  <c r="U80" i="18"/>
  <c r="T80" i="18"/>
  <c r="P80" i="18"/>
  <c r="O80" i="18"/>
  <c r="F80" i="18"/>
  <c r="AA79" i="18"/>
  <c r="X79" i="18"/>
  <c r="W79" i="18"/>
  <c r="AC79" i="18" s="1"/>
  <c r="U79" i="18"/>
  <c r="T79" i="18"/>
  <c r="P79" i="18"/>
  <c r="O79" i="18"/>
  <c r="J79" i="18"/>
  <c r="AC78" i="18"/>
  <c r="AA78" i="18"/>
  <c r="Y78" i="18"/>
  <c r="W78" i="18"/>
  <c r="U78" i="18"/>
  <c r="T78" i="18"/>
  <c r="X78" i="18" s="1"/>
  <c r="P78" i="18"/>
  <c r="O78" i="18"/>
  <c r="AD77" i="18"/>
  <c r="AB77" i="18"/>
  <c r="X77" i="18"/>
  <c r="AA77" i="18" s="1"/>
  <c r="F77" i="18" s="1"/>
  <c r="W77" i="18"/>
  <c r="U77" i="18"/>
  <c r="T77" i="18"/>
  <c r="P77" i="18"/>
  <c r="O77" i="18"/>
  <c r="J77" i="18"/>
  <c r="AA76" i="18"/>
  <c r="J76" i="18" s="1"/>
  <c r="Y76" i="18"/>
  <c r="W76" i="18"/>
  <c r="AC76" i="18" s="1"/>
  <c r="U76" i="18"/>
  <c r="T76" i="18"/>
  <c r="X76" i="18" s="1"/>
  <c r="P76" i="18"/>
  <c r="O76" i="18"/>
  <c r="X75" i="18"/>
  <c r="AA75" i="18" s="1"/>
  <c r="W75" i="18"/>
  <c r="Y75" i="18" s="1"/>
  <c r="U75" i="18"/>
  <c r="T75" i="18"/>
  <c r="P75" i="18"/>
  <c r="O75" i="18"/>
  <c r="Y74" i="18"/>
  <c r="X74" i="18"/>
  <c r="AA74" i="18" s="1"/>
  <c r="W74" i="18"/>
  <c r="AC74" i="18" s="1"/>
  <c r="U74" i="18"/>
  <c r="T74" i="18"/>
  <c r="P74" i="18"/>
  <c r="O74" i="18"/>
  <c r="Y73" i="18"/>
  <c r="X73" i="18"/>
  <c r="AA73" i="18" s="1"/>
  <c r="W73" i="18"/>
  <c r="AC73" i="18" s="1"/>
  <c r="U73" i="18"/>
  <c r="T73" i="18"/>
  <c r="P73" i="18"/>
  <c r="O73" i="18"/>
  <c r="AC72" i="18"/>
  <c r="Y72" i="18"/>
  <c r="W72" i="18"/>
  <c r="U72" i="18"/>
  <c r="T72" i="18"/>
  <c r="X72" i="18" s="1"/>
  <c r="AA72" i="18" s="1"/>
  <c r="P72" i="18"/>
  <c r="O72" i="18"/>
  <c r="AC71" i="18"/>
  <c r="W71" i="18"/>
  <c r="Y71" i="18" s="1"/>
  <c r="U71" i="18"/>
  <c r="T71" i="18"/>
  <c r="P71" i="18"/>
  <c r="O71" i="18"/>
  <c r="X71" i="18" s="1"/>
  <c r="AA71" i="18" s="1"/>
  <c r="AA70" i="18"/>
  <c r="Y70" i="18"/>
  <c r="X70" i="18"/>
  <c r="W70" i="18"/>
  <c r="AC70" i="18" s="1"/>
  <c r="U70" i="18"/>
  <c r="T70" i="18"/>
  <c r="P70" i="18"/>
  <c r="O70" i="18"/>
  <c r="X69" i="18"/>
  <c r="AA69" i="18" s="1"/>
  <c r="W69" i="18"/>
  <c r="U69" i="18"/>
  <c r="T69" i="18"/>
  <c r="P69" i="18"/>
  <c r="O69" i="18"/>
  <c r="AE68" i="18"/>
  <c r="AC68" i="18"/>
  <c r="X68" i="18"/>
  <c r="AA68" i="18" s="1"/>
  <c r="F68" i="18" s="1"/>
  <c r="W68" i="18"/>
  <c r="Y68" i="18" s="1"/>
  <c r="U68" i="18"/>
  <c r="T68" i="18"/>
  <c r="P68" i="18"/>
  <c r="O68" i="18"/>
  <c r="J68" i="18"/>
  <c r="AC67" i="18"/>
  <c r="Y67" i="18"/>
  <c r="X67" i="18"/>
  <c r="AA67" i="18" s="1"/>
  <c r="J67" i="18" s="1"/>
  <c r="W67" i="18"/>
  <c r="U67" i="18"/>
  <c r="T67" i="18"/>
  <c r="P67" i="18"/>
  <c r="O67" i="18"/>
  <c r="AC66" i="18"/>
  <c r="Y66" i="18"/>
  <c r="W66" i="18"/>
  <c r="U66" i="18"/>
  <c r="T66" i="18"/>
  <c r="X66" i="18" s="1"/>
  <c r="AA66" i="18" s="1"/>
  <c r="P66" i="18"/>
  <c r="O66" i="18"/>
  <c r="AB65" i="18"/>
  <c r="Y65" i="18"/>
  <c r="W65" i="18"/>
  <c r="AC65" i="18" s="1"/>
  <c r="U65" i="18"/>
  <c r="T65" i="18"/>
  <c r="X65" i="18" s="1"/>
  <c r="AA65" i="18" s="1"/>
  <c r="P65" i="18"/>
  <c r="O65" i="18"/>
  <c r="J65" i="18"/>
  <c r="X64" i="18"/>
  <c r="AA64" i="18" s="1"/>
  <c r="W64" i="18"/>
  <c r="U64" i="18"/>
  <c r="T64" i="18"/>
  <c r="P64" i="18"/>
  <c r="O64" i="18"/>
  <c r="AD63" i="18"/>
  <c r="AB63" i="18"/>
  <c r="Z63" i="18"/>
  <c r="X63" i="18"/>
  <c r="AA63" i="18" s="1"/>
  <c r="W63" i="18"/>
  <c r="AC63" i="18" s="1"/>
  <c r="U63" i="18"/>
  <c r="T63" i="18"/>
  <c r="P63" i="18"/>
  <c r="O63" i="18"/>
  <c r="F63" i="18"/>
  <c r="AC62" i="18"/>
  <c r="Z62" i="18"/>
  <c r="W62" i="18"/>
  <c r="Y62" i="18" s="1"/>
  <c r="U62" i="18"/>
  <c r="T62" i="18"/>
  <c r="X62" i="18" s="1"/>
  <c r="AA62" i="18" s="1"/>
  <c r="P62" i="18"/>
  <c r="O62" i="18"/>
  <c r="Z61" i="18"/>
  <c r="W61" i="18"/>
  <c r="U61" i="18"/>
  <c r="T61" i="18"/>
  <c r="P61" i="18"/>
  <c r="O61" i="18"/>
  <c r="X61" i="18" s="1"/>
  <c r="AA61" i="18" s="1"/>
  <c r="Z60" i="18"/>
  <c r="W60" i="18"/>
  <c r="AC60" i="18" s="1"/>
  <c r="U60" i="18"/>
  <c r="T60" i="18"/>
  <c r="X60" i="18" s="1"/>
  <c r="AA60" i="18" s="1"/>
  <c r="P60" i="18"/>
  <c r="O60" i="18"/>
  <c r="AC59" i="18"/>
  <c r="Z59" i="18"/>
  <c r="Y59" i="18"/>
  <c r="W59" i="18"/>
  <c r="U59" i="18"/>
  <c r="T59" i="18"/>
  <c r="P59" i="18"/>
  <c r="O59" i="18"/>
  <c r="X59" i="18" s="1"/>
  <c r="AA59" i="18" s="1"/>
  <c r="AE58" i="18"/>
  <c r="AD58" i="18"/>
  <c r="AC58" i="18"/>
  <c r="AB58" i="18"/>
  <c r="Y58" i="18"/>
  <c r="X58" i="18"/>
  <c r="W58" i="18"/>
  <c r="U58" i="18"/>
  <c r="T58" i="18"/>
  <c r="P58" i="18"/>
  <c r="O58" i="18"/>
  <c r="J58" i="18"/>
  <c r="AF58" i="18" s="1"/>
  <c r="F58" i="18"/>
  <c r="Y57" i="18"/>
  <c r="W57" i="18"/>
  <c r="AC57" i="18" s="1"/>
  <c r="U57" i="18"/>
  <c r="T57" i="18"/>
  <c r="X57" i="18" s="1"/>
  <c r="AA57" i="18" s="1"/>
  <c r="P57" i="18"/>
  <c r="O57" i="18"/>
  <c r="AA56" i="18"/>
  <c r="Y56" i="18"/>
  <c r="X56" i="18"/>
  <c r="W56" i="18"/>
  <c r="AC56" i="18" s="1"/>
  <c r="U56" i="18"/>
  <c r="T56" i="18"/>
  <c r="P56" i="18"/>
  <c r="O56" i="18"/>
  <c r="AC55" i="18"/>
  <c r="Y55" i="18"/>
  <c r="W55" i="18"/>
  <c r="U55" i="18"/>
  <c r="T55" i="18"/>
  <c r="X55" i="18" s="1"/>
  <c r="AA55" i="18" s="1"/>
  <c r="P55" i="18"/>
  <c r="O55" i="18"/>
  <c r="AE54" i="18"/>
  <c r="AD54" i="18"/>
  <c r="AB54" i="18"/>
  <c r="W54" i="18"/>
  <c r="U54" i="18"/>
  <c r="T54" i="18"/>
  <c r="X54" i="18" s="1"/>
  <c r="P54" i="18"/>
  <c r="O54" i="18"/>
  <c r="J54" i="18"/>
  <c r="AF54" i="18" s="1"/>
  <c r="F54" i="18"/>
  <c r="W53" i="18"/>
  <c r="AC53" i="18" s="1"/>
  <c r="U53" i="18"/>
  <c r="T53" i="18"/>
  <c r="X53" i="18" s="1"/>
  <c r="AA53" i="18" s="1"/>
  <c r="P53" i="18"/>
  <c r="O53" i="18"/>
  <c r="AE52" i="18"/>
  <c r="AD52" i="18"/>
  <c r="AB52" i="18"/>
  <c r="Y52" i="18"/>
  <c r="X52" i="18"/>
  <c r="W52" i="18"/>
  <c r="AC52" i="18" s="1"/>
  <c r="U52" i="18"/>
  <c r="T52" i="18"/>
  <c r="P52" i="18"/>
  <c r="O52" i="18"/>
  <c r="J52" i="18"/>
  <c r="AF52" i="18" s="1"/>
  <c r="F52" i="18"/>
  <c r="AE51" i="18"/>
  <c r="AD51" i="18"/>
  <c r="AC51" i="18"/>
  <c r="AB51" i="18"/>
  <c r="Y51" i="18"/>
  <c r="W51" i="18"/>
  <c r="U51" i="18"/>
  <c r="T51" i="18"/>
  <c r="P51" i="18"/>
  <c r="O51" i="18"/>
  <c r="X51" i="18" s="1"/>
  <c r="J51" i="18"/>
  <c r="AF51" i="18" s="1"/>
  <c r="F51" i="18"/>
  <c r="AE50" i="18"/>
  <c r="AD50" i="18"/>
  <c r="AC50" i="18"/>
  <c r="AB50" i="18"/>
  <c r="Y50" i="18"/>
  <c r="X50" i="18"/>
  <c r="W50" i="18"/>
  <c r="U50" i="18"/>
  <c r="T50" i="18"/>
  <c r="P50" i="18"/>
  <c r="O50" i="18"/>
  <c r="J50" i="18"/>
  <c r="F50" i="18"/>
  <c r="W49" i="18"/>
  <c r="Y49" i="18" s="1"/>
  <c r="U49" i="18"/>
  <c r="T49" i="18"/>
  <c r="X49" i="18" s="1"/>
  <c r="AA49" i="18" s="1"/>
  <c r="P49" i="18"/>
  <c r="O49" i="18"/>
  <c r="AE48" i="18"/>
  <c r="AC48" i="18"/>
  <c r="Y48" i="18"/>
  <c r="X48" i="18"/>
  <c r="AA48" i="18" s="1"/>
  <c r="W48" i="18"/>
  <c r="U48" i="18"/>
  <c r="T48" i="18"/>
  <c r="P48" i="18"/>
  <c r="O48" i="18"/>
  <c r="W47" i="18"/>
  <c r="U47" i="18"/>
  <c r="T47" i="18"/>
  <c r="X47" i="18" s="1"/>
  <c r="AA47" i="18" s="1"/>
  <c r="P47" i="18"/>
  <c r="O47" i="18"/>
  <c r="AC46" i="18"/>
  <c r="AA46" i="18"/>
  <c r="Y46" i="18"/>
  <c r="X46" i="18"/>
  <c r="W46" i="18"/>
  <c r="U46" i="18"/>
  <c r="T46" i="18"/>
  <c r="P46" i="18"/>
  <c r="O46" i="18"/>
  <c r="AE45" i="18"/>
  <c r="AD45" i="18"/>
  <c r="AC45" i="18"/>
  <c r="AB45" i="18"/>
  <c r="Y45" i="18"/>
  <c r="W45" i="18"/>
  <c r="U45" i="18"/>
  <c r="T45" i="18"/>
  <c r="X45" i="18" s="1"/>
  <c r="AA45" i="18" s="1"/>
  <c r="J45" i="18" s="1"/>
  <c r="AF45" i="18" s="1"/>
  <c r="P45" i="18"/>
  <c r="O45" i="18"/>
  <c r="F45" i="18"/>
  <c r="AE44" i="18"/>
  <c r="AC44" i="18"/>
  <c r="Y44" i="18"/>
  <c r="X44" i="18"/>
  <c r="AA44" i="18" s="1"/>
  <c r="W44" i="18"/>
  <c r="U44" i="18"/>
  <c r="T44" i="18"/>
  <c r="P44" i="18"/>
  <c r="O44" i="18"/>
  <c r="AC43" i="18"/>
  <c r="W43" i="18"/>
  <c r="Y43" i="18" s="1"/>
  <c r="U43" i="18"/>
  <c r="T43" i="18"/>
  <c r="X43" i="18" s="1"/>
  <c r="AA43" i="18" s="1"/>
  <c r="P43" i="18"/>
  <c r="O43" i="18"/>
  <c r="AC42" i="18"/>
  <c r="AA42" i="18"/>
  <c r="Y42" i="18"/>
  <c r="X42" i="18"/>
  <c r="W42" i="18"/>
  <c r="U42" i="18"/>
  <c r="T42" i="18"/>
  <c r="P42" i="18"/>
  <c r="O42" i="18"/>
  <c r="AE41" i="18"/>
  <c r="AD41" i="18"/>
  <c r="AC41" i="18"/>
  <c r="AB41" i="18"/>
  <c r="Y41" i="18"/>
  <c r="W41" i="18"/>
  <c r="U41" i="18"/>
  <c r="T41" i="18"/>
  <c r="X41" i="18" s="1"/>
  <c r="AA41" i="18" s="1"/>
  <c r="P41" i="18"/>
  <c r="O41" i="18"/>
  <c r="J41" i="18"/>
  <c r="F41" i="18"/>
  <c r="AE40" i="18"/>
  <c r="AD40" i="18"/>
  <c r="AB40" i="18"/>
  <c r="Y40" i="18"/>
  <c r="X40" i="18"/>
  <c r="AA40" i="18" s="1"/>
  <c r="F40" i="18" s="1"/>
  <c r="W40" i="18"/>
  <c r="AC40" i="18" s="1"/>
  <c r="U40" i="18"/>
  <c r="T40" i="18"/>
  <c r="P40" i="18"/>
  <c r="O40" i="18"/>
  <c r="J40" i="18"/>
  <c r="Z40" i="18" s="1"/>
  <c r="W39" i="18"/>
  <c r="U39" i="18"/>
  <c r="T39" i="18"/>
  <c r="X39" i="18" s="1"/>
  <c r="AA39" i="18" s="1"/>
  <c r="P39" i="18"/>
  <c r="O39" i="18"/>
  <c r="AC38" i="18"/>
  <c r="Y38" i="18"/>
  <c r="X38" i="18"/>
  <c r="AA38" i="18" s="1"/>
  <c r="W38" i="18"/>
  <c r="U38" i="18"/>
  <c r="T38" i="18"/>
  <c r="P38" i="18"/>
  <c r="O38" i="18"/>
  <c r="AC37" i="18"/>
  <c r="AB37" i="18"/>
  <c r="AA37" i="18"/>
  <c r="Y37" i="18"/>
  <c r="X37" i="18"/>
  <c r="W37" i="18"/>
  <c r="U37" i="18"/>
  <c r="T37" i="18"/>
  <c r="P37" i="18"/>
  <c r="O37" i="18"/>
  <c r="F37" i="18"/>
  <c r="AC36" i="18"/>
  <c r="AA36" i="18"/>
  <c r="W36" i="18"/>
  <c r="Y36" i="18" s="1"/>
  <c r="U36" i="18"/>
  <c r="T36" i="18"/>
  <c r="P36" i="18"/>
  <c r="O36" i="18"/>
  <c r="X36" i="18" s="1"/>
  <c r="AA35" i="18"/>
  <c r="Y35" i="18"/>
  <c r="W35" i="18"/>
  <c r="AC35" i="18" s="1"/>
  <c r="U35" i="18"/>
  <c r="T35" i="18"/>
  <c r="X35" i="18" s="1"/>
  <c r="P35" i="18"/>
  <c r="O35" i="18"/>
  <c r="AD34" i="18"/>
  <c r="AC34" i="18"/>
  <c r="AB34" i="18"/>
  <c r="AA34" i="18"/>
  <c r="Y34" i="18"/>
  <c r="W34" i="18"/>
  <c r="U34" i="18"/>
  <c r="T34" i="18"/>
  <c r="X34" i="18" s="1"/>
  <c r="P34" i="18"/>
  <c r="O34" i="18"/>
  <c r="J34" i="18"/>
  <c r="F34" i="18"/>
  <c r="Z34" i="18" s="1"/>
  <c r="AC33" i="18"/>
  <c r="AA33" i="18"/>
  <c r="Y33" i="18"/>
  <c r="W33" i="18"/>
  <c r="U33" i="18"/>
  <c r="T33" i="18"/>
  <c r="X33" i="18" s="1"/>
  <c r="P33" i="18"/>
  <c r="O33" i="18"/>
  <c r="AE32" i="18"/>
  <c r="AD32" i="18"/>
  <c r="AC32" i="18"/>
  <c r="AB32" i="18"/>
  <c r="Y32" i="18"/>
  <c r="W32" i="18"/>
  <c r="U32" i="18"/>
  <c r="T32" i="18"/>
  <c r="X32" i="18" s="1"/>
  <c r="AA32" i="18" s="1"/>
  <c r="P32" i="18"/>
  <c r="O32" i="18"/>
  <c r="J32" i="18"/>
  <c r="F32" i="18"/>
  <c r="W31" i="18"/>
  <c r="U31" i="18"/>
  <c r="T31" i="18"/>
  <c r="P31" i="18"/>
  <c r="O31" i="18"/>
  <c r="X31" i="18" s="1"/>
  <c r="AA31" i="18" s="1"/>
  <c r="Y30" i="18"/>
  <c r="X30" i="18"/>
  <c r="AA30" i="18" s="1"/>
  <c r="W30" i="18"/>
  <c r="AC30" i="18" s="1"/>
  <c r="U30" i="18"/>
  <c r="T30" i="18"/>
  <c r="P30" i="18"/>
  <c r="O30" i="18"/>
  <c r="X29" i="18"/>
  <c r="AA29" i="18" s="1"/>
  <c r="W29" i="18"/>
  <c r="Y29" i="18" s="1"/>
  <c r="U29" i="18"/>
  <c r="T29" i="18"/>
  <c r="P29" i="18"/>
  <c r="O29" i="18"/>
  <c r="AC28" i="18"/>
  <c r="W28" i="18"/>
  <c r="AA28" i="18" s="1"/>
  <c r="U28" i="18"/>
  <c r="T28" i="18"/>
  <c r="X28" i="18" s="1"/>
  <c r="P28" i="18"/>
  <c r="O28" i="18"/>
  <c r="AE27" i="18"/>
  <c r="AD27" i="18"/>
  <c r="AC27" i="18"/>
  <c r="AB27" i="18"/>
  <c r="Y27" i="18"/>
  <c r="X27" i="18"/>
  <c r="W27" i="18"/>
  <c r="U27" i="18"/>
  <c r="T27" i="18"/>
  <c r="P27" i="18"/>
  <c r="O27" i="18"/>
  <c r="J27" i="18"/>
  <c r="F27" i="18"/>
  <c r="AE26" i="18"/>
  <c r="AD26" i="18"/>
  <c r="AC26" i="18"/>
  <c r="AB26" i="18"/>
  <c r="Y26" i="18"/>
  <c r="W26" i="18"/>
  <c r="U26" i="18"/>
  <c r="T26" i="18"/>
  <c r="X26" i="18" s="1"/>
  <c r="P26" i="18"/>
  <c r="O26" i="18"/>
  <c r="J26" i="18"/>
  <c r="F26" i="18"/>
  <c r="AE25" i="18"/>
  <c r="AD25" i="18"/>
  <c r="AC25" i="18"/>
  <c r="AB25" i="18"/>
  <c r="Y25" i="18"/>
  <c r="W25" i="18"/>
  <c r="U25" i="18"/>
  <c r="T25" i="18"/>
  <c r="X25" i="18" s="1"/>
  <c r="P25" i="18"/>
  <c r="O25" i="18"/>
  <c r="J25" i="18"/>
  <c r="F25" i="18"/>
  <c r="AE24" i="18"/>
  <c r="AD24" i="18"/>
  <c r="AC24" i="18"/>
  <c r="AB24" i="18"/>
  <c r="Y24" i="18"/>
  <c r="W24" i="18"/>
  <c r="U24" i="18"/>
  <c r="T24" i="18"/>
  <c r="X24" i="18" s="1"/>
  <c r="P24" i="18"/>
  <c r="O24" i="18"/>
  <c r="J24" i="18"/>
  <c r="F24" i="18"/>
  <c r="AE23" i="18"/>
  <c r="AD23" i="18"/>
  <c r="AB23" i="18"/>
  <c r="W23" i="18"/>
  <c r="U23" i="18"/>
  <c r="T23" i="18"/>
  <c r="P23" i="18"/>
  <c r="O23" i="18"/>
  <c r="J23" i="18"/>
  <c r="F23" i="18"/>
  <c r="AC22" i="18"/>
  <c r="Y22" i="18"/>
  <c r="AA22" i="18" s="1"/>
  <c r="X22" i="18"/>
  <c r="W22" i="18"/>
  <c r="U22" i="18"/>
  <c r="T22" i="18"/>
  <c r="P22" i="18"/>
  <c r="O22" i="18"/>
  <c r="J22" i="18"/>
  <c r="Y21" i="18"/>
  <c r="W21" i="18"/>
  <c r="AC21" i="18" s="1"/>
  <c r="U21" i="18"/>
  <c r="T21" i="18"/>
  <c r="X21" i="18" s="1"/>
  <c r="P21" i="18"/>
  <c r="O21" i="18"/>
  <c r="AE20" i="18"/>
  <c r="AD20" i="18"/>
  <c r="AB20" i="18"/>
  <c r="W20" i="18"/>
  <c r="Y20" i="18" s="1"/>
  <c r="U20" i="18"/>
  <c r="T20" i="18"/>
  <c r="X20" i="18" s="1"/>
  <c r="P20" i="18"/>
  <c r="O20" i="18"/>
  <c r="J20" i="18"/>
  <c r="F20" i="18"/>
  <c r="AE19" i="18"/>
  <c r="AD19" i="18"/>
  <c r="AA19" i="18"/>
  <c r="AB19" i="18" s="1"/>
  <c r="X19" i="18"/>
  <c r="W19" i="18"/>
  <c r="Y19" i="18" s="1"/>
  <c r="U19" i="18"/>
  <c r="T19" i="18"/>
  <c r="P19" i="18"/>
  <c r="O19" i="18"/>
  <c r="J19" i="18"/>
  <c r="F19" i="18"/>
  <c r="AE18" i="18"/>
  <c r="AC18" i="18"/>
  <c r="Y18" i="18"/>
  <c r="W18" i="18"/>
  <c r="AA18" i="18" s="1"/>
  <c r="U18" i="18"/>
  <c r="T18" i="18"/>
  <c r="P18" i="18"/>
  <c r="O18" i="18"/>
  <c r="X18" i="18" s="1"/>
  <c r="AE17" i="18"/>
  <c r="AD17" i="18"/>
  <c r="AC17" i="18"/>
  <c r="AB17" i="18"/>
  <c r="AA17" i="18"/>
  <c r="Y17" i="18"/>
  <c r="W17" i="18"/>
  <c r="U17" i="18"/>
  <c r="T17" i="18"/>
  <c r="X17" i="18" s="1"/>
  <c r="P17" i="18"/>
  <c r="O17" i="18"/>
  <c r="J17" i="18"/>
  <c r="F17" i="18"/>
  <c r="W16" i="18"/>
  <c r="U16" i="18"/>
  <c r="T16" i="18"/>
  <c r="P16" i="18"/>
  <c r="O16" i="18"/>
  <c r="X16" i="18" s="1"/>
  <c r="AA15" i="18"/>
  <c r="Y15" i="18"/>
  <c r="X15" i="18"/>
  <c r="W15" i="18"/>
  <c r="AC15" i="18" s="1"/>
  <c r="U15" i="18"/>
  <c r="T15" i="18"/>
  <c r="P15" i="18"/>
  <c r="O15" i="18"/>
  <c r="AC14" i="18"/>
  <c r="AB14" i="18"/>
  <c r="AA14" i="18"/>
  <c r="X14" i="18"/>
  <c r="W14" i="18"/>
  <c r="Y14" i="18" s="1"/>
  <c r="U14" i="18"/>
  <c r="T14" i="18"/>
  <c r="P14" i="18"/>
  <c r="O14" i="18"/>
  <c r="AC13" i="18"/>
  <c r="AA13" i="18"/>
  <c r="AB13" i="18" s="1"/>
  <c r="Y13" i="18"/>
  <c r="X13" i="18"/>
  <c r="W13" i="18"/>
  <c r="U13" i="18"/>
  <c r="T13" i="18"/>
  <c r="P13" i="18"/>
  <c r="O13" i="18"/>
  <c r="J13" i="18"/>
  <c r="AD12" i="18"/>
  <c r="AC12" i="18"/>
  <c r="AB12" i="18"/>
  <c r="AA12" i="18"/>
  <c r="Y12" i="18"/>
  <c r="W12" i="18"/>
  <c r="U12" i="18"/>
  <c r="T12" i="18"/>
  <c r="X12" i="18" s="1"/>
  <c r="P12" i="18"/>
  <c r="O12" i="18"/>
  <c r="J12" i="18"/>
  <c r="AD11" i="18"/>
  <c r="AC11" i="18"/>
  <c r="AB11" i="18"/>
  <c r="Z11" i="18"/>
  <c r="AE11" i="18" s="1"/>
  <c r="Y11" i="18"/>
  <c r="X11" i="18"/>
  <c r="W11" i="18"/>
  <c r="AA11" i="18" s="1"/>
  <c r="U11" i="18"/>
  <c r="T11" i="18"/>
  <c r="P11" i="18"/>
  <c r="O11" i="18"/>
  <c r="J11" i="18"/>
  <c r="F11" i="18"/>
  <c r="AD10" i="18"/>
  <c r="AC10" i="18"/>
  <c r="AB10" i="18"/>
  <c r="W10" i="18"/>
  <c r="Y10" i="18" s="1"/>
  <c r="U10" i="18"/>
  <c r="T10" i="18"/>
  <c r="X10" i="18" s="1"/>
  <c r="P10" i="18"/>
  <c r="O10" i="18"/>
  <c r="J10" i="18"/>
  <c r="Z10" i="18" s="1"/>
  <c r="AE10" i="18" s="1"/>
  <c r="F10" i="18"/>
  <c r="W9" i="18"/>
  <c r="U9" i="18"/>
  <c r="T9" i="18"/>
  <c r="P9" i="18"/>
  <c r="O9" i="18"/>
  <c r="AC8" i="18"/>
  <c r="AA8" i="18"/>
  <c r="Y8" i="18"/>
  <c r="W8" i="18"/>
  <c r="U8" i="18"/>
  <c r="T8" i="18"/>
  <c r="X8" i="18" s="1"/>
  <c r="P8" i="18"/>
  <c r="O8" i="18"/>
  <c r="AC7" i="18"/>
  <c r="AA7" i="18"/>
  <c r="X7" i="18"/>
  <c r="W7" i="18"/>
  <c r="Y7" i="18" s="1"/>
  <c r="U7" i="18"/>
  <c r="T7" i="18"/>
  <c r="P7" i="18"/>
  <c r="O7" i="18"/>
  <c r="W6" i="18"/>
  <c r="U6" i="18"/>
  <c r="T6" i="18"/>
  <c r="X6" i="18" s="1"/>
  <c r="P6" i="18"/>
  <c r="O6" i="18"/>
  <c r="AC5" i="18"/>
  <c r="Y5" i="18"/>
  <c r="W5" i="18"/>
  <c r="AA5" i="18" s="1"/>
  <c r="U5" i="18"/>
  <c r="T5" i="18"/>
  <c r="X5" i="18" s="1"/>
  <c r="P5" i="18"/>
  <c r="O5" i="18"/>
  <c r="F5" i="18"/>
  <c r="AD4" i="18"/>
  <c r="AC4" i="18"/>
  <c r="AB4" i="18"/>
  <c r="AA4" i="18"/>
  <c r="Z4" i="18"/>
  <c r="Y4" i="18"/>
  <c r="X4" i="18"/>
  <c r="W4" i="18"/>
  <c r="U4" i="18"/>
  <c r="T4" i="18"/>
  <c r="P4" i="18"/>
  <c r="O4" i="18"/>
  <c r="J4" i="18"/>
  <c r="F4" i="18"/>
  <c r="AC3" i="18"/>
  <c r="X3" i="18"/>
  <c r="AA3" i="18" s="1"/>
  <c r="J3" i="18" s="1"/>
  <c r="W3" i="18"/>
  <c r="Y3" i="18" s="1"/>
  <c r="U3" i="18"/>
  <c r="T3" i="18"/>
  <c r="P3" i="18"/>
  <c r="O3" i="18"/>
  <c r="P74" i="17"/>
  <c r="L74" i="17"/>
  <c r="K74" i="17"/>
  <c r="L73" i="17"/>
  <c r="P73" i="17" s="1"/>
  <c r="K73" i="17"/>
  <c r="P72" i="17"/>
  <c r="L72" i="17"/>
  <c r="K72" i="17"/>
  <c r="L71" i="17"/>
  <c r="P71" i="17" s="1"/>
  <c r="K71" i="17"/>
  <c r="P70" i="17"/>
  <c r="L70" i="17"/>
  <c r="K70" i="17"/>
  <c r="L69" i="17"/>
  <c r="P69" i="17" s="1"/>
  <c r="K69" i="17"/>
  <c r="P68" i="17"/>
  <c r="L68" i="17"/>
  <c r="K68" i="17"/>
  <c r="L67" i="17"/>
  <c r="P67" i="17" s="1"/>
  <c r="K67" i="17"/>
  <c r="P66" i="17"/>
  <c r="L66" i="17"/>
  <c r="K66" i="17"/>
  <c r="L65" i="17"/>
  <c r="P65" i="17" s="1"/>
  <c r="K65" i="17"/>
  <c r="P64" i="17"/>
  <c r="L64" i="17"/>
  <c r="K64" i="17"/>
  <c r="L63" i="17"/>
  <c r="P63" i="17" s="1"/>
  <c r="K63" i="17"/>
  <c r="P62" i="17"/>
  <c r="L62" i="17"/>
  <c r="K62" i="17"/>
  <c r="L61" i="17"/>
  <c r="P61" i="17" s="1"/>
  <c r="K61" i="17"/>
  <c r="P60" i="17"/>
  <c r="L60" i="17"/>
  <c r="K60" i="17"/>
  <c r="L59" i="17"/>
  <c r="P59" i="17" s="1"/>
  <c r="K59" i="17"/>
  <c r="P58" i="17"/>
  <c r="L58" i="17"/>
  <c r="K58" i="17"/>
  <c r="L57" i="17"/>
  <c r="P57" i="17" s="1"/>
  <c r="K57" i="17"/>
  <c r="P56" i="17"/>
  <c r="L56" i="17"/>
  <c r="K56" i="17"/>
  <c r="L55" i="17"/>
  <c r="P55" i="17" s="1"/>
  <c r="K55" i="17"/>
  <c r="P54" i="17"/>
  <c r="L54" i="17"/>
  <c r="K54" i="17"/>
  <c r="L53" i="17"/>
  <c r="P53" i="17" s="1"/>
  <c r="K53" i="17"/>
  <c r="P52" i="17"/>
  <c r="L52" i="17"/>
  <c r="K52" i="17"/>
  <c r="L51" i="17"/>
  <c r="P51" i="17" s="1"/>
  <c r="K51" i="17"/>
  <c r="P50" i="17"/>
  <c r="L50" i="17"/>
  <c r="K50" i="17"/>
  <c r="L49" i="17"/>
  <c r="P49" i="17" s="1"/>
  <c r="K49" i="17"/>
  <c r="P48" i="17"/>
  <c r="L48" i="17"/>
  <c r="K48" i="17"/>
  <c r="L47" i="17"/>
  <c r="P47" i="17" s="1"/>
  <c r="K47" i="17"/>
  <c r="P46" i="17"/>
  <c r="L46" i="17"/>
  <c r="K46" i="17"/>
  <c r="L45" i="17"/>
  <c r="P45" i="17" s="1"/>
  <c r="K45" i="17"/>
  <c r="P44" i="17"/>
  <c r="L44" i="17"/>
  <c r="K44" i="17"/>
  <c r="L43" i="17"/>
  <c r="P43" i="17" s="1"/>
  <c r="K43" i="17"/>
  <c r="P42" i="17"/>
  <c r="L42" i="17"/>
  <c r="K42" i="17"/>
  <c r="L41" i="17"/>
  <c r="P41" i="17" s="1"/>
  <c r="K41" i="17"/>
  <c r="P40" i="17"/>
  <c r="L40" i="17"/>
  <c r="K40" i="17"/>
  <c r="L39" i="17"/>
  <c r="P39" i="17" s="1"/>
  <c r="K39" i="17"/>
  <c r="P38" i="17"/>
  <c r="L38" i="17"/>
  <c r="K38" i="17"/>
  <c r="L37" i="17"/>
  <c r="P37" i="17" s="1"/>
  <c r="K37" i="17"/>
  <c r="P36" i="17"/>
  <c r="L36" i="17"/>
  <c r="K36" i="17"/>
  <c r="L35" i="17"/>
  <c r="P35" i="17" s="1"/>
  <c r="K35" i="17"/>
  <c r="P34" i="17"/>
  <c r="L34" i="17"/>
  <c r="K34" i="17"/>
  <c r="L33" i="17"/>
  <c r="P33" i="17" s="1"/>
  <c r="K33" i="17"/>
  <c r="P32" i="17"/>
  <c r="L32" i="17"/>
  <c r="K32" i="17"/>
  <c r="L31" i="17"/>
  <c r="P31" i="17" s="1"/>
  <c r="K31" i="17"/>
  <c r="P30" i="17"/>
  <c r="L30" i="17"/>
  <c r="K30" i="17"/>
  <c r="L29" i="17"/>
  <c r="P29" i="17" s="1"/>
  <c r="K29" i="17"/>
  <c r="P28" i="17"/>
  <c r="L28" i="17"/>
  <c r="K28" i="17"/>
  <c r="L27" i="17"/>
  <c r="P27" i="17" s="1"/>
  <c r="K27" i="17"/>
  <c r="P26" i="17"/>
  <c r="L26" i="17"/>
  <c r="K26" i="17"/>
  <c r="L25" i="17"/>
  <c r="P25" i="17" s="1"/>
  <c r="K25" i="17"/>
  <c r="P24" i="17"/>
  <c r="L24" i="17"/>
  <c r="K24" i="17"/>
  <c r="L23" i="17"/>
  <c r="P23" i="17" s="1"/>
  <c r="K23" i="17"/>
  <c r="P22" i="17"/>
  <c r="L22" i="17"/>
  <c r="K22" i="17"/>
  <c r="L21" i="17"/>
  <c r="P21" i="17" s="1"/>
  <c r="K21" i="17"/>
  <c r="P20" i="17"/>
  <c r="L20" i="17"/>
  <c r="K20" i="17"/>
  <c r="L19" i="17"/>
  <c r="P19" i="17" s="1"/>
  <c r="K19" i="17"/>
  <c r="P18" i="17"/>
  <c r="L18" i="17"/>
  <c r="K18" i="17"/>
  <c r="L17" i="17"/>
  <c r="P17" i="17" s="1"/>
  <c r="K17" i="17"/>
  <c r="P16" i="17"/>
  <c r="L16" i="17"/>
  <c r="K16" i="17"/>
  <c r="L15" i="17"/>
  <c r="P15" i="17" s="1"/>
  <c r="K15" i="17"/>
  <c r="P14" i="17"/>
  <c r="L14" i="17"/>
  <c r="K14" i="17"/>
  <c r="L13" i="17"/>
  <c r="P13" i="17" s="1"/>
  <c r="K13" i="17"/>
  <c r="P12" i="17"/>
  <c r="L12" i="17"/>
  <c r="K12" i="17"/>
  <c r="L11" i="17"/>
  <c r="P11" i="17" s="1"/>
  <c r="K11" i="17"/>
  <c r="P10" i="17"/>
  <c r="L10" i="17"/>
  <c r="K10" i="17"/>
  <c r="L9" i="17"/>
  <c r="P9" i="17" s="1"/>
  <c r="K9" i="17"/>
  <c r="P8" i="17"/>
  <c r="L8" i="17"/>
  <c r="K8" i="17"/>
  <c r="L7" i="17"/>
  <c r="P7" i="17" s="1"/>
  <c r="K7" i="17"/>
  <c r="P6" i="17"/>
  <c r="L6" i="17"/>
  <c r="K6" i="17"/>
  <c r="L5" i="17"/>
  <c r="P5" i="17" s="1"/>
  <c r="K5" i="17"/>
  <c r="P4" i="17"/>
  <c r="L4" i="17"/>
  <c r="K4" i="17"/>
  <c r="L3" i="17"/>
  <c r="P3" i="17" s="1"/>
  <c r="K3" i="17"/>
  <c r="R32" i="16"/>
  <c r="P32" i="16"/>
  <c r="O32" i="16"/>
  <c r="L32" i="16"/>
  <c r="K32" i="16"/>
  <c r="R31" i="16"/>
  <c r="P31" i="16"/>
  <c r="O31" i="16"/>
  <c r="L31" i="16"/>
  <c r="K31" i="16"/>
  <c r="U30" i="16"/>
  <c r="Q30" i="16"/>
  <c r="R30" i="16" s="1"/>
  <c r="P30" i="16"/>
  <c r="O30" i="16"/>
  <c r="L30" i="16"/>
  <c r="K30" i="16"/>
  <c r="U29" i="16"/>
  <c r="R29" i="16"/>
  <c r="Q29" i="16"/>
  <c r="O29" i="16"/>
  <c r="P29" i="16" s="1"/>
  <c r="M29" i="16"/>
  <c r="L29" i="16"/>
  <c r="K29" i="16"/>
  <c r="U28" i="16"/>
  <c r="Q28" i="16"/>
  <c r="R28" i="16" s="1"/>
  <c r="O28" i="16"/>
  <c r="P28" i="16" s="1"/>
  <c r="L28" i="16"/>
  <c r="M28" i="16" s="1"/>
  <c r="K28" i="16"/>
  <c r="U27" i="16"/>
  <c r="Q27" i="16"/>
  <c r="R27" i="16" s="1"/>
  <c r="O27" i="16"/>
  <c r="P27" i="16" s="1"/>
  <c r="L27" i="16"/>
  <c r="M27" i="16" s="1"/>
  <c r="K27" i="16"/>
  <c r="U26" i="16"/>
  <c r="R26" i="16"/>
  <c r="Q26" i="16"/>
  <c r="P26" i="16"/>
  <c r="O26" i="16"/>
  <c r="L26" i="16"/>
  <c r="M26" i="16" s="1"/>
  <c r="K26" i="16"/>
  <c r="U25" i="16"/>
  <c r="Q25" i="16"/>
  <c r="R25" i="16" s="1"/>
  <c r="P25" i="16"/>
  <c r="O25" i="16"/>
  <c r="L25" i="16"/>
  <c r="M25" i="16" s="1"/>
  <c r="K25" i="16"/>
  <c r="U24" i="16"/>
  <c r="Q24" i="16"/>
  <c r="R24" i="16" s="1"/>
  <c r="O24" i="16"/>
  <c r="P24" i="16" s="1"/>
  <c r="L24" i="16"/>
  <c r="M24" i="16" s="1"/>
  <c r="K24" i="16"/>
  <c r="U23" i="16"/>
  <c r="Q23" i="16"/>
  <c r="R23" i="16" s="1"/>
  <c r="P23" i="16"/>
  <c r="O23" i="16"/>
  <c r="M23" i="16"/>
  <c r="L23" i="16"/>
  <c r="K23" i="16"/>
  <c r="U22" i="16"/>
  <c r="Q22" i="16"/>
  <c r="R22" i="16" s="1"/>
  <c r="O22" i="16"/>
  <c r="P22" i="16" s="1"/>
  <c r="L22" i="16"/>
  <c r="M22" i="16" s="1"/>
  <c r="K22" i="16"/>
  <c r="U21" i="16"/>
  <c r="Q21" i="16"/>
  <c r="R21" i="16" s="1"/>
  <c r="O21" i="16"/>
  <c r="P21" i="16" s="1"/>
  <c r="L21" i="16"/>
  <c r="M21" i="16" s="1"/>
  <c r="K21" i="16"/>
  <c r="U20" i="16"/>
  <c r="R20" i="16"/>
  <c r="Q20" i="16"/>
  <c r="O20" i="16"/>
  <c r="P20" i="16" s="1"/>
  <c r="M20" i="16"/>
  <c r="L20" i="16"/>
  <c r="K20" i="16"/>
  <c r="U19" i="16"/>
  <c r="Q19" i="16"/>
  <c r="R19" i="16" s="1"/>
  <c r="O19" i="16"/>
  <c r="P19" i="16" s="1"/>
  <c r="L19" i="16"/>
  <c r="M19" i="16" s="1"/>
  <c r="K19" i="16"/>
  <c r="U18" i="16"/>
  <c r="Q18" i="16"/>
  <c r="R18" i="16" s="1"/>
  <c r="O18" i="16"/>
  <c r="P18" i="16" s="1"/>
  <c r="L18" i="16"/>
  <c r="M18" i="16" s="1"/>
  <c r="K18" i="16"/>
  <c r="U17" i="16"/>
  <c r="Q17" i="16"/>
  <c r="R17" i="16" s="1"/>
  <c r="O17" i="16"/>
  <c r="P17" i="16" s="1"/>
  <c r="L17" i="16"/>
  <c r="M17" i="16" s="1"/>
  <c r="K17" i="16"/>
  <c r="U16" i="16"/>
  <c r="Q16" i="16"/>
  <c r="R16" i="16" s="1"/>
  <c r="O16" i="16"/>
  <c r="P16" i="16" s="1"/>
  <c r="L16" i="16"/>
  <c r="M16" i="16" s="1"/>
  <c r="K16" i="16"/>
  <c r="U15" i="16"/>
  <c r="Q15" i="16"/>
  <c r="R15" i="16" s="1"/>
  <c r="O15" i="16"/>
  <c r="P15" i="16" s="1"/>
  <c r="L15" i="16"/>
  <c r="M15" i="16" s="1"/>
  <c r="K15" i="16"/>
  <c r="U14" i="16"/>
  <c r="T14" i="16"/>
  <c r="Q14" i="16" s="1"/>
  <c r="R14" i="16"/>
  <c r="O14" i="16"/>
  <c r="P14" i="16" s="1"/>
  <c r="M14" i="16"/>
  <c r="L14" i="16"/>
  <c r="K14" i="16"/>
  <c r="U13" i="16"/>
  <c r="Q13" i="16"/>
  <c r="R13" i="16" s="1"/>
  <c r="O13" i="16"/>
  <c r="P13" i="16" s="1"/>
  <c r="M13" i="16"/>
  <c r="L13" i="16"/>
  <c r="K13" i="16"/>
  <c r="V12" i="16"/>
  <c r="V13" i="16" s="1"/>
  <c r="U12" i="16"/>
  <c r="R12" i="16"/>
  <c r="Q12" i="16"/>
  <c r="O12" i="16"/>
  <c r="P12" i="16" s="1"/>
  <c r="M12" i="16"/>
  <c r="L12" i="16"/>
  <c r="K12" i="16"/>
  <c r="U11" i="16"/>
  <c r="T11" i="16"/>
  <c r="Q11" i="16"/>
  <c r="R11" i="16" s="1"/>
  <c r="K11" i="16"/>
  <c r="U10" i="16"/>
  <c r="Q10" i="16"/>
  <c r="R10" i="16" s="1"/>
  <c r="K10" i="16"/>
  <c r="U9" i="16"/>
  <c r="Q9" i="16"/>
  <c r="R9" i="16" s="1"/>
  <c r="K9" i="16"/>
  <c r="U8" i="16"/>
  <c r="Q8" i="16"/>
  <c r="R8" i="16" s="1"/>
  <c r="K8" i="16"/>
  <c r="U7" i="16"/>
  <c r="T7" i="16"/>
  <c r="Q7" i="16"/>
  <c r="R7" i="16" s="1"/>
  <c r="K7" i="16"/>
  <c r="T6" i="16"/>
  <c r="K6" i="16"/>
  <c r="U5" i="16"/>
  <c r="T5" i="16"/>
  <c r="Q5" i="16" s="1"/>
  <c r="R5" i="16" s="1"/>
  <c r="K5" i="16"/>
  <c r="T4" i="16"/>
  <c r="U4" i="16" s="1"/>
  <c r="U3" i="16"/>
  <c r="T3" i="16"/>
  <c r="Q3" i="16"/>
  <c r="R3" i="16" s="1"/>
  <c r="T2" i="16"/>
  <c r="J33" i="15"/>
  <c r="I33" i="15"/>
  <c r="F33" i="15"/>
  <c r="G33" i="15" s="1"/>
  <c r="J32" i="15"/>
  <c r="I32" i="15"/>
  <c r="F32" i="15"/>
  <c r="G32" i="15" s="1"/>
  <c r="I31" i="15"/>
  <c r="J30" i="15"/>
  <c r="I30" i="15"/>
  <c r="F30" i="15" s="1"/>
  <c r="G30" i="15" s="1"/>
  <c r="J29" i="15"/>
  <c r="I29" i="15"/>
  <c r="F29" i="15"/>
  <c r="G29" i="15" s="1"/>
  <c r="I28" i="15"/>
  <c r="J27" i="15"/>
  <c r="I27" i="15"/>
  <c r="F27" i="15" s="1"/>
  <c r="G27" i="15" s="1"/>
  <c r="J26" i="15"/>
  <c r="I26" i="15"/>
  <c r="F26" i="15"/>
  <c r="G26" i="15" s="1"/>
  <c r="I25" i="15"/>
  <c r="I24" i="15"/>
  <c r="J24" i="15" s="1"/>
  <c r="F24" i="15"/>
  <c r="G24" i="15" s="1"/>
  <c r="J23" i="15"/>
  <c r="I23" i="15"/>
  <c r="F23" i="15"/>
  <c r="G23" i="15" s="1"/>
  <c r="I22" i="15"/>
  <c r="I21" i="15"/>
  <c r="J21" i="15" s="1"/>
  <c r="F21" i="15"/>
  <c r="G21" i="15" s="1"/>
  <c r="J20" i="15"/>
  <c r="I20" i="15"/>
  <c r="F20" i="15"/>
  <c r="G20" i="15" s="1"/>
  <c r="I19" i="15"/>
  <c r="I18" i="15"/>
  <c r="J18" i="15" s="1"/>
  <c r="J17" i="15"/>
  <c r="I17" i="15"/>
  <c r="F17" i="15"/>
  <c r="G17" i="15" s="1"/>
  <c r="I16" i="15"/>
  <c r="J15" i="15"/>
  <c r="I15" i="15"/>
  <c r="F15" i="15" s="1"/>
  <c r="G15" i="15" s="1"/>
  <c r="J14" i="15"/>
  <c r="I14" i="15"/>
  <c r="F14" i="15"/>
  <c r="G14" i="15" s="1"/>
  <c r="I13" i="15"/>
  <c r="I12" i="15"/>
  <c r="J12" i="15" s="1"/>
  <c r="J11" i="15"/>
  <c r="I11" i="15"/>
  <c r="F11" i="15"/>
  <c r="G11" i="15" s="1"/>
  <c r="I10" i="15"/>
  <c r="J9" i="15"/>
  <c r="I9" i="15"/>
  <c r="F9" i="15"/>
  <c r="G9" i="15" s="1"/>
  <c r="J8" i="15"/>
  <c r="I8" i="15"/>
  <c r="F8" i="15"/>
  <c r="G8" i="15" s="1"/>
  <c r="I7" i="15"/>
  <c r="J6" i="15"/>
  <c r="I6" i="15"/>
  <c r="F6" i="15"/>
  <c r="G6" i="15" s="1"/>
  <c r="J5" i="15"/>
  <c r="I5" i="15"/>
  <c r="F5" i="15"/>
  <c r="G5" i="15" s="1"/>
  <c r="I4" i="15"/>
  <c r="I3" i="15"/>
  <c r="J3" i="15" s="1"/>
  <c r="F3" i="15"/>
  <c r="G3" i="15" s="1"/>
  <c r="J2" i="15"/>
  <c r="I2" i="15"/>
  <c r="F2" i="15"/>
  <c r="G2" i="15" s="1"/>
  <c r="I35" i="14"/>
  <c r="I34" i="14"/>
  <c r="K34" i="14" s="1"/>
  <c r="K33" i="14"/>
  <c r="I33" i="14"/>
  <c r="F33" i="14"/>
  <c r="G33" i="14" s="1"/>
  <c r="I32" i="14"/>
  <c r="K31" i="14"/>
  <c r="I31" i="14"/>
  <c r="F31" i="14"/>
  <c r="G31" i="14" s="1"/>
  <c r="K30" i="14"/>
  <c r="I30" i="14"/>
  <c r="G30" i="14"/>
  <c r="F30" i="14"/>
  <c r="I29" i="14"/>
  <c r="K28" i="14"/>
  <c r="I28" i="14"/>
  <c r="F28" i="14"/>
  <c r="G28" i="14" s="1"/>
  <c r="K27" i="14"/>
  <c r="I27" i="14"/>
  <c r="G27" i="14"/>
  <c r="F27" i="14"/>
  <c r="I26" i="14"/>
  <c r="I25" i="14"/>
  <c r="K25" i="14" s="1"/>
  <c r="F25" i="14"/>
  <c r="G25" i="14" s="1"/>
  <c r="K24" i="14"/>
  <c r="I24" i="14"/>
  <c r="G24" i="14"/>
  <c r="F24" i="14"/>
  <c r="I23" i="14"/>
  <c r="K22" i="14"/>
  <c r="I22" i="14"/>
  <c r="F22" i="14"/>
  <c r="G22" i="14" s="1"/>
  <c r="K21" i="14"/>
  <c r="I21" i="14"/>
  <c r="G21" i="14"/>
  <c r="F21" i="14"/>
  <c r="I20" i="14"/>
  <c r="K19" i="14"/>
  <c r="I19" i="14"/>
  <c r="F19" i="14"/>
  <c r="G19" i="14" s="1"/>
  <c r="K18" i="14"/>
  <c r="I18" i="14"/>
  <c r="G18" i="14"/>
  <c r="F18" i="14"/>
  <c r="I17" i="14"/>
  <c r="I16" i="14"/>
  <c r="K16" i="14" s="1"/>
  <c r="F16" i="14"/>
  <c r="G16" i="14" s="1"/>
  <c r="K15" i="14"/>
  <c r="I15" i="14"/>
  <c r="G15" i="14"/>
  <c r="F15" i="14"/>
  <c r="I14" i="14"/>
  <c r="K13" i="14"/>
  <c r="I13" i="14"/>
  <c r="F13" i="14"/>
  <c r="G13" i="14" s="1"/>
  <c r="K12" i="14"/>
  <c r="I12" i="14"/>
  <c r="G12" i="14"/>
  <c r="F12" i="14"/>
  <c r="I11" i="14"/>
  <c r="K10" i="14"/>
  <c r="I10" i="14"/>
  <c r="F10" i="14"/>
  <c r="G10" i="14" s="1"/>
  <c r="K9" i="14"/>
  <c r="I9" i="14"/>
  <c r="G9" i="14"/>
  <c r="F9" i="14"/>
  <c r="K8" i="14"/>
  <c r="I8" i="14"/>
  <c r="F8" i="14" s="1"/>
  <c r="G8" i="14" s="1"/>
  <c r="I7" i="14"/>
  <c r="K7" i="14" s="1"/>
  <c r="I6" i="14"/>
  <c r="K6" i="14" s="1"/>
  <c r="G6" i="14"/>
  <c r="F6" i="14"/>
  <c r="I5" i="14"/>
  <c r="F5" i="14" s="1"/>
  <c r="G5" i="14" s="1"/>
  <c r="I4" i="14"/>
  <c r="K4" i="14" s="1"/>
  <c r="K3" i="14"/>
  <c r="I3" i="14"/>
  <c r="G3" i="14"/>
  <c r="F3" i="14"/>
  <c r="K2" i="14"/>
  <c r="I2" i="14"/>
  <c r="F2" i="14" s="1"/>
  <c r="G2" i="14" s="1"/>
  <c r="U27" i="13"/>
  <c r="V27" i="13" s="1"/>
  <c r="Q27" i="13"/>
  <c r="P27" i="13"/>
  <c r="O27" i="13"/>
  <c r="N27" i="13"/>
  <c r="V26" i="13"/>
  <c r="U26" i="13"/>
  <c r="Q26" i="13"/>
  <c r="P26" i="13"/>
  <c r="N26" i="13"/>
  <c r="O26" i="13" s="1"/>
  <c r="U25" i="13"/>
  <c r="V25" i="13" s="1"/>
  <c r="Q25" i="13"/>
  <c r="P25" i="13"/>
  <c r="O25" i="13"/>
  <c r="N25" i="13"/>
  <c r="V24" i="13"/>
  <c r="U24" i="13"/>
  <c r="Q24" i="13"/>
  <c r="P24" i="13"/>
  <c r="N24" i="13"/>
  <c r="O24" i="13" s="1"/>
  <c r="V23" i="13"/>
  <c r="U23" i="13"/>
  <c r="Q23" i="13"/>
  <c r="P23" i="13"/>
  <c r="O23" i="13"/>
  <c r="N23" i="13"/>
  <c r="V22" i="13"/>
  <c r="U22" i="13"/>
  <c r="Q22" i="13"/>
  <c r="P22" i="13"/>
  <c r="N22" i="13"/>
  <c r="O22" i="13" s="1"/>
  <c r="V21" i="13"/>
  <c r="U21" i="13"/>
  <c r="Q21" i="13"/>
  <c r="P21" i="13"/>
  <c r="O21" i="13"/>
  <c r="N21" i="13"/>
  <c r="V20" i="13"/>
  <c r="U20" i="13"/>
  <c r="Q20" i="13"/>
  <c r="P20" i="13"/>
  <c r="N20" i="13"/>
  <c r="O20" i="13" s="1"/>
  <c r="V19" i="13"/>
  <c r="U19" i="13"/>
  <c r="Q19" i="13"/>
  <c r="P19" i="13"/>
  <c r="O19" i="13"/>
  <c r="N19" i="13"/>
  <c r="V18" i="13"/>
  <c r="U18" i="13"/>
  <c r="Q18" i="13"/>
  <c r="P18" i="13"/>
  <c r="N18" i="13"/>
  <c r="O18" i="13" s="1"/>
  <c r="U17" i="13"/>
  <c r="V17" i="13" s="1"/>
  <c r="Q17" i="13"/>
  <c r="P17" i="13"/>
  <c r="O17" i="13"/>
  <c r="N17" i="13"/>
  <c r="V16" i="13"/>
  <c r="U16" i="13"/>
  <c r="Q16" i="13"/>
  <c r="P16" i="13"/>
  <c r="N16" i="13"/>
  <c r="O16" i="13" s="1"/>
  <c r="U15" i="13"/>
  <c r="V15" i="13" s="1"/>
  <c r="Q15" i="13"/>
  <c r="P15" i="13"/>
  <c r="O15" i="13"/>
  <c r="N15" i="13"/>
  <c r="V14" i="13"/>
  <c r="R14" i="13"/>
  <c r="Q14" i="13"/>
  <c r="P14" i="13"/>
  <c r="O14" i="13"/>
  <c r="I14" i="13"/>
  <c r="V13" i="13"/>
  <c r="R13" i="13"/>
  <c r="Q13" i="13"/>
  <c r="P13" i="13"/>
  <c r="O13" i="13"/>
  <c r="I13" i="13"/>
  <c r="V12" i="13"/>
  <c r="R12" i="13"/>
  <c r="Q12" i="13"/>
  <c r="P12" i="13"/>
  <c r="O12" i="13"/>
  <c r="I12" i="13"/>
  <c r="V11" i="13"/>
  <c r="R11" i="13"/>
  <c r="Q11" i="13"/>
  <c r="P11" i="13"/>
  <c r="O11" i="13"/>
  <c r="I11" i="13"/>
  <c r="V10" i="13"/>
  <c r="R10" i="13"/>
  <c r="Q10" i="13"/>
  <c r="P10" i="13"/>
  <c r="O10" i="13"/>
  <c r="I10" i="13"/>
  <c r="V9" i="13"/>
  <c r="R9" i="13"/>
  <c r="Q9" i="13"/>
  <c r="P9" i="13"/>
  <c r="O9" i="13"/>
  <c r="I9" i="13"/>
  <c r="V8" i="13"/>
  <c r="R8" i="13"/>
  <c r="Q8" i="13"/>
  <c r="P8" i="13"/>
  <c r="O8" i="13"/>
  <c r="I8" i="13"/>
  <c r="V7" i="13"/>
  <c r="R7" i="13"/>
  <c r="Q7" i="13"/>
  <c r="P7" i="13"/>
  <c r="O7" i="13"/>
  <c r="I7" i="13"/>
  <c r="V6" i="13"/>
  <c r="R6" i="13"/>
  <c r="Q6" i="13"/>
  <c r="P6" i="13"/>
  <c r="O6" i="13"/>
  <c r="I6" i="13"/>
  <c r="V5" i="13"/>
  <c r="R5" i="13"/>
  <c r="Q5" i="13"/>
  <c r="P5" i="13"/>
  <c r="O5" i="13"/>
  <c r="I5" i="13"/>
  <c r="V4" i="13"/>
  <c r="R4" i="13"/>
  <c r="Q4" i="13"/>
  <c r="P4" i="13"/>
  <c r="O4" i="13"/>
  <c r="I4" i="13"/>
  <c r="V3" i="13"/>
  <c r="R3" i="13"/>
  <c r="Q3" i="13"/>
  <c r="P3" i="13"/>
  <c r="O3" i="13"/>
  <c r="I3" i="13"/>
  <c r="O29" i="12"/>
  <c r="N29" i="12"/>
  <c r="G29" i="12"/>
  <c r="F29" i="12"/>
  <c r="N28" i="12"/>
  <c r="O28" i="12" s="1"/>
  <c r="G28" i="12"/>
  <c r="F28" i="12"/>
  <c r="N27" i="12"/>
  <c r="O26" i="12"/>
  <c r="N26" i="12"/>
  <c r="G26" i="12"/>
  <c r="F26" i="12"/>
  <c r="N25" i="12"/>
  <c r="O25" i="12" s="1"/>
  <c r="F25" i="12"/>
  <c r="G25" i="12" s="1"/>
  <c r="N24" i="12"/>
  <c r="O23" i="12"/>
  <c r="N23" i="12"/>
  <c r="F23" i="12"/>
  <c r="G23" i="12" s="1"/>
  <c r="N22" i="12"/>
  <c r="O22" i="12" s="1"/>
  <c r="G22" i="12"/>
  <c r="F22" i="12"/>
  <c r="N21" i="12"/>
  <c r="O20" i="12"/>
  <c r="N20" i="12"/>
  <c r="G20" i="12"/>
  <c r="F20" i="12"/>
  <c r="N19" i="12"/>
  <c r="O19" i="12" s="1"/>
  <c r="G19" i="12"/>
  <c r="F19" i="12"/>
  <c r="N18" i="12"/>
  <c r="O17" i="12"/>
  <c r="N17" i="12"/>
  <c r="G17" i="12"/>
  <c r="F17" i="12"/>
  <c r="N16" i="12"/>
  <c r="O16" i="12" s="1"/>
  <c r="F16" i="12"/>
  <c r="G16" i="12" s="1"/>
  <c r="N15" i="12"/>
  <c r="O14" i="12"/>
  <c r="N14" i="12"/>
  <c r="F14" i="12"/>
  <c r="G14" i="12" s="1"/>
  <c r="N13" i="12"/>
  <c r="O13" i="12" s="1"/>
  <c r="G13" i="12"/>
  <c r="F13" i="12"/>
  <c r="N12" i="12"/>
  <c r="O11" i="12"/>
  <c r="N11" i="12"/>
  <c r="G11" i="12"/>
  <c r="F11" i="12"/>
  <c r="N10" i="12"/>
  <c r="O10" i="12" s="1"/>
  <c r="G10" i="12"/>
  <c r="F10" i="12"/>
  <c r="N9" i="12"/>
  <c r="O8" i="12"/>
  <c r="N8" i="12"/>
  <c r="G8" i="12"/>
  <c r="F8" i="12"/>
  <c r="N7" i="12"/>
  <c r="O7" i="12" s="1"/>
  <c r="F7" i="12"/>
  <c r="G7" i="12" s="1"/>
  <c r="N6" i="12"/>
  <c r="O6" i="12" s="1"/>
  <c r="M6" i="12"/>
  <c r="J6" i="12"/>
  <c r="G6" i="12"/>
  <c r="N5" i="12"/>
  <c r="O5" i="12" s="1"/>
  <c r="M5" i="12"/>
  <c r="J5" i="12"/>
  <c r="G5" i="12"/>
  <c r="O4" i="12"/>
  <c r="N4" i="12"/>
  <c r="M4" i="12"/>
  <c r="J4" i="12"/>
  <c r="G4" i="12"/>
  <c r="N3" i="12"/>
  <c r="O3" i="12" s="1"/>
  <c r="M3" i="12"/>
  <c r="J3" i="12"/>
  <c r="G3" i="12"/>
  <c r="J38" i="11"/>
  <c r="K38" i="11" s="1"/>
  <c r="F38" i="11"/>
  <c r="E38" i="11"/>
  <c r="J37" i="11"/>
  <c r="K36" i="11"/>
  <c r="J36" i="11"/>
  <c r="F36" i="11"/>
  <c r="E36" i="11"/>
  <c r="J35" i="11"/>
  <c r="K35" i="11" s="1"/>
  <c r="F35" i="11"/>
  <c r="E35" i="11"/>
  <c r="J34" i="11"/>
  <c r="K33" i="11"/>
  <c r="J33" i="11"/>
  <c r="E33" i="11"/>
  <c r="F33" i="11" s="1"/>
  <c r="J32" i="11"/>
  <c r="K32" i="11" s="1"/>
  <c r="E32" i="11"/>
  <c r="F32" i="11" s="1"/>
  <c r="J31" i="11"/>
  <c r="K30" i="11"/>
  <c r="J30" i="11"/>
  <c r="E30" i="11"/>
  <c r="F30" i="11" s="1"/>
  <c r="J29" i="11"/>
  <c r="K29" i="11" s="1"/>
  <c r="F29" i="11"/>
  <c r="E29" i="11"/>
  <c r="J28" i="11"/>
  <c r="K27" i="11"/>
  <c r="J27" i="11"/>
  <c r="F27" i="11"/>
  <c r="E27" i="11"/>
  <c r="J26" i="11"/>
  <c r="K26" i="11" s="1"/>
  <c r="F26" i="11"/>
  <c r="E26" i="11"/>
  <c r="J25" i="11"/>
  <c r="K24" i="11"/>
  <c r="J24" i="11"/>
  <c r="F24" i="11"/>
  <c r="E24" i="11"/>
  <c r="J23" i="11"/>
  <c r="K23" i="11" s="1"/>
  <c r="F23" i="11"/>
  <c r="E23" i="11"/>
  <c r="N22" i="11"/>
  <c r="O22" i="11" s="1"/>
  <c r="K22" i="11"/>
  <c r="J22" i="11"/>
  <c r="F22" i="11"/>
  <c r="E22" i="11"/>
  <c r="J21" i="11"/>
  <c r="E21" i="11" s="1"/>
  <c r="F21" i="11" s="1"/>
  <c r="K20" i="11"/>
  <c r="J20" i="11"/>
  <c r="F20" i="11"/>
  <c r="E20" i="11"/>
  <c r="K19" i="11"/>
  <c r="J19" i="11"/>
  <c r="F19" i="11"/>
  <c r="E19" i="11"/>
  <c r="J18" i="11"/>
  <c r="E18" i="11" s="1"/>
  <c r="F18" i="11" s="1"/>
  <c r="K17" i="11"/>
  <c r="J17" i="11"/>
  <c r="E17" i="11" s="1"/>
  <c r="F17" i="11" s="1"/>
  <c r="K16" i="11"/>
  <c r="J16" i="11"/>
  <c r="F16" i="11"/>
  <c r="E16" i="11"/>
  <c r="R15" i="11"/>
  <c r="K15" i="11"/>
  <c r="J15" i="11"/>
  <c r="E15" i="11"/>
  <c r="F15" i="11" s="1"/>
  <c r="K14" i="11"/>
  <c r="J14" i="11"/>
  <c r="E14" i="11" s="1"/>
  <c r="F14" i="11"/>
  <c r="J13" i="11"/>
  <c r="K13" i="11" s="1"/>
  <c r="E13" i="11"/>
  <c r="F13" i="11" s="1"/>
  <c r="O12" i="11"/>
  <c r="J12" i="11"/>
  <c r="K12" i="11" s="1"/>
  <c r="F12" i="11"/>
  <c r="E12" i="11"/>
  <c r="J11" i="11"/>
  <c r="E11" i="11" s="1"/>
  <c r="F11" i="11" s="1"/>
  <c r="K10" i="11"/>
  <c r="J10" i="11"/>
  <c r="E10" i="11"/>
  <c r="F10" i="11" s="1"/>
  <c r="J9" i="11"/>
  <c r="K9" i="11" s="1"/>
  <c r="F9" i="11"/>
  <c r="E9" i="11"/>
  <c r="J8" i="11"/>
  <c r="E8" i="11" s="1"/>
  <c r="F8" i="11" s="1"/>
  <c r="K7" i="11"/>
  <c r="J7" i="11"/>
  <c r="E7" i="11"/>
  <c r="F7" i="11" s="1"/>
  <c r="J6" i="11"/>
  <c r="K6" i="11" s="1"/>
  <c r="F6" i="11"/>
  <c r="E6" i="11"/>
  <c r="J5" i="11"/>
  <c r="E5" i="11" s="1"/>
  <c r="F5" i="11" s="1"/>
  <c r="K4" i="11"/>
  <c r="J4" i="11"/>
  <c r="F4" i="11"/>
  <c r="E4" i="11"/>
  <c r="J3" i="11"/>
  <c r="K3" i="11" s="1"/>
  <c r="E3" i="11"/>
  <c r="F3" i="11" s="1"/>
  <c r="P89" i="10"/>
  <c r="O89" i="10"/>
  <c r="N89" i="10"/>
  <c r="M89" i="10"/>
  <c r="L89" i="10"/>
  <c r="F89" i="10"/>
  <c r="G89" i="10" s="1"/>
  <c r="P88" i="10"/>
  <c r="N88" i="10"/>
  <c r="F88" i="10" s="1"/>
  <c r="M88" i="10"/>
  <c r="L88" i="10"/>
  <c r="P87" i="10"/>
  <c r="N87" i="10"/>
  <c r="O87" i="10" s="1"/>
  <c r="L87" i="10"/>
  <c r="M87" i="10" s="1"/>
  <c r="F87" i="10"/>
  <c r="G87" i="10" s="1"/>
  <c r="Q86" i="10"/>
  <c r="P86" i="10"/>
  <c r="O86" i="10"/>
  <c r="N86" i="10"/>
  <c r="M86" i="10"/>
  <c r="L86" i="10"/>
  <c r="G86" i="10"/>
  <c r="F86" i="10"/>
  <c r="P85" i="10"/>
  <c r="O85" i="10"/>
  <c r="N85" i="10"/>
  <c r="F85" i="10" s="1"/>
  <c r="M85" i="10"/>
  <c r="L85" i="10"/>
  <c r="P84" i="10"/>
  <c r="O84" i="10"/>
  <c r="N84" i="10"/>
  <c r="F84" i="10" s="1"/>
  <c r="L84" i="10"/>
  <c r="M84" i="10" s="1"/>
  <c r="P83" i="10"/>
  <c r="N83" i="10"/>
  <c r="O83" i="10" s="1"/>
  <c r="M83" i="10"/>
  <c r="L83" i="10"/>
  <c r="F83" i="10"/>
  <c r="Q83" i="10" s="1"/>
  <c r="P82" i="10"/>
  <c r="N82" i="10"/>
  <c r="F82" i="10" s="1"/>
  <c r="M82" i="10"/>
  <c r="L82" i="10"/>
  <c r="P81" i="10"/>
  <c r="N81" i="10"/>
  <c r="O81" i="10" s="1"/>
  <c r="M81" i="10"/>
  <c r="L81" i="10"/>
  <c r="F81" i="10"/>
  <c r="Q81" i="10" s="1"/>
  <c r="P80" i="10"/>
  <c r="O80" i="10"/>
  <c r="N80" i="10"/>
  <c r="M80" i="10"/>
  <c r="L80" i="10"/>
  <c r="F80" i="10"/>
  <c r="G80" i="10" s="1"/>
  <c r="P79" i="10"/>
  <c r="N79" i="10"/>
  <c r="F79" i="10" s="1"/>
  <c r="M79" i="10"/>
  <c r="L79" i="10"/>
  <c r="P78" i="10"/>
  <c r="N78" i="10"/>
  <c r="O78" i="10" s="1"/>
  <c r="M78" i="10"/>
  <c r="L78" i="10"/>
  <c r="P77" i="10"/>
  <c r="O77" i="10"/>
  <c r="N77" i="10"/>
  <c r="M77" i="10"/>
  <c r="L77" i="10"/>
  <c r="F77" i="10"/>
  <c r="G77" i="10" s="1"/>
  <c r="P76" i="10"/>
  <c r="N76" i="10"/>
  <c r="F76" i="10" s="1"/>
  <c r="L76" i="10"/>
  <c r="M76" i="10" s="1"/>
  <c r="P75" i="10"/>
  <c r="N75" i="10"/>
  <c r="F75" i="10" s="1"/>
  <c r="M75" i="10"/>
  <c r="L75" i="10"/>
  <c r="Q74" i="10"/>
  <c r="P74" i="10"/>
  <c r="O74" i="10"/>
  <c r="N74" i="10"/>
  <c r="M74" i="10"/>
  <c r="L74" i="10"/>
  <c r="F74" i="10"/>
  <c r="G74" i="10" s="1"/>
  <c r="P73" i="10"/>
  <c r="N73" i="10"/>
  <c r="F73" i="10" s="1"/>
  <c r="L73" i="10"/>
  <c r="M73" i="10" s="1"/>
  <c r="P72" i="10"/>
  <c r="N72" i="10"/>
  <c r="F72" i="10" s="1"/>
  <c r="M72" i="10"/>
  <c r="L72" i="10"/>
  <c r="P71" i="10"/>
  <c r="O71" i="10"/>
  <c r="N71" i="10"/>
  <c r="M71" i="10"/>
  <c r="L71" i="10"/>
  <c r="F71" i="10"/>
  <c r="Q71" i="10" s="1"/>
  <c r="P70" i="10"/>
  <c r="N70" i="10"/>
  <c r="F70" i="10" s="1"/>
  <c r="M70" i="10"/>
  <c r="L70" i="10"/>
  <c r="P69" i="10"/>
  <c r="N69" i="10"/>
  <c r="O69" i="10" s="1"/>
  <c r="M69" i="10"/>
  <c r="L69" i="10"/>
  <c r="F69" i="10"/>
  <c r="Q69" i="10" s="1"/>
  <c r="Q68" i="10"/>
  <c r="P68" i="10"/>
  <c r="O68" i="10"/>
  <c r="N68" i="10"/>
  <c r="M68" i="10"/>
  <c r="L68" i="10"/>
  <c r="F68" i="10"/>
  <c r="G68" i="10" s="1"/>
  <c r="P67" i="10"/>
  <c r="N67" i="10"/>
  <c r="F67" i="10" s="1"/>
  <c r="M67" i="10"/>
  <c r="L67" i="10"/>
  <c r="P66" i="10"/>
  <c r="N66" i="10"/>
  <c r="O66" i="10" s="1"/>
  <c r="M66" i="10"/>
  <c r="L66" i="10"/>
  <c r="Q65" i="10"/>
  <c r="P65" i="10"/>
  <c r="O65" i="10"/>
  <c r="N65" i="10"/>
  <c r="M65" i="10"/>
  <c r="L65" i="10"/>
  <c r="F65" i="10"/>
  <c r="G65" i="10" s="1"/>
  <c r="P64" i="10"/>
  <c r="N64" i="10"/>
  <c r="F64" i="10" s="1"/>
  <c r="L64" i="10"/>
  <c r="M64" i="10" s="1"/>
  <c r="P63" i="10"/>
  <c r="N63" i="10"/>
  <c r="F63" i="10" s="1"/>
  <c r="M63" i="10"/>
  <c r="L63" i="10"/>
  <c r="P62" i="10"/>
  <c r="O62" i="10"/>
  <c r="N62" i="10"/>
  <c r="M62" i="10"/>
  <c r="L62" i="10"/>
  <c r="F62" i="10"/>
  <c r="Q62" i="10" s="1"/>
  <c r="P61" i="10"/>
  <c r="N61" i="10"/>
  <c r="F61" i="10" s="1"/>
  <c r="L61" i="10"/>
  <c r="M61" i="10" s="1"/>
  <c r="P60" i="10"/>
  <c r="N60" i="10"/>
  <c r="F60" i="10" s="1"/>
  <c r="M60" i="10"/>
  <c r="L60" i="10"/>
  <c r="P59" i="10"/>
  <c r="N59" i="10"/>
  <c r="O59" i="10" s="1"/>
  <c r="M59" i="10"/>
  <c r="L59" i="10"/>
  <c r="F59" i="10"/>
  <c r="Q59" i="10" s="1"/>
  <c r="P58" i="10"/>
  <c r="O58" i="10"/>
  <c r="N58" i="10"/>
  <c r="F58" i="10" s="1"/>
  <c r="M58" i="10"/>
  <c r="L58" i="10"/>
  <c r="P57" i="10"/>
  <c r="N57" i="10"/>
  <c r="O57" i="10" s="1"/>
  <c r="M57" i="10"/>
  <c r="L57" i="10"/>
  <c r="F57" i="10"/>
  <c r="Q57" i="10" s="1"/>
  <c r="Q56" i="10"/>
  <c r="P56" i="10"/>
  <c r="N56" i="10"/>
  <c r="O56" i="10" s="1"/>
  <c r="M56" i="10"/>
  <c r="L56" i="10"/>
  <c r="F56" i="10"/>
  <c r="G56" i="10" s="1"/>
  <c r="P55" i="10"/>
  <c r="O55" i="10"/>
  <c r="N55" i="10"/>
  <c r="F55" i="10" s="1"/>
  <c r="L55" i="10"/>
  <c r="M55" i="10" s="1"/>
  <c r="Q54" i="10"/>
  <c r="P54" i="10"/>
  <c r="O54" i="10"/>
  <c r="N54" i="10"/>
  <c r="M54" i="10"/>
  <c r="L54" i="10"/>
  <c r="F54" i="10"/>
  <c r="G54" i="10" s="1"/>
  <c r="P53" i="10"/>
  <c r="N53" i="10"/>
  <c r="O53" i="10" s="1"/>
  <c r="M53" i="10"/>
  <c r="L53" i="10"/>
  <c r="F53" i="10"/>
  <c r="Q53" i="10" s="1"/>
  <c r="P52" i="10"/>
  <c r="N52" i="10"/>
  <c r="F52" i="10" s="1"/>
  <c r="G52" i="10" s="1"/>
  <c r="L52" i="10"/>
  <c r="M52" i="10" s="1"/>
  <c r="P51" i="10"/>
  <c r="N51" i="10"/>
  <c r="F51" i="10" s="1"/>
  <c r="M51" i="10"/>
  <c r="L51" i="10"/>
  <c r="P50" i="10"/>
  <c r="N50" i="10"/>
  <c r="O50" i="10" s="1"/>
  <c r="M50" i="10"/>
  <c r="L50" i="10"/>
  <c r="F50" i="10"/>
  <c r="Q50" i="10" s="1"/>
  <c r="Q49" i="10"/>
  <c r="P49" i="10"/>
  <c r="O49" i="10"/>
  <c r="N49" i="10"/>
  <c r="F49" i="10" s="1"/>
  <c r="G49" i="10" s="1"/>
  <c r="L49" i="10"/>
  <c r="M49" i="10" s="1"/>
  <c r="P48" i="10"/>
  <c r="O48" i="10"/>
  <c r="N48" i="10"/>
  <c r="M48" i="10"/>
  <c r="L48" i="10"/>
  <c r="G48" i="10"/>
  <c r="F48" i="10"/>
  <c r="Q48" i="10" s="1"/>
  <c r="Q47" i="10"/>
  <c r="P47" i="10"/>
  <c r="N47" i="10"/>
  <c r="O47" i="10" s="1"/>
  <c r="M47" i="10"/>
  <c r="L47" i="10"/>
  <c r="F47" i="10"/>
  <c r="G47" i="10" s="1"/>
  <c r="P46" i="10"/>
  <c r="N46" i="10"/>
  <c r="J46" i="10" s="1"/>
  <c r="L46" i="10"/>
  <c r="M46" i="10" s="1"/>
  <c r="P45" i="10"/>
  <c r="O45" i="10"/>
  <c r="N45" i="10"/>
  <c r="L45" i="10"/>
  <c r="M45" i="10" s="1"/>
  <c r="P44" i="10"/>
  <c r="N44" i="10"/>
  <c r="O44" i="10" s="1"/>
  <c r="L44" i="10"/>
  <c r="M44" i="10" s="1"/>
  <c r="P43" i="10"/>
  <c r="O43" i="10"/>
  <c r="N43" i="10"/>
  <c r="M43" i="10"/>
  <c r="L43" i="10"/>
  <c r="F43" i="10"/>
  <c r="P42" i="10"/>
  <c r="N42" i="10"/>
  <c r="O42" i="10" s="1"/>
  <c r="L42" i="10"/>
  <c r="M42" i="10" s="1"/>
  <c r="P41" i="10"/>
  <c r="N41" i="10"/>
  <c r="O41" i="10" s="1"/>
  <c r="L41" i="10"/>
  <c r="M41" i="10" s="1"/>
  <c r="P40" i="10"/>
  <c r="N40" i="10"/>
  <c r="O40" i="10" s="1"/>
  <c r="M40" i="10"/>
  <c r="L40" i="10"/>
  <c r="F40" i="10"/>
  <c r="P39" i="10"/>
  <c r="N39" i="10"/>
  <c r="O39" i="10" s="1"/>
  <c r="L39" i="10"/>
  <c r="M39" i="10" s="1"/>
  <c r="Q38" i="10"/>
  <c r="P38" i="10"/>
  <c r="N38" i="10"/>
  <c r="O38" i="10" s="1"/>
  <c r="M38" i="10"/>
  <c r="L38" i="10"/>
  <c r="F38" i="10"/>
  <c r="P37" i="10"/>
  <c r="N37" i="10"/>
  <c r="O37" i="10" s="1"/>
  <c r="M37" i="10"/>
  <c r="L37" i="10"/>
  <c r="F37" i="10"/>
  <c r="P36" i="10"/>
  <c r="O36" i="10"/>
  <c r="N36" i="10"/>
  <c r="L36" i="10"/>
  <c r="M36" i="10" s="1"/>
  <c r="P35" i="10"/>
  <c r="N35" i="10"/>
  <c r="O35" i="10" s="1"/>
  <c r="L35" i="10"/>
  <c r="M35" i="10" s="1"/>
  <c r="P34" i="10"/>
  <c r="N34" i="10"/>
  <c r="O34" i="10" s="1"/>
  <c r="M34" i="10"/>
  <c r="L34" i="10"/>
  <c r="F34" i="10"/>
  <c r="P33" i="10"/>
  <c r="N33" i="10"/>
  <c r="O33" i="10" s="1"/>
  <c r="M33" i="10"/>
  <c r="L33" i="10"/>
  <c r="F33" i="10" s="1"/>
  <c r="P32" i="10"/>
  <c r="N32" i="10"/>
  <c r="O32" i="10" s="1"/>
  <c r="L32" i="10"/>
  <c r="M32" i="10" s="1"/>
  <c r="Q31" i="10"/>
  <c r="P31" i="10"/>
  <c r="N31" i="10"/>
  <c r="K31" i="10" s="1"/>
  <c r="M31" i="10"/>
  <c r="L31" i="10"/>
  <c r="F31" i="10"/>
  <c r="P30" i="10"/>
  <c r="N30" i="10"/>
  <c r="O30" i="10" s="1"/>
  <c r="L30" i="10"/>
  <c r="M30" i="10" s="1"/>
  <c r="P29" i="10"/>
  <c r="N29" i="10"/>
  <c r="O29" i="10" s="1"/>
  <c r="L29" i="10"/>
  <c r="M29" i="10" s="1"/>
  <c r="Q28" i="10"/>
  <c r="P28" i="10"/>
  <c r="O28" i="10"/>
  <c r="N28" i="10"/>
  <c r="L28" i="10"/>
  <c r="M28" i="10" s="1"/>
  <c r="F28" i="10"/>
  <c r="G28" i="10" s="1"/>
  <c r="Q27" i="10"/>
  <c r="P27" i="10"/>
  <c r="O27" i="10"/>
  <c r="N27" i="10"/>
  <c r="M27" i="10"/>
  <c r="J27" i="10"/>
  <c r="G27" i="10"/>
  <c r="Q26" i="10"/>
  <c r="P26" i="10"/>
  <c r="O26" i="10"/>
  <c r="N26" i="10"/>
  <c r="M26" i="10"/>
  <c r="J26" i="10"/>
  <c r="G26" i="10"/>
  <c r="Q25" i="10"/>
  <c r="P25" i="10"/>
  <c r="O25" i="10"/>
  <c r="N25" i="10"/>
  <c r="M25" i="10"/>
  <c r="J25" i="10"/>
  <c r="G25" i="10"/>
  <c r="Q24" i="10"/>
  <c r="P24" i="10"/>
  <c r="O24" i="10"/>
  <c r="N24" i="10"/>
  <c r="M24" i="10"/>
  <c r="J24" i="10"/>
  <c r="G24" i="10"/>
  <c r="Q23" i="10"/>
  <c r="P23" i="10"/>
  <c r="O23" i="10"/>
  <c r="N23" i="10"/>
  <c r="M23" i="10"/>
  <c r="J23" i="10"/>
  <c r="G23" i="10"/>
  <c r="Q22" i="10"/>
  <c r="P22" i="10"/>
  <c r="O22" i="10"/>
  <c r="N22" i="10"/>
  <c r="M22" i="10"/>
  <c r="J22" i="10"/>
  <c r="G22" i="10"/>
  <c r="Q21" i="10"/>
  <c r="P21" i="10"/>
  <c r="O21" i="10"/>
  <c r="N21" i="10"/>
  <c r="M21" i="10"/>
  <c r="J21" i="10"/>
  <c r="G21" i="10"/>
  <c r="Q20" i="10"/>
  <c r="P20" i="10"/>
  <c r="O20" i="10"/>
  <c r="N20" i="10" s="1"/>
  <c r="M20" i="10"/>
  <c r="J20" i="10"/>
  <c r="G20" i="10"/>
  <c r="Q19" i="10"/>
  <c r="P19" i="10"/>
  <c r="O19" i="10"/>
  <c r="N19" i="10"/>
  <c r="M19" i="10"/>
  <c r="J19" i="10"/>
  <c r="G19" i="10"/>
  <c r="Q18" i="10"/>
  <c r="P18" i="10"/>
  <c r="O18" i="10"/>
  <c r="N18" i="10"/>
  <c r="M18" i="10"/>
  <c r="J18" i="10"/>
  <c r="G18" i="10"/>
  <c r="Q17" i="10"/>
  <c r="P17" i="10"/>
  <c r="O17" i="10"/>
  <c r="N17" i="10" s="1"/>
  <c r="M17" i="10"/>
  <c r="J17" i="10"/>
  <c r="G17" i="10"/>
  <c r="P16" i="10"/>
  <c r="N16" i="10"/>
  <c r="F16" i="10" s="1"/>
  <c r="L16" i="10"/>
  <c r="M16" i="10" s="1"/>
  <c r="P15" i="10"/>
  <c r="N15" i="10"/>
  <c r="L15" i="10"/>
  <c r="M15" i="10" s="1"/>
  <c r="F15" i="10"/>
  <c r="Q15" i="10" s="1"/>
  <c r="Q14" i="10"/>
  <c r="P14" i="10"/>
  <c r="N14" i="10"/>
  <c r="M14" i="10"/>
  <c r="L14" i="10"/>
  <c r="F14" i="10"/>
  <c r="G14" i="10" s="1"/>
  <c r="Q13" i="10"/>
  <c r="P13" i="10"/>
  <c r="O13" i="10"/>
  <c r="N13" i="10" s="1"/>
  <c r="M13" i="10"/>
  <c r="J13" i="10"/>
  <c r="G13" i="10"/>
  <c r="Q12" i="10"/>
  <c r="P12" i="10"/>
  <c r="O12" i="10"/>
  <c r="N12" i="10"/>
  <c r="M12" i="10"/>
  <c r="J12" i="10"/>
  <c r="G12" i="10"/>
  <c r="Q11" i="10"/>
  <c r="P11" i="10"/>
  <c r="O11" i="10"/>
  <c r="N11" i="10"/>
  <c r="M11" i="10"/>
  <c r="J11" i="10"/>
  <c r="G11" i="10"/>
  <c r="Q10" i="10"/>
  <c r="P10" i="10"/>
  <c r="O10" i="10"/>
  <c r="N10" i="10" s="1"/>
  <c r="M10" i="10"/>
  <c r="J10" i="10"/>
  <c r="G10" i="10"/>
  <c r="Q9" i="10"/>
  <c r="P9" i="10"/>
  <c r="O9" i="10"/>
  <c r="N9" i="10"/>
  <c r="M9" i="10"/>
  <c r="J9" i="10"/>
  <c r="G9" i="10"/>
  <c r="Q8" i="10"/>
  <c r="P8" i="10"/>
  <c r="O8" i="10"/>
  <c r="N8" i="10"/>
  <c r="M8" i="10"/>
  <c r="J8" i="10"/>
  <c r="G8" i="10"/>
  <c r="Q7" i="10"/>
  <c r="P7" i="10"/>
  <c r="O7" i="10"/>
  <c r="N7" i="10" s="1"/>
  <c r="M7" i="10"/>
  <c r="J7" i="10"/>
  <c r="G7" i="10"/>
  <c r="Q6" i="10"/>
  <c r="P6" i="10"/>
  <c r="O6" i="10"/>
  <c r="N6" i="10"/>
  <c r="M6" i="10"/>
  <c r="J6" i="10"/>
  <c r="G6" i="10"/>
  <c r="Q5" i="10"/>
  <c r="P5" i="10"/>
  <c r="O5" i="10"/>
  <c r="N5" i="10"/>
  <c r="M5" i="10"/>
  <c r="J5" i="10"/>
  <c r="G5" i="10"/>
  <c r="Q4" i="10"/>
  <c r="P4" i="10"/>
  <c r="O4" i="10"/>
  <c r="N4" i="10" s="1"/>
  <c r="M4" i="10"/>
  <c r="J4" i="10"/>
  <c r="G4" i="10"/>
  <c r="Q3" i="10"/>
  <c r="P3" i="10"/>
  <c r="O3" i="10"/>
  <c r="N3" i="10" s="1"/>
  <c r="M3" i="10"/>
  <c r="J3" i="10"/>
  <c r="G3" i="10"/>
  <c r="N46" i="9"/>
  <c r="M46" i="9"/>
  <c r="H46" i="9"/>
  <c r="I46" i="9" s="1"/>
  <c r="E46" i="9"/>
  <c r="G46" i="9" s="1"/>
  <c r="M45" i="9"/>
  <c r="N45" i="9" s="1"/>
  <c r="E45" i="9"/>
  <c r="H45" i="9" s="1"/>
  <c r="I45" i="9" s="1"/>
  <c r="N44" i="9"/>
  <c r="M44" i="9"/>
  <c r="H44" i="9"/>
  <c r="I44" i="9" s="1"/>
  <c r="G44" i="9"/>
  <c r="E44" i="9"/>
  <c r="N43" i="9"/>
  <c r="M43" i="9"/>
  <c r="H43" i="9"/>
  <c r="I43" i="9" s="1"/>
  <c r="E43" i="9"/>
  <c r="G43" i="9" s="1"/>
  <c r="N42" i="9"/>
  <c r="M42" i="9"/>
  <c r="E42" i="9"/>
  <c r="M41" i="9"/>
  <c r="E41" i="9" s="1"/>
  <c r="N40" i="9"/>
  <c r="M40" i="9"/>
  <c r="E40" i="9"/>
  <c r="H40" i="9" s="1"/>
  <c r="I40" i="9" s="1"/>
  <c r="N39" i="9"/>
  <c r="M39" i="9"/>
  <c r="E39" i="9"/>
  <c r="H39" i="9" s="1"/>
  <c r="I39" i="9" s="1"/>
  <c r="N38" i="9"/>
  <c r="M38" i="9"/>
  <c r="E38" i="9"/>
  <c r="H38" i="9" s="1"/>
  <c r="I38" i="9" s="1"/>
  <c r="M37" i="9"/>
  <c r="N36" i="9"/>
  <c r="M36" i="9"/>
  <c r="H36" i="9"/>
  <c r="I36" i="9" s="1"/>
  <c r="G36" i="9"/>
  <c r="E36" i="9"/>
  <c r="M35" i="9"/>
  <c r="E35" i="9" s="1"/>
  <c r="N34" i="9"/>
  <c r="M34" i="9"/>
  <c r="E34" i="9"/>
  <c r="H34" i="9" s="1"/>
  <c r="I34" i="9" s="1"/>
  <c r="M33" i="9"/>
  <c r="N33" i="9" s="1"/>
  <c r="N32" i="9"/>
  <c r="H32" i="9"/>
  <c r="I32" i="9" s="1"/>
  <c r="G32" i="9"/>
  <c r="F32" i="9"/>
  <c r="N31" i="9"/>
  <c r="I31" i="9"/>
  <c r="H31" i="9"/>
  <c r="G31" i="9"/>
  <c r="F31" i="9"/>
  <c r="N30" i="9"/>
  <c r="H30" i="9"/>
  <c r="I30" i="9" s="1"/>
  <c r="G30" i="9"/>
  <c r="F30" i="9"/>
  <c r="N29" i="9"/>
  <c r="I29" i="9"/>
  <c r="H29" i="9"/>
  <c r="G29" i="9"/>
  <c r="F29" i="9"/>
  <c r="N28" i="9"/>
  <c r="H28" i="9"/>
  <c r="I28" i="9" s="1"/>
  <c r="G28" i="9"/>
  <c r="F28" i="9"/>
  <c r="N27" i="9"/>
  <c r="H27" i="9"/>
  <c r="I27" i="9" s="1"/>
  <c r="G27" i="9"/>
  <c r="F27" i="9"/>
  <c r="N26" i="9"/>
  <c r="I26" i="9"/>
  <c r="H26" i="9"/>
  <c r="G26" i="9"/>
  <c r="F26" i="9"/>
  <c r="N25" i="9"/>
  <c r="I25" i="9"/>
  <c r="H25" i="9"/>
  <c r="G25" i="9"/>
  <c r="F25" i="9"/>
  <c r="N24" i="9"/>
  <c r="I24" i="9"/>
  <c r="H24" i="9"/>
  <c r="G24" i="9"/>
  <c r="F24" i="9"/>
  <c r="N23" i="9"/>
  <c r="H23" i="9"/>
  <c r="I23" i="9" s="1"/>
  <c r="G23" i="9"/>
  <c r="F23" i="9"/>
  <c r="N22" i="9"/>
  <c r="H22" i="9"/>
  <c r="I22" i="9" s="1"/>
  <c r="G22" i="9"/>
  <c r="F22" i="9"/>
  <c r="N21" i="9"/>
  <c r="H21" i="9"/>
  <c r="I21" i="9" s="1"/>
  <c r="G21" i="9"/>
  <c r="F21" i="9"/>
  <c r="N20" i="9"/>
  <c r="H20" i="9"/>
  <c r="I20" i="9" s="1"/>
  <c r="G20" i="9"/>
  <c r="F20" i="9"/>
  <c r="N19" i="9"/>
  <c r="I19" i="9"/>
  <c r="H19" i="9"/>
  <c r="G19" i="9"/>
  <c r="F19" i="9"/>
  <c r="N18" i="9"/>
  <c r="H18" i="9"/>
  <c r="I18" i="9" s="1"/>
  <c r="G18" i="9"/>
  <c r="F18" i="9"/>
  <c r="N17" i="9"/>
  <c r="H17" i="9"/>
  <c r="I17" i="9" s="1"/>
  <c r="G17" i="9"/>
  <c r="F17" i="9"/>
  <c r="N16" i="9"/>
  <c r="H16" i="9"/>
  <c r="I16" i="9" s="1"/>
  <c r="G16" i="9"/>
  <c r="F16" i="9"/>
  <c r="N15" i="9"/>
  <c r="H15" i="9"/>
  <c r="I15" i="9" s="1"/>
  <c r="G15" i="9"/>
  <c r="F15" i="9"/>
  <c r="N14" i="9"/>
  <c r="I14" i="9"/>
  <c r="H14" i="9"/>
  <c r="G14" i="9"/>
  <c r="F14" i="9"/>
  <c r="N13" i="9"/>
  <c r="I13" i="9"/>
  <c r="H13" i="9"/>
  <c r="G13" i="9"/>
  <c r="F13" i="9"/>
  <c r="N12" i="9"/>
  <c r="H12" i="9"/>
  <c r="I12" i="9" s="1"/>
  <c r="G12" i="9"/>
  <c r="F12" i="9"/>
  <c r="N11" i="9"/>
  <c r="H11" i="9"/>
  <c r="I11" i="9" s="1"/>
  <c r="G11" i="9"/>
  <c r="F11" i="9"/>
  <c r="N10" i="9"/>
  <c r="I10" i="9"/>
  <c r="H10" i="9"/>
  <c r="G10" i="9"/>
  <c r="F10" i="9"/>
  <c r="N9" i="9"/>
  <c r="H9" i="9"/>
  <c r="I9" i="9" s="1"/>
  <c r="G9" i="9"/>
  <c r="F9" i="9"/>
  <c r="N8" i="9"/>
  <c r="H8" i="9"/>
  <c r="I8" i="9" s="1"/>
  <c r="G8" i="9"/>
  <c r="F8" i="9"/>
  <c r="N7" i="9"/>
  <c r="H7" i="9"/>
  <c r="I7" i="9" s="1"/>
  <c r="G7" i="9"/>
  <c r="F7" i="9"/>
  <c r="N6" i="9"/>
  <c r="H6" i="9"/>
  <c r="I6" i="9" s="1"/>
  <c r="G6" i="9"/>
  <c r="F6" i="9"/>
  <c r="N5" i="9"/>
  <c r="I5" i="9"/>
  <c r="H5" i="9"/>
  <c r="G5" i="9"/>
  <c r="F5" i="9"/>
  <c r="N4" i="9"/>
  <c r="H4" i="9"/>
  <c r="I4" i="9" s="1"/>
  <c r="G4" i="9"/>
  <c r="F4" i="9"/>
  <c r="O3" i="9"/>
  <c r="N3" i="9"/>
  <c r="K3" i="9"/>
  <c r="I3" i="9"/>
  <c r="H3" i="9"/>
  <c r="G3" i="9"/>
  <c r="F3" i="9"/>
  <c r="N122" i="8"/>
  <c r="O122" i="8" s="1"/>
  <c r="M122" i="8"/>
  <c r="J122" i="8"/>
  <c r="G122" i="8"/>
  <c r="N121" i="8"/>
  <c r="O121" i="8" s="1"/>
  <c r="M121" i="8"/>
  <c r="J121" i="8"/>
  <c r="G121" i="8"/>
  <c r="N120" i="8"/>
  <c r="O120" i="8" s="1"/>
  <c r="M120" i="8"/>
  <c r="J120" i="8"/>
  <c r="G120" i="8"/>
  <c r="O119" i="8"/>
  <c r="N119" i="8"/>
  <c r="M119" i="8"/>
  <c r="J119" i="8"/>
  <c r="G119" i="8"/>
  <c r="N118" i="8"/>
  <c r="O118" i="8" s="1"/>
  <c r="M118" i="8"/>
  <c r="J118" i="8"/>
  <c r="G118" i="8"/>
  <c r="O117" i="8"/>
  <c r="N117" i="8"/>
  <c r="M117" i="8"/>
  <c r="J117" i="8"/>
  <c r="G117" i="8"/>
  <c r="N116" i="8"/>
  <c r="O116" i="8" s="1"/>
  <c r="M116" i="8"/>
  <c r="J116" i="8"/>
  <c r="G116" i="8"/>
  <c r="N115" i="8"/>
  <c r="O115" i="8" s="1"/>
  <c r="M115" i="8"/>
  <c r="J115" i="8"/>
  <c r="G115" i="8"/>
  <c r="O114" i="8"/>
  <c r="N114" i="8"/>
  <c r="M114" i="8"/>
  <c r="F114" i="8"/>
  <c r="G114" i="8" s="1"/>
  <c r="N113" i="8"/>
  <c r="F113" i="8" s="1"/>
  <c r="G113" i="8" s="1"/>
  <c r="M113" i="8"/>
  <c r="O112" i="8"/>
  <c r="N112" i="8"/>
  <c r="M112" i="8"/>
  <c r="F112" i="8"/>
  <c r="G112" i="8" s="1"/>
  <c r="N111" i="8"/>
  <c r="O111" i="8" s="1"/>
  <c r="M111" i="8"/>
  <c r="N110" i="8"/>
  <c r="O110" i="8" s="1"/>
  <c r="M110" i="8"/>
  <c r="N109" i="8"/>
  <c r="O109" i="8" s="1"/>
  <c r="M109" i="8"/>
  <c r="F109" i="8"/>
  <c r="G109" i="8" s="1"/>
  <c r="O108" i="8"/>
  <c r="N108" i="8"/>
  <c r="F108" i="8" s="1"/>
  <c r="G108" i="8" s="1"/>
  <c r="M108" i="8"/>
  <c r="O107" i="8"/>
  <c r="N107" i="8"/>
  <c r="M107" i="8"/>
  <c r="G107" i="8"/>
  <c r="F107" i="8"/>
  <c r="N106" i="8"/>
  <c r="O106" i="8" s="1"/>
  <c r="M106" i="8"/>
  <c r="N105" i="8"/>
  <c r="F105" i="8" s="1"/>
  <c r="G105" i="8" s="1"/>
  <c r="M105" i="8"/>
  <c r="N104" i="8"/>
  <c r="O104" i="8" s="1"/>
  <c r="M104" i="8"/>
  <c r="F104" i="8"/>
  <c r="G104" i="8" s="1"/>
  <c r="O103" i="8"/>
  <c r="N103" i="8"/>
  <c r="F103" i="8" s="1"/>
  <c r="G103" i="8" s="1"/>
  <c r="M103" i="8"/>
  <c r="O102" i="8"/>
  <c r="N102" i="8"/>
  <c r="M102" i="8"/>
  <c r="G102" i="8"/>
  <c r="F102" i="8"/>
  <c r="N101" i="8"/>
  <c r="O101" i="8" s="1"/>
  <c r="M101" i="8"/>
  <c r="N100" i="8"/>
  <c r="O100" i="8" s="1"/>
  <c r="M100" i="8"/>
  <c r="N99" i="8"/>
  <c r="O99" i="8" s="1"/>
  <c r="M99" i="8"/>
  <c r="F99" i="8"/>
  <c r="G99" i="8" s="1"/>
  <c r="O98" i="8"/>
  <c r="N98" i="8"/>
  <c r="F98" i="8" s="1"/>
  <c r="G98" i="8" s="1"/>
  <c r="M98" i="8"/>
  <c r="O97" i="8"/>
  <c r="N97" i="8"/>
  <c r="M97" i="8"/>
  <c r="G97" i="8"/>
  <c r="F97" i="8"/>
  <c r="N96" i="8"/>
  <c r="O96" i="8" s="1"/>
  <c r="M96" i="8"/>
  <c r="N95" i="8"/>
  <c r="O95" i="8" s="1"/>
  <c r="M95" i="8"/>
  <c r="O94" i="8"/>
  <c r="N94" i="8"/>
  <c r="M94" i="8"/>
  <c r="F94" i="8"/>
  <c r="G94" i="8" s="1"/>
  <c r="N93" i="8"/>
  <c r="F93" i="8" s="1"/>
  <c r="G93" i="8" s="1"/>
  <c r="M93" i="8"/>
  <c r="N92" i="8"/>
  <c r="O92" i="8" s="1"/>
  <c r="M92" i="8"/>
  <c r="F92" i="8"/>
  <c r="G92" i="8" s="1"/>
  <c r="N91" i="8"/>
  <c r="M91" i="8"/>
  <c r="N90" i="8"/>
  <c r="O90" i="8" s="1"/>
  <c r="M90" i="8"/>
  <c r="N89" i="8"/>
  <c r="O89" i="8" s="1"/>
  <c r="M89" i="8"/>
  <c r="O88" i="8"/>
  <c r="N88" i="8"/>
  <c r="M88" i="8"/>
  <c r="G88" i="8"/>
  <c r="F88" i="8"/>
  <c r="N87" i="8"/>
  <c r="O87" i="8" s="1"/>
  <c r="M87" i="8"/>
  <c r="F87" i="8"/>
  <c r="G87" i="8" s="1"/>
  <c r="O86" i="8"/>
  <c r="N86" i="8"/>
  <c r="F86" i="8" s="1"/>
  <c r="G86" i="8" s="1"/>
  <c r="M86" i="8"/>
  <c r="O85" i="8"/>
  <c r="N85" i="8"/>
  <c r="M85" i="8"/>
  <c r="G85" i="8"/>
  <c r="F85" i="8"/>
  <c r="N84" i="8"/>
  <c r="O84" i="8" s="1"/>
  <c r="M84" i="8"/>
  <c r="N83" i="8"/>
  <c r="O83" i="8" s="1"/>
  <c r="M83" i="8"/>
  <c r="O82" i="8"/>
  <c r="N82" i="8"/>
  <c r="M82" i="8"/>
  <c r="F82" i="8"/>
  <c r="G82" i="8" s="1"/>
  <c r="N81" i="8"/>
  <c r="F81" i="8" s="1"/>
  <c r="G81" i="8" s="1"/>
  <c r="M81" i="8"/>
  <c r="N80" i="8"/>
  <c r="O80" i="8" s="1"/>
  <c r="M80" i="8"/>
  <c r="F80" i="8"/>
  <c r="G80" i="8" s="1"/>
  <c r="N79" i="8"/>
  <c r="M79" i="8"/>
  <c r="O78" i="8"/>
  <c r="N78" i="8"/>
  <c r="F78" i="8" s="1"/>
  <c r="G78" i="8" s="1"/>
  <c r="M78" i="8"/>
  <c r="N77" i="8"/>
  <c r="O77" i="8" s="1"/>
  <c r="M77" i="8"/>
  <c r="N76" i="8"/>
  <c r="F76" i="8" s="1"/>
  <c r="G76" i="8" s="1"/>
  <c r="M76" i="8"/>
  <c r="N75" i="8"/>
  <c r="O75" i="8" s="1"/>
  <c r="M75" i="8"/>
  <c r="F75" i="8"/>
  <c r="G75" i="8" s="1"/>
  <c r="O74" i="8"/>
  <c r="N74" i="8"/>
  <c r="F74" i="8" s="1"/>
  <c r="G74" i="8" s="1"/>
  <c r="M74" i="8"/>
  <c r="O73" i="8"/>
  <c r="N73" i="8"/>
  <c r="M73" i="8"/>
  <c r="G73" i="8"/>
  <c r="F73" i="8"/>
  <c r="N72" i="8"/>
  <c r="O72" i="8" s="1"/>
  <c r="M72" i="8"/>
  <c r="O71" i="8"/>
  <c r="N71" i="8"/>
  <c r="F71" i="8" s="1"/>
  <c r="G71" i="8" s="1"/>
  <c r="M71" i="8"/>
  <c r="O70" i="8"/>
  <c r="N70" i="8"/>
  <c r="M70" i="8"/>
  <c r="F70" i="8"/>
  <c r="G70" i="8" s="1"/>
  <c r="N69" i="8"/>
  <c r="F69" i="8" s="1"/>
  <c r="G69" i="8" s="1"/>
  <c r="M69" i="8"/>
  <c r="N68" i="8"/>
  <c r="O68" i="8" s="1"/>
  <c r="M68" i="8"/>
  <c r="F68" i="8"/>
  <c r="G68" i="8" s="1"/>
  <c r="N67" i="8"/>
  <c r="M67" i="8"/>
  <c r="O66" i="8"/>
  <c r="N66" i="8"/>
  <c r="F66" i="8" s="1"/>
  <c r="G66" i="8" s="1"/>
  <c r="M66" i="8"/>
  <c r="N65" i="8"/>
  <c r="O65" i="8" s="1"/>
  <c r="M65" i="8"/>
  <c r="N64" i="8"/>
  <c r="F64" i="8" s="1"/>
  <c r="G64" i="8" s="1"/>
  <c r="M64" i="8"/>
  <c r="O63" i="8"/>
  <c r="N63" i="8"/>
  <c r="M63" i="8"/>
  <c r="F63" i="8"/>
  <c r="G63" i="8" s="1"/>
  <c r="O62" i="8"/>
  <c r="N62" i="8"/>
  <c r="F62" i="8" s="1"/>
  <c r="G62" i="8" s="1"/>
  <c r="M62" i="8"/>
  <c r="O61" i="8"/>
  <c r="N61" i="8"/>
  <c r="M61" i="8"/>
  <c r="G61" i="8"/>
  <c r="F61" i="8"/>
  <c r="N60" i="8"/>
  <c r="O60" i="8" s="1"/>
  <c r="M60" i="8"/>
  <c r="O59" i="8"/>
  <c r="N59" i="8"/>
  <c r="F59" i="8" s="1"/>
  <c r="G59" i="8" s="1"/>
  <c r="M59" i="8"/>
  <c r="O58" i="8"/>
  <c r="N58" i="8"/>
  <c r="M58" i="8"/>
  <c r="F58" i="8"/>
  <c r="G58" i="8" s="1"/>
  <c r="N57" i="8"/>
  <c r="F57" i="8" s="1"/>
  <c r="G57" i="8" s="1"/>
  <c r="M57" i="8"/>
  <c r="N56" i="8"/>
  <c r="O56" i="8" s="1"/>
  <c r="M56" i="8"/>
  <c r="F56" i="8"/>
  <c r="G56" i="8" s="1"/>
  <c r="N55" i="8"/>
  <c r="M55" i="8"/>
  <c r="N54" i="8"/>
  <c r="O54" i="8" s="1"/>
  <c r="M54" i="8"/>
  <c r="N53" i="8"/>
  <c r="O53" i="8" s="1"/>
  <c r="M53" i="8"/>
  <c r="N52" i="8"/>
  <c r="F52" i="8" s="1"/>
  <c r="G52" i="8" s="1"/>
  <c r="M52" i="8"/>
  <c r="O51" i="8"/>
  <c r="N51" i="8"/>
  <c r="M51" i="8"/>
  <c r="F51" i="8"/>
  <c r="G51" i="8" s="1"/>
  <c r="O50" i="8"/>
  <c r="N50" i="8"/>
  <c r="F50" i="8" s="1"/>
  <c r="G50" i="8" s="1"/>
  <c r="M50" i="8"/>
  <c r="O49" i="8"/>
  <c r="N49" i="8"/>
  <c r="M49" i="8"/>
  <c r="G49" i="8"/>
  <c r="F49" i="8"/>
  <c r="N48" i="8"/>
  <c r="O48" i="8" s="1"/>
  <c r="M48" i="8"/>
  <c r="O47" i="8"/>
  <c r="N47" i="8"/>
  <c r="F47" i="8" s="1"/>
  <c r="G47" i="8" s="1"/>
  <c r="M47" i="8"/>
  <c r="O46" i="8"/>
  <c r="N46" i="8"/>
  <c r="M46" i="8"/>
  <c r="G46" i="8"/>
  <c r="O45" i="8"/>
  <c r="N45" i="8"/>
  <c r="M45" i="8"/>
  <c r="G45" i="8"/>
  <c r="N44" i="8"/>
  <c r="O44" i="8" s="1"/>
  <c r="M44" i="8"/>
  <c r="O43" i="8"/>
  <c r="N43" i="8"/>
  <c r="M43" i="8"/>
  <c r="G43" i="8"/>
  <c r="O42" i="8"/>
  <c r="N42" i="8"/>
  <c r="M42" i="8"/>
  <c r="G42" i="8"/>
  <c r="N41" i="8"/>
  <c r="O41" i="8" s="1"/>
  <c r="M41" i="8"/>
  <c r="O40" i="8"/>
  <c r="N40" i="8"/>
  <c r="M40" i="8"/>
  <c r="G40" i="8"/>
  <c r="O39" i="8"/>
  <c r="N39" i="8"/>
  <c r="M39" i="8"/>
  <c r="G39" i="8"/>
  <c r="N38" i="8"/>
  <c r="O38" i="8" s="1"/>
  <c r="M38" i="8"/>
  <c r="O37" i="8"/>
  <c r="N37" i="8"/>
  <c r="M37" i="8"/>
  <c r="G37" i="8"/>
  <c r="O36" i="8"/>
  <c r="N36" i="8"/>
  <c r="M36" i="8"/>
  <c r="G36" i="8"/>
  <c r="N35" i="8"/>
  <c r="O35" i="8" s="1"/>
  <c r="M35" i="8"/>
  <c r="O34" i="8"/>
  <c r="N34" i="8"/>
  <c r="M34" i="8"/>
  <c r="J34" i="8"/>
  <c r="G34" i="8"/>
  <c r="N33" i="8"/>
  <c r="O33" i="8" s="1"/>
  <c r="M33" i="8"/>
  <c r="J33" i="8"/>
  <c r="G33" i="8"/>
  <c r="N32" i="8"/>
  <c r="O32" i="8" s="1"/>
  <c r="M32" i="8"/>
  <c r="J32" i="8"/>
  <c r="G32" i="8"/>
  <c r="N31" i="8"/>
  <c r="O31" i="8" s="1"/>
  <c r="M31" i="8"/>
  <c r="J31" i="8"/>
  <c r="G31" i="8"/>
  <c r="N30" i="8"/>
  <c r="O30" i="8" s="1"/>
  <c r="M30" i="8"/>
  <c r="J30" i="8"/>
  <c r="G30" i="8"/>
  <c r="N29" i="8"/>
  <c r="O29" i="8" s="1"/>
  <c r="M29" i="8"/>
  <c r="J29" i="8"/>
  <c r="G29" i="8"/>
  <c r="N28" i="8"/>
  <c r="O28" i="8" s="1"/>
  <c r="M28" i="8"/>
  <c r="J28" i="8"/>
  <c r="G28" i="8"/>
  <c r="O27" i="8"/>
  <c r="N27" i="8"/>
  <c r="M27" i="8"/>
  <c r="J27" i="8"/>
  <c r="G27" i="8"/>
  <c r="O26" i="8"/>
  <c r="N26" i="8"/>
  <c r="M26" i="8"/>
  <c r="J26" i="8"/>
  <c r="G26" i="8"/>
  <c r="O25" i="8"/>
  <c r="N25" i="8"/>
  <c r="M25" i="8"/>
  <c r="J25" i="8"/>
  <c r="G25" i="8"/>
  <c r="N24" i="8"/>
  <c r="O24" i="8" s="1"/>
  <c r="M24" i="8"/>
  <c r="J24" i="8"/>
  <c r="G24" i="8"/>
  <c r="O23" i="8"/>
  <c r="N23" i="8"/>
  <c r="M23" i="8"/>
  <c r="J23" i="8"/>
  <c r="G23" i="8"/>
  <c r="N22" i="8"/>
  <c r="O22" i="8" s="1"/>
  <c r="M22" i="8"/>
  <c r="J22" i="8"/>
  <c r="G22" i="8"/>
  <c r="N21" i="8"/>
  <c r="O21" i="8" s="1"/>
  <c r="M21" i="8"/>
  <c r="J21" i="8"/>
  <c r="G21" i="8"/>
  <c r="N20" i="8"/>
  <c r="O20" i="8" s="1"/>
  <c r="M20" i="8"/>
  <c r="J20" i="8"/>
  <c r="G20" i="8"/>
  <c r="N19" i="8"/>
  <c r="O19" i="8" s="1"/>
  <c r="M19" i="8"/>
  <c r="J19" i="8"/>
  <c r="G19" i="8"/>
  <c r="N18" i="8"/>
  <c r="O18" i="8" s="1"/>
  <c r="M18" i="8"/>
  <c r="J18" i="8"/>
  <c r="G18" i="8"/>
  <c r="N17" i="8"/>
  <c r="O17" i="8" s="1"/>
  <c r="M17" i="8"/>
  <c r="J17" i="8"/>
  <c r="G17" i="8"/>
  <c r="N16" i="8"/>
  <c r="O16" i="8" s="1"/>
  <c r="M16" i="8"/>
  <c r="J16" i="8"/>
  <c r="G16" i="8"/>
  <c r="O15" i="8"/>
  <c r="N15" i="8"/>
  <c r="M15" i="8"/>
  <c r="J15" i="8"/>
  <c r="G15" i="8"/>
  <c r="O14" i="8"/>
  <c r="N14" i="8"/>
  <c r="M14" i="8"/>
  <c r="J14" i="8"/>
  <c r="G14" i="8"/>
  <c r="O13" i="8"/>
  <c r="N13" i="8"/>
  <c r="M13" i="8"/>
  <c r="J13" i="8"/>
  <c r="G13" i="8"/>
  <c r="N12" i="8"/>
  <c r="O12" i="8" s="1"/>
  <c r="M12" i="8"/>
  <c r="J12" i="8"/>
  <c r="G12" i="8"/>
  <c r="O11" i="8"/>
  <c r="N11" i="8"/>
  <c r="M11" i="8"/>
  <c r="J11" i="8"/>
  <c r="G11" i="8"/>
  <c r="N10" i="8"/>
  <c r="O10" i="8" s="1"/>
  <c r="M10" i="8"/>
  <c r="J10" i="8"/>
  <c r="G10" i="8"/>
  <c r="N9" i="8"/>
  <c r="O9" i="8" s="1"/>
  <c r="M9" i="8"/>
  <c r="J9" i="8"/>
  <c r="G9" i="8"/>
  <c r="N8" i="8"/>
  <c r="O8" i="8" s="1"/>
  <c r="M8" i="8"/>
  <c r="J8" i="8"/>
  <c r="G8" i="8"/>
  <c r="N7" i="8"/>
  <c r="O7" i="8" s="1"/>
  <c r="M7" i="8"/>
  <c r="J7" i="8"/>
  <c r="G7" i="8"/>
  <c r="N6" i="8"/>
  <c r="O6" i="8" s="1"/>
  <c r="M6" i="8"/>
  <c r="J6" i="8"/>
  <c r="G6" i="8"/>
  <c r="N5" i="8"/>
  <c r="O5" i="8" s="1"/>
  <c r="M5" i="8"/>
  <c r="J5" i="8"/>
  <c r="G5" i="8"/>
  <c r="N4" i="8"/>
  <c r="O4" i="8" s="1"/>
  <c r="M4" i="8"/>
  <c r="J4" i="8"/>
  <c r="G4" i="8"/>
  <c r="O3" i="8"/>
  <c r="N3" i="8"/>
  <c r="M3" i="8"/>
  <c r="J3" i="8"/>
  <c r="G3" i="8"/>
  <c r="H51" i="6"/>
  <c r="H50" i="6"/>
  <c r="H49" i="6"/>
  <c r="H48" i="6"/>
  <c r="H47" i="6"/>
  <c r="H46" i="6"/>
  <c r="H45" i="6"/>
  <c r="K44" i="6"/>
  <c r="K43" i="6"/>
  <c r="K42" i="6"/>
  <c r="K41" i="6"/>
  <c r="K40" i="6"/>
  <c r="K39" i="6"/>
  <c r="O38" i="6"/>
  <c r="H38" i="6" s="1"/>
  <c r="N38" i="6"/>
  <c r="M38" i="6"/>
  <c r="K38" i="6"/>
  <c r="Q37" i="6"/>
  <c r="O37" i="6"/>
  <c r="P37" i="6" s="1"/>
  <c r="N37" i="6"/>
  <c r="K37" i="6"/>
  <c r="H37" i="6"/>
  <c r="G37" i="6"/>
  <c r="Q36" i="6"/>
  <c r="P36" i="6"/>
  <c r="O36" i="6"/>
  <c r="H36" i="6" s="1"/>
  <c r="N36" i="6"/>
  <c r="K36" i="6"/>
  <c r="G36" i="6"/>
  <c r="O35" i="6"/>
  <c r="Q35" i="6" s="1"/>
  <c r="N35" i="6"/>
  <c r="K35" i="6"/>
  <c r="G35" i="6"/>
  <c r="O34" i="6"/>
  <c r="P34" i="6" s="1"/>
  <c r="N34" i="6"/>
  <c r="K34" i="6"/>
  <c r="K33" i="6"/>
  <c r="K32" i="6"/>
  <c r="K31" i="6"/>
  <c r="K30" i="6"/>
  <c r="K29" i="6"/>
  <c r="K28" i="6"/>
  <c r="K27" i="6"/>
  <c r="K26" i="6"/>
  <c r="K25" i="6"/>
  <c r="O24" i="6"/>
  <c r="H24" i="6" s="1"/>
  <c r="N24" i="6"/>
  <c r="K24" i="6"/>
  <c r="O23" i="6"/>
  <c r="P23" i="6" s="1"/>
  <c r="N23" i="6"/>
  <c r="K23" i="6"/>
  <c r="H23" i="6"/>
  <c r="O22" i="6"/>
  <c r="N22" i="6"/>
  <c r="K22" i="6"/>
  <c r="O21" i="6"/>
  <c r="P21" i="6" s="1"/>
  <c r="M20" i="6" s="1"/>
  <c r="N21" i="6"/>
  <c r="K21" i="6"/>
  <c r="K20" i="6"/>
  <c r="K19" i="6"/>
  <c r="K18" i="6"/>
  <c r="K17" i="6"/>
  <c r="R16" i="6"/>
  <c r="Q16" i="6"/>
  <c r="P16" i="6"/>
  <c r="O16" i="6"/>
  <c r="H16" i="6" s="1"/>
  <c r="N16" i="6"/>
  <c r="K16" i="6"/>
  <c r="O15" i="6"/>
  <c r="P15" i="6" s="1"/>
  <c r="N15" i="6"/>
  <c r="K15" i="6"/>
  <c r="H15" i="6"/>
  <c r="O14" i="6"/>
  <c r="H14" i="6" s="1"/>
  <c r="N14" i="6"/>
  <c r="K14" i="6"/>
  <c r="O13" i="6"/>
  <c r="P13" i="6" s="1"/>
  <c r="N13" i="6"/>
  <c r="K13" i="6"/>
  <c r="H13" i="6"/>
  <c r="O12" i="6"/>
  <c r="M12" i="6"/>
  <c r="N12" i="6" s="1"/>
  <c r="K12" i="6"/>
  <c r="O11" i="6"/>
  <c r="P11" i="6" s="1"/>
  <c r="N11" i="6"/>
  <c r="K11" i="6"/>
  <c r="H11" i="6"/>
  <c r="O10" i="6"/>
  <c r="N10" i="6"/>
  <c r="K10" i="6"/>
  <c r="O9" i="6"/>
  <c r="P9" i="6" s="1"/>
  <c r="N9" i="6"/>
  <c r="K9" i="6"/>
  <c r="O8" i="6"/>
  <c r="P8" i="6" s="1"/>
  <c r="N8" i="6"/>
  <c r="K8" i="6"/>
  <c r="P7" i="6"/>
  <c r="O7" i="6"/>
  <c r="H7" i="6" s="1"/>
  <c r="N7" i="6"/>
  <c r="K7" i="6"/>
  <c r="P6" i="6"/>
  <c r="O6" i="6"/>
  <c r="M6" i="6"/>
  <c r="N6" i="6" s="1"/>
  <c r="K6" i="6"/>
  <c r="H6" i="6"/>
  <c r="G6" i="6"/>
  <c r="P5" i="6"/>
  <c r="O5" i="6"/>
  <c r="G5" i="6" s="1"/>
  <c r="H5" i="6" s="1"/>
  <c r="M5" i="6"/>
  <c r="N5" i="6" s="1"/>
  <c r="K5" i="6"/>
  <c r="O4" i="6"/>
  <c r="G4" i="6" s="1"/>
  <c r="H4" i="6" s="1"/>
  <c r="M4" i="6"/>
  <c r="N4" i="6" s="1"/>
  <c r="K4" i="6"/>
  <c r="O199" i="5"/>
  <c r="M199" i="5"/>
  <c r="K199" i="5"/>
  <c r="F199" i="5"/>
  <c r="O198" i="5"/>
  <c r="K198" i="5"/>
  <c r="F198" i="5"/>
  <c r="M198" i="5" s="1"/>
  <c r="O197" i="5"/>
  <c r="K197" i="5"/>
  <c r="F197" i="5"/>
  <c r="M197" i="5" s="1"/>
  <c r="O196" i="5"/>
  <c r="M196" i="5"/>
  <c r="K196" i="5"/>
  <c r="F196" i="5"/>
  <c r="O195" i="5"/>
  <c r="K195" i="5"/>
  <c r="F195" i="5"/>
  <c r="M195" i="5" s="1"/>
  <c r="O194" i="5"/>
  <c r="K194" i="5"/>
  <c r="F194" i="5"/>
  <c r="M194" i="5" s="1"/>
  <c r="O193" i="5"/>
  <c r="M193" i="5"/>
  <c r="K193" i="5"/>
  <c r="F193" i="5"/>
  <c r="O192" i="5"/>
  <c r="K192" i="5"/>
  <c r="F192" i="5"/>
  <c r="M192" i="5" s="1"/>
  <c r="O191" i="5"/>
  <c r="M191" i="5"/>
  <c r="K191" i="5"/>
  <c r="F191" i="5"/>
  <c r="O190" i="5"/>
  <c r="M190" i="5"/>
  <c r="K190" i="5"/>
  <c r="F190" i="5"/>
  <c r="O189" i="5"/>
  <c r="K189" i="5"/>
  <c r="F189" i="5"/>
  <c r="M189" i="5" s="1"/>
  <c r="O188" i="5"/>
  <c r="M188" i="5"/>
  <c r="K188" i="5"/>
  <c r="F188" i="5"/>
  <c r="O187" i="5"/>
  <c r="M187" i="5"/>
  <c r="K187" i="5"/>
  <c r="F187" i="5"/>
  <c r="O186" i="5"/>
  <c r="K186" i="5"/>
  <c r="F186" i="5"/>
  <c r="M186" i="5" s="1"/>
  <c r="O185" i="5"/>
  <c r="M185" i="5"/>
  <c r="K185" i="5"/>
  <c r="F185" i="5"/>
  <c r="O184" i="5"/>
  <c r="M184" i="5"/>
  <c r="K184" i="5"/>
  <c r="F184" i="5"/>
  <c r="O183" i="5"/>
  <c r="L183" i="5"/>
  <c r="K183" i="5"/>
  <c r="F183" i="5"/>
  <c r="M183" i="5" s="1"/>
  <c r="O182" i="5"/>
  <c r="M182" i="5"/>
  <c r="K182" i="5"/>
  <c r="F182" i="5"/>
  <c r="O181" i="5"/>
  <c r="M181" i="5"/>
  <c r="K181" i="5"/>
  <c r="F181" i="5"/>
  <c r="O180" i="5"/>
  <c r="K180" i="5"/>
  <c r="F180" i="5"/>
  <c r="M180" i="5" s="1"/>
  <c r="O179" i="5"/>
  <c r="M179" i="5"/>
  <c r="F179" i="5"/>
  <c r="O178" i="5"/>
  <c r="M178" i="5"/>
  <c r="F178" i="5"/>
  <c r="O177" i="5"/>
  <c r="F177" i="5"/>
  <c r="M177" i="5" s="1"/>
  <c r="O176" i="5"/>
  <c r="F176" i="5"/>
  <c r="M176" i="5" s="1"/>
  <c r="O175" i="5"/>
  <c r="M175" i="5"/>
  <c r="F175" i="5"/>
  <c r="O174" i="5"/>
  <c r="M174" i="5"/>
  <c r="F174" i="5"/>
  <c r="O173" i="5"/>
  <c r="F173" i="5"/>
  <c r="M173" i="5" s="1"/>
  <c r="O172" i="5"/>
  <c r="F172" i="5"/>
  <c r="M172" i="5" s="1"/>
  <c r="O171" i="5"/>
  <c r="M171" i="5"/>
  <c r="F171" i="5"/>
  <c r="O170" i="5"/>
  <c r="M170" i="5"/>
  <c r="F170" i="5"/>
  <c r="O169" i="5"/>
  <c r="F169" i="5"/>
  <c r="M169" i="5" s="1"/>
  <c r="O168" i="5"/>
  <c r="M168" i="5"/>
  <c r="K168" i="5"/>
  <c r="O167" i="5"/>
  <c r="M167" i="5"/>
  <c r="K167" i="5"/>
  <c r="O166" i="5"/>
  <c r="M166" i="5"/>
  <c r="K166" i="5"/>
  <c r="O165" i="5"/>
  <c r="M165" i="5"/>
  <c r="K165" i="5"/>
  <c r="O164" i="5"/>
  <c r="M164" i="5"/>
  <c r="K164" i="5"/>
  <c r="O163" i="5"/>
  <c r="M163" i="5"/>
  <c r="K163" i="5"/>
  <c r="O162" i="5"/>
  <c r="M162" i="5"/>
  <c r="K162" i="5"/>
  <c r="O161" i="5"/>
  <c r="M161" i="5"/>
  <c r="K161" i="5"/>
  <c r="O160" i="5"/>
  <c r="M160" i="5"/>
  <c r="K160" i="5"/>
  <c r="O159" i="5"/>
  <c r="M159" i="5"/>
  <c r="K159" i="5"/>
  <c r="O158" i="5"/>
  <c r="M158" i="5"/>
  <c r="K158" i="5"/>
  <c r="P157" i="5"/>
  <c r="O157" i="5"/>
  <c r="M157" i="5"/>
  <c r="K157" i="5"/>
  <c r="M156" i="5"/>
  <c r="M155" i="5"/>
  <c r="M154" i="5"/>
  <c r="M153" i="5"/>
  <c r="M152" i="5"/>
  <c r="M151" i="5"/>
  <c r="M150" i="5"/>
  <c r="M149" i="5"/>
  <c r="M148" i="5"/>
  <c r="M147" i="5"/>
  <c r="M146" i="5"/>
  <c r="M145" i="5"/>
  <c r="M144" i="5"/>
  <c r="M143" i="5"/>
  <c r="M142" i="5"/>
  <c r="M141" i="5"/>
  <c r="M140" i="5"/>
  <c r="O139" i="5"/>
  <c r="N139" i="5"/>
  <c r="F139" i="5" s="1"/>
  <c r="M139" i="5" s="1"/>
  <c r="N138" i="5"/>
  <c r="O138" i="5" s="1"/>
  <c r="F138" i="5"/>
  <c r="M138" i="5" s="1"/>
  <c r="O137" i="5"/>
  <c r="N137" i="5"/>
  <c r="F137" i="5" s="1"/>
  <c r="M137" i="5" s="1"/>
  <c r="O136" i="5"/>
  <c r="N136" i="5"/>
  <c r="F136" i="5" s="1"/>
  <c r="M136" i="5" s="1"/>
  <c r="N135" i="5"/>
  <c r="O135" i="5" s="1"/>
  <c r="F135" i="5"/>
  <c r="M135" i="5" s="1"/>
  <c r="O134" i="5"/>
  <c r="N134" i="5"/>
  <c r="M134" i="5"/>
  <c r="F134" i="5"/>
  <c r="O133" i="5"/>
  <c r="N133" i="5"/>
  <c r="F133" i="5" s="1"/>
  <c r="M133" i="5" s="1"/>
  <c r="N132" i="5"/>
  <c r="O132" i="5" s="1"/>
  <c r="F132" i="5"/>
  <c r="M132" i="5" s="1"/>
  <c r="O131" i="5"/>
  <c r="N131" i="5"/>
  <c r="M131" i="5"/>
  <c r="F131" i="5"/>
  <c r="O130" i="5"/>
  <c r="N130" i="5"/>
  <c r="F130" i="5" s="1"/>
  <c r="M130" i="5" s="1"/>
  <c r="N129" i="5"/>
  <c r="O129" i="5" s="1"/>
  <c r="F129" i="5"/>
  <c r="M129" i="5" s="1"/>
  <c r="O128" i="5"/>
  <c r="N128" i="5"/>
  <c r="M128" i="5"/>
  <c r="F128" i="5"/>
  <c r="M127" i="5"/>
  <c r="F127" i="5"/>
  <c r="M126" i="5"/>
  <c r="F126" i="5"/>
  <c r="F125" i="5"/>
  <c r="M125" i="5" s="1"/>
  <c r="F124" i="5"/>
  <c r="M124" i="5" s="1"/>
  <c r="M123" i="5"/>
  <c r="F123" i="5"/>
  <c r="M122" i="5"/>
  <c r="F122" i="5"/>
  <c r="M121" i="5"/>
  <c r="F121" i="5"/>
  <c r="M120" i="5"/>
  <c r="F120" i="5"/>
  <c r="F119" i="5"/>
  <c r="M119" i="5" s="1"/>
  <c r="F118" i="5"/>
  <c r="M118" i="5" s="1"/>
  <c r="M117" i="5"/>
  <c r="F117" i="5"/>
  <c r="M116" i="5"/>
  <c r="F116" i="5"/>
  <c r="M115" i="5"/>
  <c r="F115" i="5"/>
  <c r="M114" i="5"/>
  <c r="F114" i="5"/>
  <c r="F113" i="5"/>
  <c r="M113" i="5" s="1"/>
  <c r="F112" i="5"/>
  <c r="M112" i="5" s="1"/>
  <c r="O111" i="5"/>
  <c r="K111" i="5"/>
  <c r="F111" i="5"/>
  <c r="M111" i="5" s="1"/>
  <c r="O110" i="5"/>
  <c r="M110" i="5"/>
  <c r="K110" i="5"/>
  <c r="F110" i="5"/>
  <c r="O109" i="5"/>
  <c r="K109" i="5"/>
  <c r="F109" i="5"/>
  <c r="M109" i="5" s="1"/>
  <c r="O108" i="5"/>
  <c r="M108" i="5"/>
  <c r="K108" i="5"/>
  <c r="F108" i="5"/>
  <c r="O107" i="5"/>
  <c r="M107" i="5"/>
  <c r="K107" i="5"/>
  <c r="F107" i="5"/>
  <c r="O106" i="5"/>
  <c r="K106" i="5"/>
  <c r="F106" i="5"/>
  <c r="M106" i="5" s="1"/>
  <c r="O105" i="5"/>
  <c r="M105" i="5"/>
  <c r="K105" i="5"/>
  <c r="F105" i="5"/>
  <c r="O104" i="5"/>
  <c r="M104" i="5"/>
  <c r="K104" i="5"/>
  <c r="F104" i="5"/>
  <c r="O103" i="5"/>
  <c r="K103" i="5"/>
  <c r="F103" i="5"/>
  <c r="M103" i="5" s="1"/>
  <c r="O102" i="5"/>
  <c r="M102" i="5"/>
  <c r="K102" i="5"/>
  <c r="F102" i="5"/>
  <c r="O101" i="5"/>
  <c r="M101" i="5"/>
  <c r="K101" i="5"/>
  <c r="F101" i="5"/>
  <c r="O100" i="5"/>
  <c r="K100" i="5"/>
  <c r="F100" i="5"/>
  <c r="M100" i="5" s="1"/>
  <c r="O99" i="5"/>
  <c r="M99" i="5"/>
  <c r="K99" i="5"/>
  <c r="F99" i="5"/>
  <c r="O98" i="5"/>
  <c r="M98" i="5"/>
  <c r="K98" i="5"/>
  <c r="F98" i="5"/>
  <c r="O97" i="5"/>
  <c r="K97" i="5"/>
  <c r="F97" i="5"/>
  <c r="M97" i="5" s="1"/>
  <c r="O96" i="5"/>
  <c r="M96" i="5"/>
  <c r="K96" i="5"/>
  <c r="F96" i="5"/>
  <c r="O95" i="5"/>
  <c r="M95" i="5"/>
  <c r="K95" i="5"/>
  <c r="F95" i="5"/>
  <c r="O94" i="5"/>
  <c r="K94" i="5"/>
  <c r="F94" i="5"/>
  <c r="M94" i="5" s="1"/>
  <c r="O93" i="5"/>
  <c r="M93" i="5"/>
  <c r="K93" i="5"/>
  <c r="F93" i="5"/>
  <c r="O92" i="5"/>
  <c r="M92" i="5"/>
  <c r="K92" i="5"/>
  <c r="F92" i="5"/>
  <c r="O91" i="5"/>
  <c r="K91" i="5"/>
  <c r="F91" i="5"/>
  <c r="M91" i="5" s="1"/>
  <c r="O90" i="5"/>
  <c r="M90" i="5"/>
  <c r="K90" i="5"/>
  <c r="F90" i="5"/>
  <c r="O89" i="5"/>
  <c r="M89" i="5"/>
  <c r="K89" i="5"/>
  <c r="F89" i="5"/>
  <c r="O88" i="5"/>
  <c r="K88" i="5"/>
  <c r="F88" i="5"/>
  <c r="M88" i="5" s="1"/>
  <c r="O87" i="5"/>
  <c r="M87" i="5"/>
  <c r="K87" i="5"/>
  <c r="F87" i="5"/>
  <c r="O86" i="5"/>
  <c r="M86" i="5"/>
  <c r="K86" i="5"/>
  <c r="F86" i="5"/>
  <c r="O85" i="5"/>
  <c r="K85" i="5"/>
  <c r="F85" i="5"/>
  <c r="M85" i="5" s="1"/>
  <c r="O84" i="5"/>
  <c r="M84" i="5"/>
  <c r="K84" i="5"/>
  <c r="F84" i="5"/>
  <c r="O83" i="5"/>
  <c r="M83" i="5"/>
  <c r="K83" i="5"/>
  <c r="F83" i="5"/>
  <c r="O82" i="5"/>
  <c r="K82" i="5"/>
  <c r="F82" i="5"/>
  <c r="M82" i="5" s="1"/>
  <c r="O81" i="5"/>
  <c r="M81" i="5"/>
  <c r="K81" i="5"/>
  <c r="F81" i="5"/>
  <c r="O80" i="5"/>
  <c r="M80" i="5"/>
  <c r="K80" i="5"/>
  <c r="F80" i="5"/>
  <c r="O79" i="5"/>
  <c r="K79" i="5"/>
  <c r="F79" i="5"/>
  <c r="M79" i="5" s="1"/>
  <c r="O78" i="5"/>
  <c r="M78" i="5"/>
  <c r="K78" i="5"/>
  <c r="F78" i="5"/>
  <c r="M77" i="5"/>
  <c r="M76" i="5"/>
  <c r="M75" i="5"/>
  <c r="M74" i="5"/>
  <c r="M73" i="5"/>
  <c r="M72" i="5"/>
  <c r="M71" i="5"/>
  <c r="M70" i="5"/>
  <c r="M69" i="5"/>
  <c r="M68" i="5"/>
  <c r="O67" i="5"/>
  <c r="N67" i="5"/>
  <c r="F67" i="5" s="1"/>
  <c r="M67" i="5" s="1"/>
  <c r="M66" i="5"/>
  <c r="F66" i="5"/>
  <c r="F65" i="5"/>
  <c r="M65" i="5" s="1"/>
  <c r="F64" i="5"/>
  <c r="M64" i="5" s="1"/>
  <c r="M63" i="5"/>
  <c r="F63" i="5"/>
  <c r="M62" i="5"/>
  <c r="F62" i="5"/>
  <c r="M61" i="5"/>
  <c r="F61" i="5"/>
  <c r="M60" i="5"/>
  <c r="F60" i="5"/>
  <c r="F59" i="5"/>
  <c r="M59" i="5" s="1"/>
  <c r="P58" i="5"/>
  <c r="O58" i="5"/>
  <c r="M58" i="5"/>
  <c r="K58" i="5"/>
  <c r="O57" i="5"/>
  <c r="M57" i="5"/>
  <c r="K57" i="5"/>
  <c r="O56" i="5"/>
  <c r="M56" i="5"/>
  <c r="K56" i="5"/>
  <c r="O55" i="5"/>
  <c r="M55" i="5"/>
  <c r="K55" i="5"/>
  <c r="O54" i="5"/>
  <c r="M54" i="5"/>
  <c r="K54" i="5"/>
  <c r="O53" i="5"/>
  <c r="M53" i="5"/>
  <c r="K53" i="5"/>
  <c r="O52" i="5"/>
  <c r="M52" i="5"/>
  <c r="K52" i="5"/>
  <c r="O51" i="5"/>
  <c r="M51" i="5"/>
  <c r="K51" i="5"/>
  <c r="O50" i="5"/>
  <c r="M50" i="5"/>
  <c r="K50" i="5"/>
  <c r="O49" i="5"/>
  <c r="M49" i="5"/>
  <c r="K49" i="5"/>
  <c r="O48" i="5"/>
  <c r="M48" i="5"/>
  <c r="K48" i="5"/>
  <c r="O47" i="5"/>
  <c r="M47" i="5"/>
  <c r="K47" i="5"/>
  <c r="O46" i="5"/>
  <c r="M46" i="5"/>
  <c r="K46" i="5"/>
  <c r="O45" i="5"/>
  <c r="M45" i="5"/>
  <c r="K45" i="5"/>
  <c r="O44" i="5"/>
  <c r="M44" i="5"/>
  <c r="K44" i="5"/>
  <c r="O43" i="5"/>
  <c r="M43" i="5"/>
  <c r="K43" i="5"/>
  <c r="O42" i="5"/>
  <c r="M42" i="5"/>
  <c r="K42" i="5"/>
  <c r="O41" i="5"/>
  <c r="M41" i="5"/>
  <c r="K41" i="5"/>
  <c r="O40" i="5"/>
  <c r="M40" i="5"/>
  <c r="K40" i="5"/>
  <c r="O39" i="5"/>
  <c r="M39" i="5"/>
  <c r="K39" i="5"/>
  <c r="O38" i="5"/>
  <c r="M38" i="5"/>
  <c r="K38" i="5"/>
  <c r="O37" i="5"/>
  <c r="M37" i="5"/>
  <c r="K37" i="5"/>
  <c r="O36" i="5"/>
  <c r="M36" i="5"/>
  <c r="K36" i="5"/>
  <c r="O35" i="5"/>
  <c r="M35" i="5"/>
  <c r="K35" i="5"/>
  <c r="O34" i="5"/>
  <c r="M34" i="5"/>
  <c r="K34" i="5"/>
  <c r="O33" i="5"/>
  <c r="M33" i="5"/>
  <c r="K33" i="5"/>
  <c r="O32" i="5"/>
  <c r="M32" i="5"/>
  <c r="K32" i="5"/>
  <c r="O31" i="5"/>
  <c r="M31" i="5"/>
  <c r="K31" i="5"/>
  <c r="O30" i="5"/>
  <c r="M30" i="5"/>
  <c r="K30" i="5"/>
  <c r="O29" i="5"/>
  <c r="M29" i="5"/>
  <c r="K29" i="5"/>
  <c r="O28" i="5"/>
  <c r="M28" i="5"/>
  <c r="K28" i="5"/>
  <c r="O27" i="5"/>
  <c r="M27" i="5"/>
  <c r="K27" i="5"/>
  <c r="O26" i="5"/>
  <c r="M26" i="5"/>
  <c r="K26" i="5"/>
  <c r="O25" i="5"/>
  <c r="M25" i="5"/>
  <c r="K25" i="5"/>
  <c r="O24" i="5"/>
  <c r="M24" i="5"/>
  <c r="K24" i="5"/>
  <c r="O23" i="5"/>
  <c r="K23" i="5"/>
  <c r="F23" i="5"/>
  <c r="M23" i="5" s="1"/>
  <c r="O22" i="5"/>
  <c r="K22" i="5"/>
  <c r="F22" i="5"/>
  <c r="M22" i="5" s="1"/>
  <c r="O21" i="5"/>
  <c r="M21" i="5"/>
  <c r="K21" i="5"/>
  <c r="F21" i="5"/>
  <c r="O20" i="5"/>
  <c r="K20" i="5"/>
  <c r="F20" i="5"/>
  <c r="M20" i="5" s="1"/>
  <c r="O19" i="5"/>
  <c r="M19" i="5"/>
  <c r="K19" i="5"/>
  <c r="F19" i="5"/>
  <c r="O18" i="5"/>
  <c r="M18" i="5"/>
  <c r="K18" i="5"/>
  <c r="F18" i="5"/>
  <c r="O17" i="5"/>
  <c r="K17" i="5"/>
  <c r="F17" i="5"/>
  <c r="M17" i="5" s="1"/>
  <c r="O16" i="5"/>
  <c r="M16" i="5"/>
  <c r="K16" i="5"/>
  <c r="F16" i="5"/>
  <c r="O15" i="5"/>
  <c r="M15" i="5"/>
  <c r="K15" i="5"/>
  <c r="F15" i="5"/>
  <c r="O14" i="5"/>
  <c r="K14" i="5"/>
  <c r="F14" i="5"/>
  <c r="M14" i="5" s="1"/>
  <c r="O13" i="5"/>
  <c r="M13" i="5"/>
  <c r="K13" i="5"/>
  <c r="F13" i="5"/>
  <c r="O12" i="5"/>
  <c r="M12" i="5"/>
  <c r="K12" i="5"/>
  <c r="F12" i="5"/>
  <c r="O11" i="5"/>
  <c r="K11" i="5"/>
  <c r="F11" i="5"/>
  <c r="M11" i="5" s="1"/>
  <c r="M10" i="5"/>
  <c r="M9" i="5"/>
  <c r="M8" i="5"/>
  <c r="M7" i="5"/>
  <c r="F7" i="5"/>
  <c r="O6" i="5"/>
  <c r="M6" i="5"/>
  <c r="K6" i="5"/>
  <c r="F6" i="5"/>
  <c r="O5" i="5"/>
  <c r="K5" i="5"/>
  <c r="F5" i="5"/>
  <c r="M5" i="5" s="1"/>
  <c r="O4" i="5"/>
  <c r="M4" i="5"/>
  <c r="K4" i="5"/>
  <c r="F4" i="5"/>
  <c r="O3" i="5"/>
  <c r="M3" i="5"/>
  <c r="K3" i="5"/>
  <c r="F127" i="3"/>
  <c r="E127" i="3"/>
  <c r="G127" i="3" s="1"/>
  <c r="R127" i="3" s="1"/>
  <c r="F126" i="3"/>
  <c r="E126" i="3"/>
  <c r="G126" i="3" s="1"/>
  <c r="R126" i="3" s="1"/>
  <c r="F122" i="3"/>
  <c r="G122" i="3" s="1"/>
  <c r="R122" i="3" s="1"/>
  <c r="E122" i="3"/>
  <c r="F119" i="3"/>
  <c r="E119" i="3"/>
  <c r="G119" i="3" s="1"/>
  <c r="R119" i="3" s="1"/>
  <c r="K118" i="3"/>
  <c r="J118" i="3"/>
  <c r="L118" i="3" s="1"/>
  <c r="R118" i="3" s="1"/>
  <c r="F118" i="3"/>
  <c r="E118" i="3"/>
  <c r="G118" i="3" s="1"/>
  <c r="F113" i="3"/>
  <c r="E113" i="3"/>
  <c r="G113" i="3" s="1"/>
  <c r="R113" i="3" s="1"/>
  <c r="G112" i="3"/>
  <c r="R112" i="3" s="1"/>
  <c r="F112" i="3"/>
  <c r="E112" i="3"/>
  <c r="F110" i="3"/>
  <c r="E110" i="3"/>
  <c r="G110" i="3" s="1"/>
  <c r="R110" i="3" s="1"/>
  <c r="F109" i="3"/>
  <c r="E109" i="3"/>
  <c r="G109" i="3" s="1"/>
  <c r="R109" i="3" s="1"/>
  <c r="G108" i="3"/>
  <c r="R108" i="3" s="1"/>
  <c r="F108" i="3"/>
  <c r="E108" i="3"/>
  <c r="F107" i="3"/>
  <c r="E107" i="3"/>
  <c r="G107" i="3" s="1"/>
  <c r="R107" i="3" s="1"/>
  <c r="F106" i="3"/>
  <c r="E106" i="3"/>
  <c r="G106" i="3" s="1"/>
  <c r="R106" i="3" s="1"/>
  <c r="G105" i="3"/>
  <c r="R105" i="3" s="1"/>
  <c r="F105" i="3"/>
  <c r="E105" i="3"/>
  <c r="F104" i="3"/>
  <c r="E104" i="3"/>
  <c r="G104" i="3" s="1"/>
  <c r="R104" i="3" s="1"/>
  <c r="F103" i="3"/>
  <c r="E103" i="3"/>
  <c r="G103" i="3" s="1"/>
  <c r="R103" i="3" s="1"/>
  <c r="F101" i="3"/>
  <c r="G101" i="3" s="1"/>
  <c r="R101" i="3" s="1"/>
  <c r="E101" i="3"/>
  <c r="F100" i="3"/>
  <c r="E100" i="3"/>
  <c r="G100" i="3" s="1"/>
  <c r="R100" i="3" s="1"/>
  <c r="F99" i="3"/>
  <c r="E99" i="3"/>
  <c r="G99" i="3" s="1"/>
  <c r="R99" i="3" s="1"/>
  <c r="F98" i="3"/>
  <c r="G98" i="3" s="1"/>
  <c r="R98" i="3" s="1"/>
  <c r="E98" i="3"/>
  <c r="K97" i="3"/>
  <c r="J97" i="3"/>
  <c r="L97" i="3" s="1"/>
  <c r="F97" i="3"/>
  <c r="E97" i="3"/>
  <c r="G97" i="3" s="1"/>
  <c r="F95" i="3"/>
  <c r="E95" i="3"/>
  <c r="K94" i="3"/>
  <c r="J94" i="3"/>
  <c r="L94" i="3" s="1"/>
  <c r="R94" i="3" s="1"/>
  <c r="G94" i="3"/>
  <c r="F94" i="3"/>
  <c r="E94" i="3"/>
  <c r="G92" i="3"/>
  <c r="R92" i="3" s="1"/>
  <c r="F92" i="3"/>
  <c r="E92" i="3"/>
  <c r="R91" i="3"/>
  <c r="G91" i="3"/>
  <c r="F91" i="3"/>
  <c r="E91" i="3"/>
  <c r="L90" i="3"/>
  <c r="K90" i="3"/>
  <c r="J90" i="3"/>
  <c r="F90" i="3"/>
  <c r="G90" i="3" s="1"/>
  <c r="R90" i="3" s="1"/>
  <c r="E90" i="3"/>
  <c r="L89" i="3"/>
  <c r="R89" i="3" s="1"/>
  <c r="K89" i="3"/>
  <c r="J89" i="3"/>
  <c r="F89" i="3"/>
  <c r="E89" i="3"/>
  <c r="G89" i="3" s="1"/>
  <c r="F88" i="3"/>
  <c r="E88" i="3"/>
  <c r="K87" i="3"/>
  <c r="J87" i="3"/>
  <c r="L87" i="3" s="1"/>
  <c r="F87" i="3"/>
  <c r="E87" i="3"/>
  <c r="G87" i="3" s="1"/>
  <c r="F86" i="3"/>
  <c r="E86" i="3"/>
  <c r="G86" i="3" s="1"/>
  <c r="R86" i="3" s="1"/>
  <c r="F85" i="3"/>
  <c r="E85" i="3"/>
  <c r="R84" i="3"/>
  <c r="F84" i="3"/>
  <c r="E84" i="3"/>
  <c r="G84" i="3" s="1"/>
  <c r="F83" i="3"/>
  <c r="E83" i="3"/>
  <c r="G83" i="3" s="1"/>
  <c r="R83" i="3" s="1"/>
  <c r="R82" i="3"/>
  <c r="F82" i="3"/>
  <c r="E82" i="3"/>
  <c r="G82" i="3" s="1"/>
  <c r="F81" i="3"/>
  <c r="E81" i="3"/>
  <c r="G81" i="3" s="1"/>
  <c r="R81" i="3" s="1"/>
  <c r="F80" i="3"/>
  <c r="E80" i="3"/>
  <c r="G80" i="3" s="1"/>
  <c r="R80" i="3" s="1"/>
  <c r="K79" i="3"/>
  <c r="J79" i="3"/>
  <c r="L79" i="3" s="1"/>
  <c r="G79" i="3"/>
  <c r="R79" i="3" s="1"/>
  <c r="F79" i="3"/>
  <c r="E79" i="3"/>
  <c r="R78" i="3"/>
  <c r="K78" i="3"/>
  <c r="J78" i="3"/>
  <c r="L78" i="3" s="1"/>
  <c r="G78" i="3"/>
  <c r="F78" i="3"/>
  <c r="E78" i="3"/>
  <c r="K77" i="3"/>
  <c r="L77" i="3" s="1"/>
  <c r="J77" i="3"/>
  <c r="F77" i="3"/>
  <c r="E77" i="3"/>
  <c r="G76" i="3"/>
  <c r="R76" i="3" s="1"/>
  <c r="F76" i="3"/>
  <c r="E76" i="3"/>
  <c r="F74" i="3"/>
  <c r="E74" i="3"/>
  <c r="G74" i="3" s="1"/>
  <c r="R74" i="3" s="1"/>
  <c r="F73" i="3"/>
  <c r="E73" i="3"/>
  <c r="G73" i="3" s="1"/>
  <c r="R73" i="3" s="1"/>
  <c r="F72" i="3"/>
  <c r="G72" i="3" s="1"/>
  <c r="R72" i="3" s="1"/>
  <c r="E72" i="3"/>
  <c r="F71" i="3"/>
  <c r="E71" i="3"/>
  <c r="G71" i="3" s="1"/>
  <c r="R71" i="3" s="1"/>
  <c r="F70" i="3"/>
  <c r="E70" i="3"/>
  <c r="G70" i="3" s="1"/>
  <c r="R70" i="3" s="1"/>
  <c r="F69" i="3"/>
  <c r="E69" i="3"/>
  <c r="G69" i="3" s="1"/>
  <c r="R69" i="3" s="1"/>
  <c r="L68" i="3"/>
  <c r="R68" i="3" s="1"/>
  <c r="K68" i="3"/>
  <c r="J68" i="3"/>
  <c r="F68" i="3"/>
  <c r="E68" i="3"/>
  <c r="G68" i="3" s="1"/>
  <c r="F67" i="3"/>
  <c r="E67" i="3"/>
  <c r="G67" i="3" s="1"/>
  <c r="R67" i="3" s="1"/>
  <c r="F66" i="3"/>
  <c r="E66" i="3"/>
  <c r="G66" i="3" s="1"/>
  <c r="R66" i="3" s="1"/>
  <c r="K65" i="3"/>
  <c r="J65" i="3"/>
  <c r="L65" i="3" s="1"/>
  <c r="F65" i="3"/>
  <c r="E65" i="3"/>
  <c r="G65" i="3" s="1"/>
  <c r="R65" i="3" s="1"/>
  <c r="L64" i="3"/>
  <c r="K64" i="3"/>
  <c r="J64" i="3"/>
  <c r="F64" i="3"/>
  <c r="G64" i="3" s="1"/>
  <c r="R64" i="3" s="1"/>
  <c r="E64" i="3"/>
  <c r="F63" i="3"/>
  <c r="G63" i="3" s="1"/>
  <c r="R63" i="3" s="1"/>
  <c r="E63" i="3"/>
  <c r="F62" i="3"/>
  <c r="E62" i="3"/>
  <c r="G62" i="3" s="1"/>
  <c r="R62" i="3" s="1"/>
  <c r="K61" i="3"/>
  <c r="L61" i="3" s="1"/>
  <c r="J61" i="3"/>
  <c r="G61" i="3"/>
  <c r="R61" i="3" s="1"/>
  <c r="F61" i="3"/>
  <c r="E61" i="3"/>
  <c r="F60" i="3"/>
  <c r="E60" i="3"/>
  <c r="G60" i="3" s="1"/>
  <c r="R60" i="3" s="1"/>
  <c r="G59" i="3"/>
  <c r="R59" i="3" s="1"/>
  <c r="F59" i="3"/>
  <c r="E59" i="3"/>
  <c r="K58" i="3"/>
  <c r="L58" i="3" s="1"/>
  <c r="J58" i="3"/>
  <c r="F58" i="3"/>
  <c r="E58" i="3"/>
  <c r="F57" i="3"/>
  <c r="E57" i="3"/>
  <c r="G57" i="3" s="1"/>
  <c r="R57" i="3" s="1"/>
  <c r="F56" i="3"/>
  <c r="E56" i="3"/>
  <c r="G56" i="3" s="1"/>
  <c r="R56" i="3" s="1"/>
  <c r="K55" i="3"/>
  <c r="J55" i="3"/>
  <c r="L55" i="3" s="1"/>
  <c r="F55" i="3"/>
  <c r="E55" i="3"/>
  <c r="G55" i="3" s="1"/>
  <c r="R55" i="3" s="1"/>
  <c r="G54" i="3"/>
  <c r="R54" i="3" s="1"/>
  <c r="F54" i="3"/>
  <c r="E54" i="3"/>
  <c r="L53" i="3"/>
  <c r="K53" i="3"/>
  <c r="J53" i="3"/>
  <c r="F53" i="3"/>
  <c r="E53" i="3"/>
  <c r="G53" i="3" s="1"/>
  <c r="R53" i="3" s="1"/>
  <c r="F52" i="3"/>
  <c r="E52" i="3"/>
  <c r="G52" i="3" s="1"/>
  <c r="R52" i="3" s="1"/>
  <c r="F51" i="3"/>
  <c r="G51" i="3" s="1"/>
  <c r="R51" i="3" s="1"/>
  <c r="E51" i="3"/>
  <c r="F50" i="3"/>
  <c r="E50" i="3"/>
  <c r="G50" i="3" s="1"/>
  <c r="R50" i="3" s="1"/>
  <c r="F49" i="3"/>
  <c r="E49" i="3"/>
  <c r="G49" i="3" s="1"/>
  <c r="R49" i="3" s="1"/>
  <c r="F48" i="3"/>
  <c r="E48" i="3"/>
  <c r="G48" i="3" s="1"/>
  <c r="R48" i="3" s="1"/>
  <c r="F47" i="3"/>
  <c r="E47" i="3"/>
  <c r="G47" i="3" s="1"/>
  <c r="R47" i="3" s="1"/>
  <c r="F46" i="3"/>
  <c r="E46" i="3"/>
  <c r="G46" i="3" s="1"/>
  <c r="R46" i="3" s="1"/>
  <c r="K45" i="3"/>
  <c r="J45" i="3"/>
  <c r="L45" i="3" s="1"/>
  <c r="F45" i="3"/>
  <c r="E45" i="3"/>
  <c r="G45" i="3" s="1"/>
  <c r="F44" i="3"/>
  <c r="E44" i="3"/>
  <c r="G44" i="3" s="1"/>
  <c r="R44" i="3" s="1"/>
  <c r="F43" i="3"/>
  <c r="E43" i="3"/>
  <c r="G43" i="3" s="1"/>
  <c r="R43" i="3" s="1"/>
  <c r="K42" i="3"/>
  <c r="J42" i="3"/>
  <c r="L42" i="3" s="1"/>
  <c r="R42" i="3" s="1"/>
  <c r="G42" i="3"/>
  <c r="F42" i="3"/>
  <c r="E42" i="3"/>
  <c r="L41" i="3"/>
  <c r="K41" i="3"/>
  <c r="J41" i="3"/>
  <c r="F41" i="3"/>
  <c r="G41" i="3" s="1"/>
  <c r="R41" i="3" s="1"/>
  <c r="E41" i="3"/>
  <c r="F40" i="3"/>
  <c r="E40" i="3"/>
  <c r="G40" i="3" s="1"/>
  <c r="R40" i="3" s="1"/>
  <c r="G39" i="3"/>
  <c r="R39" i="3" s="1"/>
  <c r="F39" i="3"/>
  <c r="E39" i="3"/>
  <c r="F38" i="3"/>
  <c r="G38" i="3" s="1"/>
  <c r="R38" i="3" s="1"/>
  <c r="E38" i="3"/>
  <c r="F37" i="3"/>
  <c r="E37" i="3"/>
  <c r="G37" i="3" s="1"/>
  <c r="R37" i="3" s="1"/>
  <c r="G36" i="3"/>
  <c r="R36" i="3" s="1"/>
  <c r="F36" i="3"/>
  <c r="E36" i="3"/>
  <c r="F35" i="3"/>
  <c r="G35" i="3" s="1"/>
  <c r="R35" i="3" s="1"/>
  <c r="E35" i="3"/>
  <c r="F34" i="3"/>
  <c r="E34" i="3"/>
  <c r="G34" i="3" s="1"/>
  <c r="R34" i="3" s="1"/>
  <c r="G33" i="3"/>
  <c r="R33" i="3" s="1"/>
  <c r="F33" i="3"/>
  <c r="E33" i="3"/>
  <c r="F32" i="3"/>
  <c r="G32" i="3" s="1"/>
  <c r="R32" i="3" s="1"/>
  <c r="E32" i="3"/>
  <c r="F31" i="3"/>
  <c r="E31" i="3"/>
  <c r="G31" i="3" s="1"/>
  <c r="R31" i="3" s="1"/>
  <c r="L30" i="3"/>
  <c r="K30" i="3"/>
  <c r="J30" i="3"/>
  <c r="F30" i="3"/>
  <c r="E30" i="3"/>
  <c r="G30" i="3" s="1"/>
  <c r="R30" i="3" s="1"/>
  <c r="K29" i="3"/>
  <c r="J29" i="3"/>
  <c r="L29" i="3" s="1"/>
  <c r="F29" i="3"/>
  <c r="E29" i="3"/>
  <c r="G29" i="3" s="1"/>
  <c r="F28" i="3"/>
  <c r="E28" i="3"/>
  <c r="G28" i="3" s="1"/>
  <c r="R28" i="3" s="1"/>
  <c r="F27" i="3"/>
  <c r="E27" i="3"/>
  <c r="G27" i="3" s="1"/>
  <c r="R27" i="3" s="1"/>
  <c r="F26" i="3"/>
  <c r="E26" i="3"/>
  <c r="G26" i="3" s="1"/>
  <c r="R26" i="3" s="1"/>
  <c r="F25" i="3"/>
  <c r="E25" i="3"/>
  <c r="G25" i="3" s="1"/>
  <c r="R25" i="3" s="1"/>
  <c r="F24" i="3"/>
  <c r="E24" i="3"/>
  <c r="G24" i="3" s="1"/>
  <c r="R24" i="3" s="1"/>
  <c r="F23" i="3"/>
  <c r="E23" i="3"/>
  <c r="G23" i="3" s="1"/>
  <c r="R23" i="3" s="1"/>
  <c r="K22" i="3"/>
  <c r="J22" i="3"/>
  <c r="L22" i="3" s="1"/>
  <c r="G22" i="3"/>
  <c r="F22" i="3"/>
  <c r="E22" i="3"/>
  <c r="L21" i="3"/>
  <c r="K21" i="3"/>
  <c r="J21" i="3"/>
  <c r="G21" i="3"/>
  <c r="R21" i="3" s="1"/>
  <c r="F21" i="3"/>
  <c r="E21" i="3"/>
  <c r="K20" i="3"/>
  <c r="L20" i="3" s="1"/>
  <c r="J20" i="3"/>
  <c r="F20" i="3"/>
  <c r="E20" i="3"/>
  <c r="G20" i="3" s="1"/>
  <c r="K19" i="3"/>
  <c r="J19" i="3"/>
  <c r="L19" i="3" s="1"/>
  <c r="F19" i="3"/>
  <c r="E19" i="3"/>
  <c r="G19" i="3" s="1"/>
  <c r="R19" i="3" s="1"/>
  <c r="K18" i="3"/>
  <c r="J18" i="3"/>
  <c r="L18" i="3" s="1"/>
  <c r="R18" i="3" s="1"/>
  <c r="G18" i="3"/>
  <c r="F18" i="3"/>
  <c r="E18" i="3"/>
  <c r="L17" i="3"/>
  <c r="K17" i="3"/>
  <c r="J17" i="3"/>
  <c r="F17" i="3"/>
  <c r="G17" i="3" s="1"/>
  <c r="R17" i="3" s="1"/>
  <c r="E17" i="3"/>
  <c r="F16" i="3"/>
  <c r="E16" i="3"/>
  <c r="G16" i="3" s="1"/>
  <c r="R16" i="3" s="1"/>
  <c r="G15" i="3"/>
  <c r="R15" i="3" s="1"/>
  <c r="F15" i="3"/>
  <c r="E15" i="3"/>
  <c r="F14" i="3"/>
  <c r="G14" i="3" s="1"/>
  <c r="R14" i="3" s="1"/>
  <c r="E14" i="3"/>
  <c r="F13" i="3"/>
  <c r="E13" i="3"/>
  <c r="G13" i="3" s="1"/>
  <c r="R13" i="3" s="1"/>
  <c r="K12" i="3"/>
  <c r="L12" i="3" s="1"/>
  <c r="J12" i="3"/>
  <c r="F12" i="3"/>
  <c r="E12" i="3"/>
  <c r="G12" i="3" s="1"/>
  <c r="R12" i="3" s="1"/>
  <c r="K11" i="3"/>
  <c r="J11" i="3"/>
  <c r="L11" i="3" s="1"/>
  <c r="F11" i="3"/>
  <c r="E11" i="3"/>
  <c r="G11" i="3" s="1"/>
  <c r="K10" i="3"/>
  <c r="J10" i="3"/>
  <c r="L10" i="3" s="1"/>
  <c r="G10" i="3"/>
  <c r="F10" i="3"/>
  <c r="E10" i="3"/>
  <c r="L9" i="3"/>
  <c r="K9" i="3"/>
  <c r="J9" i="3"/>
  <c r="F9" i="3"/>
  <c r="G9" i="3" s="1"/>
  <c r="R9" i="3" s="1"/>
  <c r="E9" i="3"/>
  <c r="K8" i="3"/>
  <c r="L8" i="3" s="1"/>
  <c r="J8" i="3"/>
  <c r="F8" i="3"/>
  <c r="E8" i="3"/>
  <c r="G8" i="3" s="1"/>
  <c r="F7" i="3"/>
  <c r="E7" i="3"/>
  <c r="G7" i="3" s="1"/>
  <c r="R7" i="3" s="1"/>
  <c r="F6" i="3"/>
  <c r="E6" i="3"/>
  <c r="G6" i="3" s="1"/>
  <c r="R6" i="3" s="1"/>
  <c r="U131" i="1"/>
  <c r="S131" i="1"/>
  <c r="R131" i="1"/>
  <c r="Q131" i="1"/>
  <c r="N131" i="1"/>
  <c r="M131" i="1"/>
  <c r="L131" i="1"/>
  <c r="H131" i="1"/>
  <c r="G131" i="1"/>
  <c r="I131" i="1" s="1"/>
  <c r="T131" i="1" s="1"/>
  <c r="V131" i="1" s="1"/>
  <c r="D131" i="1"/>
  <c r="U130" i="1"/>
  <c r="R130" i="1"/>
  <c r="Q130" i="1"/>
  <c r="S130" i="1" s="1"/>
  <c r="N130" i="1"/>
  <c r="M130" i="1"/>
  <c r="L130" i="1"/>
  <c r="H130" i="1"/>
  <c r="I130" i="1" s="1"/>
  <c r="T130" i="1" s="1"/>
  <c r="V130" i="1" s="1"/>
  <c r="G130" i="1"/>
  <c r="D130" i="1"/>
  <c r="U129" i="1"/>
  <c r="R129" i="1"/>
  <c r="Q129" i="1"/>
  <c r="S129" i="1" s="1"/>
  <c r="M129" i="1"/>
  <c r="L129" i="1"/>
  <c r="N129" i="1" s="1"/>
  <c r="I129" i="1"/>
  <c r="H129" i="1"/>
  <c r="G129" i="1"/>
  <c r="D129" i="1"/>
  <c r="U128" i="1"/>
  <c r="S128" i="1"/>
  <c r="R128" i="1"/>
  <c r="Q128" i="1"/>
  <c r="M128" i="1"/>
  <c r="L128" i="1"/>
  <c r="N128" i="1" s="1"/>
  <c r="H128" i="1"/>
  <c r="G128" i="1"/>
  <c r="I128" i="1" s="1"/>
  <c r="D128" i="1"/>
  <c r="U127" i="1"/>
  <c r="S127" i="1"/>
  <c r="R127" i="1"/>
  <c r="Q127" i="1"/>
  <c r="N127" i="1"/>
  <c r="M127" i="1"/>
  <c r="L127" i="1"/>
  <c r="H127" i="1"/>
  <c r="G127" i="1"/>
  <c r="I127" i="1" s="1"/>
  <c r="T127" i="1" s="1"/>
  <c r="V127" i="1" s="1"/>
  <c r="D127" i="1"/>
  <c r="U126" i="1"/>
  <c r="R126" i="1"/>
  <c r="Q126" i="1"/>
  <c r="S126" i="1" s="1"/>
  <c r="N126" i="1"/>
  <c r="M126" i="1"/>
  <c r="L126" i="1"/>
  <c r="H126" i="1"/>
  <c r="I126" i="1" s="1"/>
  <c r="G126" i="1"/>
  <c r="D126" i="1"/>
  <c r="U125" i="1"/>
  <c r="R125" i="1"/>
  <c r="Q125" i="1"/>
  <c r="S125" i="1" s="1"/>
  <c r="M125" i="1"/>
  <c r="L125" i="1"/>
  <c r="N125" i="1" s="1"/>
  <c r="I125" i="1"/>
  <c r="T125" i="1" s="1"/>
  <c r="V125" i="1" s="1"/>
  <c r="H125" i="1"/>
  <c r="G125" i="1"/>
  <c r="D125" i="1"/>
  <c r="U124" i="1"/>
  <c r="S124" i="1"/>
  <c r="R124" i="1"/>
  <c r="Q124" i="1"/>
  <c r="M124" i="1"/>
  <c r="L124" i="1"/>
  <c r="N124" i="1" s="1"/>
  <c r="H124" i="1"/>
  <c r="G124" i="1"/>
  <c r="I124" i="1" s="1"/>
  <c r="D124" i="1"/>
  <c r="U123" i="1"/>
  <c r="S123" i="1"/>
  <c r="R123" i="1"/>
  <c r="Q123" i="1"/>
  <c r="N123" i="1"/>
  <c r="M123" i="1"/>
  <c r="L123" i="1"/>
  <c r="H123" i="1"/>
  <c r="G123" i="1"/>
  <c r="I123" i="1" s="1"/>
  <c r="T123" i="1" s="1"/>
  <c r="V123" i="1" s="1"/>
  <c r="D123" i="1"/>
  <c r="U122" i="1"/>
  <c r="R122" i="1"/>
  <c r="Q122" i="1"/>
  <c r="S122" i="1" s="1"/>
  <c r="N122" i="1"/>
  <c r="M122" i="1"/>
  <c r="L122" i="1"/>
  <c r="H122" i="1"/>
  <c r="I122" i="1" s="1"/>
  <c r="G122" i="1"/>
  <c r="D122" i="1"/>
  <c r="U121" i="1"/>
  <c r="R121" i="1"/>
  <c r="Q121" i="1"/>
  <c r="S121" i="1" s="1"/>
  <c r="M121" i="1"/>
  <c r="L121" i="1"/>
  <c r="N121" i="1" s="1"/>
  <c r="I121" i="1"/>
  <c r="T121" i="1" s="1"/>
  <c r="V121" i="1" s="1"/>
  <c r="H121" i="1"/>
  <c r="G121" i="1"/>
  <c r="D121" i="1"/>
  <c r="U120" i="1"/>
  <c r="S120" i="1"/>
  <c r="R120" i="1"/>
  <c r="Q120" i="1"/>
  <c r="M120" i="1"/>
  <c r="L120" i="1"/>
  <c r="N120" i="1" s="1"/>
  <c r="H120" i="1"/>
  <c r="G120" i="1"/>
  <c r="I120" i="1" s="1"/>
  <c r="T120" i="1" s="1"/>
  <c r="V120" i="1" s="1"/>
  <c r="D120" i="1"/>
  <c r="U119" i="1"/>
  <c r="S119" i="1"/>
  <c r="R119" i="1"/>
  <c r="Q119" i="1"/>
  <c r="N119" i="1"/>
  <c r="M119" i="1"/>
  <c r="L119" i="1"/>
  <c r="H119" i="1"/>
  <c r="G119" i="1"/>
  <c r="I119" i="1" s="1"/>
  <c r="T119" i="1" s="1"/>
  <c r="V119" i="1" s="1"/>
  <c r="D119" i="1"/>
  <c r="U118" i="1"/>
  <c r="R118" i="1"/>
  <c r="Q118" i="1"/>
  <c r="S118" i="1" s="1"/>
  <c r="N118" i="1"/>
  <c r="T118" i="1" s="1"/>
  <c r="V118" i="1" s="1"/>
  <c r="M118" i="1"/>
  <c r="L118" i="1"/>
  <c r="I118" i="1"/>
  <c r="H118" i="1"/>
  <c r="G118" i="1"/>
  <c r="D118" i="1"/>
  <c r="U117" i="1"/>
  <c r="R117" i="1"/>
  <c r="Q117" i="1"/>
  <c r="S117" i="1" s="1"/>
  <c r="M117" i="1"/>
  <c r="L117" i="1"/>
  <c r="N117" i="1" s="1"/>
  <c r="I117" i="1"/>
  <c r="T117" i="1" s="1"/>
  <c r="V117" i="1" s="1"/>
  <c r="H117" i="1"/>
  <c r="G117" i="1"/>
  <c r="D117" i="1"/>
  <c r="U116" i="1"/>
  <c r="S116" i="1"/>
  <c r="R116" i="1"/>
  <c r="Q116" i="1"/>
  <c r="M116" i="1"/>
  <c r="L116" i="1"/>
  <c r="N116" i="1" s="1"/>
  <c r="H116" i="1"/>
  <c r="G116" i="1"/>
  <c r="I116" i="1" s="1"/>
  <c r="T116" i="1" s="1"/>
  <c r="V116" i="1" s="1"/>
  <c r="D116" i="1"/>
  <c r="U115" i="1"/>
  <c r="S115" i="1"/>
  <c r="R115" i="1"/>
  <c r="Q115" i="1"/>
  <c r="N115" i="1"/>
  <c r="M115" i="1"/>
  <c r="L115" i="1"/>
  <c r="H115" i="1"/>
  <c r="G115" i="1"/>
  <c r="I115" i="1" s="1"/>
  <c r="T115" i="1" s="1"/>
  <c r="V115" i="1" s="1"/>
  <c r="D115" i="1"/>
  <c r="U114" i="1"/>
  <c r="R114" i="1"/>
  <c r="Q114" i="1"/>
  <c r="S114" i="1" s="1"/>
  <c r="T114" i="1" s="1"/>
  <c r="V114" i="1" s="1"/>
  <c r="N114" i="1"/>
  <c r="M114" i="1"/>
  <c r="L114" i="1"/>
  <c r="I114" i="1"/>
  <c r="H114" i="1"/>
  <c r="G114" i="1"/>
  <c r="D114" i="1"/>
  <c r="U113" i="1"/>
  <c r="R113" i="1"/>
  <c r="Q113" i="1"/>
  <c r="S113" i="1" s="1"/>
  <c r="M113" i="1"/>
  <c r="L113" i="1"/>
  <c r="N113" i="1" s="1"/>
  <c r="I113" i="1"/>
  <c r="H113" i="1"/>
  <c r="G113" i="1"/>
  <c r="D113" i="1"/>
  <c r="U112" i="1"/>
  <c r="S112" i="1"/>
  <c r="R112" i="1"/>
  <c r="Q112" i="1"/>
  <c r="M112" i="1"/>
  <c r="L112" i="1"/>
  <c r="N112" i="1" s="1"/>
  <c r="H112" i="1"/>
  <c r="G112" i="1"/>
  <c r="I112" i="1" s="1"/>
  <c r="D112" i="1"/>
  <c r="U111" i="1"/>
  <c r="S111" i="1"/>
  <c r="R111" i="1"/>
  <c r="Q111" i="1"/>
  <c r="N111" i="1"/>
  <c r="M111" i="1"/>
  <c r="L111" i="1"/>
  <c r="H111" i="1"/>
  <c r="G111" i="1"/>
  <c r="I111" i="1" s="1"/>
  <c r="T111" i="1" s="1"/>
  <c r="V111" i="1" s="1"/>
  <c r="D111" i="1"/>
  <c r="U110" i="1"/>
  <c r="R110" i="1"/>
  <c r="Q110" i="1"/>
  <c r="S110" i="1" s="1"/>
  <c r="N110" i="1"/>
  <c r="M110" i="1"/>
  <c r="L110" i="1"/>
  <c r="H110" i="1"/>
  <c r="I110" i="1" s="1"/>
  <c r="G110" i="1"/>
  <c r="D110" i="1"/>
  <c r="U109" i="1"/>
  <c r="R109" i="1"/>
  <c r="Q109" i="1"/>
  <c r="S109" i="1" s="1"/>
  <c r="M109" i="1"/>
  <c r="L109" i="1"/>
  <c r="N109" i="1" s="1"/>
  <c r="I109" i="1"/>
  <c r="H109" i="1"/>
  <c r="G109" i="1"/>
  <c r="D109" i="1"/>
  <c r="U108" i="1"/>
  <c r="S108" i="1"/>
  <c r="R108" i="1"/>
  <c r="Q108" i="1"/>
  <c r="M108" i="1"/>
  <c r="L108" i="1"/>
  <c r="N108" i="1" s="1"/>
  <c r="H108" i="1"/>
  <c r="G108" i="1"/>
  <c r="I108" i="1" s="1"/>
  <c r="D108" i="1"/>
  <c r="U107" i="1"/>
  <c r="S107" i="1"/>
  <c r="R107" i="1"/>
  <c r="Q107" i="1"/>
  <c r="N107" i="1"/>
  <c r="M107" i="1"/>
  <c r="L107" i="1"/>
  <c r="H107" i="1"/>
  <c r="G107" i="1"/>
  <c r="I107" i="1" s="1"/>
  <c r="T107" i="1" s="1"/>
  <c r="V107" i="1" s="1"/>
  <c r="D107" i="1"/>
  <c r="U106" i="1"/>
  <c r="R106" i="1"/>
  <c r="Q106" i="1"/>
  <c r="S106" i="1" s="1"/>
  <c r="N106" i="1"/>
  <c r="M106" i="1"/>
  <c r="L106" i="1"/>
  <c r="H106" i="1"/>
  <c r="I106" i="1" s="1"/>
  <c r="G106" i="1"/>
  <c r="D106" i="1"/>
  <c r="U105" i="1"/>
  <c r="R105" i="1"/>
  <c r="Q105" i="1"/>
  <c r="S105" i="1" s="1"/>
  <c r="M105" i="1"/>
  <c r="L105" i="1"/>
  <c r="N105" i="1" s="1"/>
  <c r="I105" i="1"/>
  <c r="H105" i="1"/>
  <c r="G105" i="1"/>
  <c r="D105" i="1"/>
  <c r="U104" i="1"/>
  <c r="S104" i="1"/>
  <c r="R104" i="1"/>
  <c r="Q104" i="1"/>
  <c r="M104" i="1"/>
  <c r="L104" i="1"/>
  <c r="N104" i="1" s="1"/>
  <c r="H104" i="1"/>
  <c r="G104" i="1"/>
  <c r="I104" i="1" s="1"/>
  <c r="D104" i="1"/>
  <c r="U103" i="1"/>
  <c r="S103" i="1"/>
  <c r="R103" i="1"/>
  <c r="Q103" i="1"/>
  <c r="N103" i="1"/>
  <c r="M103" i="1"/>
  <c r="L103" i="1"/>
  <c r="H103" i="1"/>
  <c r="G103" i="1"/>
  <c r="I103" i="1" s="1"/>
  <c r="T103" i="1" s="1"/>
  <c r="V103" i="1" s="1"/>
  <c r="D103" i="1"/>
  <c r="U102" i="1"/>
  <c r="R102" i="1"/>
  <c r="Q102" i="1"/>
  <c r="S102" i="1" s="1"/>
  <c r="N102" i="1"/>
  <c r="M102" i="1"/>
  <c r="L102" i="1"/>
  <c r="H102" i="1"/>
  <c r="I102" i="1" s="1"/>
  <c r="T102" i="1" s="1"/>
  <c r="V102" i="1" s="1"/>
  <c r="G102" i="1"/>
  <c r="D102" i="1"/>
  <c r="U101" i="1"/>
  <c r="R101" i="1"/>
  <c r="Q101" i="1"/>
  <c r="S101" i="1" s="1"/>
  <c r="M101" i="1"/>
  <c r="L101" i="1"/>
  <c r="N101" i="1" s="1"/>
  <c r="I101" i="1"/>
  <c r="H101" i="1"/>
  <c r="G101" i="1"/>
  <c r="D101" i="1"/>
  <c r="U100" i="1"/>
  <c r="S100" i="1"/>
  <c r="R100" i="1"/>
  <c r="Q100" i="1"/>
  <c r="M100" i="1"/>
  <c r="L100" i="1"/>
  <c r="N100" i="1" s="1"/>
  <c r="H100" i="1"/>
  <c r="G100" i="1"/>
  <c r="I100" i="1" s="1"/>
  <c r="D100" i="1"/>
  <c r="U99" i="1"/>
  <c r="S99" i="1"/>
  <c r="R99" i="1"/>
  <c r="Q99" i="1"/>
  <c r="N99" i="1"/>
  <c r="M99" i="1"/>
  <c r="L99" i="1"/>
  <c r="H99" i="1"/>
  <c r="G99" i="1"/>
  <c r="I99" i="1" s="1"/>
  <c r="T99" i="1" s="1"/>
  <c r="V99" i="1" s="1"/>
  <c r="D99" i="1"/>
  <c r="U98" i="1"/>
  <c r="R98" i="1"/>
  <c r="Q98" i="1"/>
  <c r="S98" i="1" s="1"/>
  <c r="N98" i="1"/>
  <c r="M98" i="1"/>
  <c r="L98" i="1"/>
  <c r="H98" i="1"/>
  <c r="I98" i="1" s="1"/>
  <c r="T98" i="1" s="1"/>
  <c r="V98" i="1" s="1"/>
  <c r="G98" i="1"/>
  <c r="D98" i="1"/>
  <c r="U97" i="1"/>
  <c r="R97" i="1"/>
  <c r="Q97" i="1"/>
  <c r="S97" i="1" s="1"/>
  <c r="M97" i="1"/>
  <c r="L97" i="1"/>
  <c r="N97" i="1" s="1"/>
  <c r="I97" i="1"/>
  <c r="H97" i="1"/>
  <c r="G97" i="1"/>
  <c r="D97" i="1"/>
  <c r="U96" i="1"/>
  <c r="S96" i="1"/>
  <c r="R96" i="1"/>
  <c r="Q96" i="1"/>
  <c r="M96" i="1"/>
  <c r="L96" i="1"/>
  <c r="N96" i="1" s="1"/>
  <c r="H96" i="1"/>
  <c r="G96" i="1"/>
  <c r="I96" i="1" s="1"/>
  <c r="D96" i="1"/>
  <c r="U95" i="1"/>
  <c r="S95" i="1"/>
  <c r="R95" i="1"/>
  <c r="Q95" i="1"/>
  <c r="N95" i="1"/>
  <c r="M95" i="1"/>
  <c r="L95" i="1"/>
  <c r="H95" i="1"/>
  <c r="G95" i="1"/>
  <c r="I95" i="1" s="1"/>
  <c r="T95" i="1" s="1"/>
  <c r="V95" i="1" s="1"/>
  <c r="D95" i="1"/>
  <c r="U94" i="1"/>
  <c r="R94" i="1"/>
  <c r="Q94" i="1"/>
  <c r="S94" i="1" s="1"/>
  <c r="N94" i="1"/>
  <c r="M94" i="1"/>
  <c r="L94" i="1"/>
  <c r="H94" i="1"/>
  <c r="I94" i="1" s="1"/>
  <c r="T94" i="1" s="1"/>
  <c r="V94" i="1" s="1"/>
  <c r="G94" i="1"/>
  <c r="D94" i="1"/>
  <c r="U93" i="1"/>
  <c r="R93" i="1"/>
  <c r="Q93" i="1"/>
  <c r="S93" i="1" s="1"/>
  <c r="M93" i="1"/>
  <c r="L93" i="1"/>
  <c r="N93" i="1" s="1"/>
  <c r="I93" i="1"/>
  <c r="H93" i="1"/>
  <c r="G93" i="1"/>
  <c r="D93" i="1"/>
  <c r="U92" i="1"/>
  <c r="S92" i="1"/>
  <c r="R92" i="1"/>
  <c r="Q92" i="1"/>
  <c r="M92" i="1"/>
  <c r="L92" i="1"/>
  <c r="N92" i="1" s="1"/>
  <c r="H92" i="1"/>
  <c r="G92" i="1"/>
  <c r="I92" i="1" s="1"/>
  <c r="D92" i="1"/>
  <c r="U91" i="1"/>
  <c r="S91" i="1"/>
  <c r="R91" i="1"/>
  <c r="Q91" i="1"/>
  <c r="N91" i="1"/>
  <c r="M91" i="1"/>
  <c r="L91" i="1"/>
  <c r="H91" i="1"/>
  <c r="G91" i="1"/>
  <c r="I91" i="1" s="1"/>
  <c r="T91" i="1" s="1"/>
  <c r="V91" i="1" s="1"/>
  <c r="D91" i="1"/>
  <c r="U90" i="1"/>
  <c r="R90" i="1"/>
  <c r="Q90" i="1"/>
  <c r="S90" i="1" s="1"/>
  <c r="N90" i="1"/>
  <c r="M90" i="1"/>
  <c r="L90" i="1"/>
  <c r="H90" i="1"/>
  <c r="I90" i="1" s="1"/>
  <c r="T90" i="1" s="1"/>
  <c r="V90" i="1" s="1"/>
  <c r="G90" i="1"/>
  <c r="D90" i="1"/>
  <c r="U89" i="1"/>
  <c r="R89" i="1"/>
  <c r="Q89" i="1"/>
  <c r="S89" i="1" s="1"/>
  <c r="M89" i="1"/>
  <c r="L89" i="1"/>
  <c r="N89" i="1" s="1"/>
  <c r="I89" i="1"/>
  <c r="H89" i="1"/>
  <c r="G89" i="1"/>
  <c r="D89" i="1"/>
  <c r="U88" i="1"/>
  <c r="S88" i="1"/>
  <c r="R88" i="1"/>
  <c r="Q88" i="1"/>
  <c r="M88" i="1"/>
  <c r="L88" i="1"/>
  <c r="N88" i="1" s="1"/>
  <c r="H88" i="1"/>
  <c r="G88" i="1"/>
  <c r="I88" i="1" s="1"/>
  <c r="D88" i="1"/>
  <c r="U87" i="1"/>
  <c r="S87" i="1"/>
  <c r="R87" i="1"/>
  <c r="Q87" i="1"/>
  <c r="N87" i="1"/>
  <c r="M87" i="1"/>
  <c r="L87" i="1"/>
  <c r="H87" i="1"/>
  <c r="G87" i="1"/>
  <c r="I87" i="1" s="1"/>
  <c r="T87" i="1" s="1"/>
  <c r="V87" i="1" s="1"/>
  <c r="D87" i="1"/>
  <c r="U86" i="1"/>
  <c r="R86" i="1"/>
  <c r="Q86" i="1"/>
  <c r="S86" i="1" s="1"/>
  <c r="N86" i="1"/>
  <c r="M86" i="1"/>
  <c r="L86" i="1"/>
  <c r="H86" i="1"/>
  <c r="I86" i="1" s="1"/>
  <c r="G86" i="1"/>
  <c r="D86" i="1"/>
  <c r="U85" i="1"/>
  <c r="R85" i="1"/>
  <c r="Q85" i="1"/>
  <c r="S85" i="1" s="1"/>
  <c r="M85" i="1"/>
  <c r="L85" i="1"/>
  <c r="N85" i="1" s="1"/>
  <c r="I85" i="1"/>
  <c r="T85" i="1" s="1"/>
  <c r="V85" i="1" s="1"/>
  <c r="H85" i="1"/>
  <c r="G85" i="1"/>
  <c r="D85" i="1"/>
  <c r="U84" i="1"/>
  <c r="S84" i="1"/>
  <c r="R84" i="1"/>
  <c r="Q84" i="1"/>
  <c r="M84" i="1"/>
  <c r="L84" i="1"/>
  <c r="N84" i="1" s="1"/>
  <c r="H84" i="1"/>
  <c r="G84" i="1"/>
  <c r="I84" i="1" s="1"/>
  <c r="D84" i="1"/>
  <c r="U83" i="1"/>
  <c r="S83" i="1"/>
  <c r="R83" i="1"/>
  <c r="Q83" i="1"/>
  <c r="N83" i="1"/>
  <c r="M83" i="1"/>
  <c r="L83" i="1"/>
  <c r="H83" i="1"/>
  <c r="G83" i="1"/>
  <c r="I83" i="1" s="1"/>
  <c r="T83" i="1" s="1"/>
  <c r="V83" i="1" s="1"/>
  <c r="D83" i="1"/>
  <c r="U82" i="1"/>
  <c r="R82" i="1"/>
  <c r="Q82" i="1"/>
  <c r="S82" i="1" s="1"/>
  <c r="N82" i="1"/>
  <c r="M82" i="1"/>
  <c r="L82" i="1"/>
  <c r="H82" i="1"/>
  <c r="I82" i="1" s="1"/>
  <c r="G82" i="1"/>
  <c r="D82" i="1"/>
  <c r="U81" i="1"/>
  <c r="R81" i="1"/>
  <c r="Q81" i="1"/>
  <c r="S81" i="1" s="1"/>
  <c r="M81" i="1"/>
  <c r="L81" i="1"/>
  <c r="N81" i="1" s="1"/>
  <c r="I81" i="1"/>
  <c r="T81" i="1" s="1"/>
  <c r="V81" i="1" s="1"/>
  <c r="H81" i="1"/>
  <c r="G81" i="1"/>
  <c r="D81" i="1"/>
  <c r="U80" i="1"/>
  <c r="S80" i="1"/>
  <c r="R80" i="1"/>
  <c r="Q80" i="1"/>
  <c r="M80" i="1"/>
  <c r="L80" i="1"/>
  <c r="N80" i="1" s="1"/>
  <c r="H80" i="1"/>
  <c r="G80" i="1"/>
  <c r="I80" i="1" s="1"/>
  <c r="T80" i="1" s="1"/>
  <c r="V80" i="1" s="1"/>
  <c r="D80" i="1"/>
  <c r="U79" i="1"/>
  <c r="S79" i="1"/>
  <c r="R79" i="1"/>
  <c r="Q79" i="1"/>
  <c r="N79" i="1"/>
  <c r="M79" i="1"/>
  <c r="L79" i="1"/>
  <c r="H79" i="1"/>
  <c r="G79" i="1"/>
  <c r="I79" i="1" s="1"/>
  <c r="T79" i="1" s="1"/>
  <c r="V79" i="1" s="1"/>
  <c r="D79" i="1"/>
  <c r="U78" i="1"/>
  <c r="R78" i="1"/>
  <c r="Q78" i="1"/>
  <c r="S78" i="1" s="1"/>
  <c r="N78" i="1"/>
  <c r="M78" i="1"/>
  <c r="L78" i="1"/>
  <c r="H78" i="1"/>
  <c r="I78" i="1" s="1"/>
  <c r="G78" i="1"/>
  <c r="D78" i="1"/>
  <c r="U77" i="1"/>
  <c r="R77" i="1"/>
  <c r="Q77" i="1"/>
  <c r="S77" i="1" s="1"/>
  <c r="M77" i="1"/>
  <c r="L77" i="1"/>
  <c r="N77" i="1" s="1"/>
  <c r="I77" i="1"/>
  <c r="T77" i="1" s="1"/>
  <c r="V77" i="1" s="1"/>
  <c r="H77" i="1"/>
  <c r="G77" i="1"/>
  <c r="D77" i="1"/>
  <c r="U76" i="1"/>
  <c r="S76" i="1"/>
  <c r="R76" i="1"/>
  <c r="Q76" i="1"/>
  <c r="M76" i="1"/>
  <c r="L76" i="1"/>
  <c r="N76" i="1" s="1"/>
  <c r="H76" i="1"/>
  <c r="G76" i="1"/>
  <c r="I76" i="1" s="1"/>
  <c r="T76" i="1" s="1"/>
  <c r="V76" i="1" s="1"/>
  <c r="D76" i="1"/>
  <c r="U75" i="1"/>
  <c r="S75" i="1"/>
  <c r="R75" i="1"/>
  <c r="Q75" i="1"/>
  <c r="N75" i="1"/>
  <c r="M75" i="1"/>
  <c r="L75" i="1"/>
  <c r="H75" i="1"/>
  <c r="G75" i="1"/>
  <c r="I75" i="1" s="1"/>
  <c r="T75" i="1" s="1"/>
  <c r="V75" i="1" s="1"/>
  <c r="D75" i="1"/>
  <c r="U74" i="1"/>
  <c r="R74" i="1"/>
  <c r="Q74" i="1"/>
  <c r="S74" i="1" s="1"/>
  <c r="N74" i="1"/>
  <c r="M74" i="1"/>
  <c r="L74" i="1"/>
  <c r="H74" i="1"/>
  <c r="I74" i="1" s="1"/>
  <c r="G74" i="1"/>
  <c r="D74" i="1"/>
  <c r="U73" i="1"/>
  <c r="R73" i="1"/>
  <c r="Q73" i="1"/>
  <c r="S73" i="1" s="1"/>
  <c r="M73" i="1"/>
  <c r="L73" i="1"/>
  <c r="N73" i="1" s="1"/>
  <c r="I73" i="1"/>
  <c r="T73" i="1" s="1"/>
  <c r="V73" i="1" s="1"/>
  <c r="H73" i="1"/>
  <c r="G73" i="1"/>
  <c r="D73" i="1"/>
  <c r="U72" i="1"/>
  <c r="S72" i="1"/>
  <c r="R72" i="1"/>
  <c r="Q72" i="1"/>
  <c r="M72" i="1"/>
  <c r="L72" i="1"/>
  <c r="N72" i="1" s="1"/>
  <c r="H72" i="1"/>
  <c r="G72" i="1"/>
  <c r="I72" i="1" s="1"/>
  <c r="T72" i="1" s="1"/>
  <c r="V72" i="1" s="1"/>
  <c r="D72" i="1"/>
  <c r="U71" i="1"/>
  <c r="S71" i="1"/>
  <c r="R71" i="1"/>
  <c r="Q71" i="1"/>
  <c r="M71" i="1"/>
  <c r="N71" i="1" s="1"/>
  <c r="L71" i="1"/>
  <c r="H71" i="1"/>
  <c r="G71" i="1"/>
  <c r="I71" i="1" s="1"/>
  <c r="T71" i="1" s="1"/>
  <c r="V71" i="1" s="1"/>
  <c r="D71" i="1"/>
  <c r="U70" i="1"/>
  <c r="R70" i="1"/>
  <c r="Q70" i="1"/>
  <c r="S70" i="1" s="1"/>
  <c r="N70" i="1"/>
  <c r="M70" i="1"/>
  <c r="L70" i="1"/>
  <c r="H70" i="1"/>
  <c r="I70" i="1" s="1"/>
  <c r="G70" i="1"/>
  <c r="D70" i="1"/>
  <c r="U69" i="1"/>
  <c r="R69" i="1"/>
  <c r="Q69" i="1"/>
  <c r="S69" i="1" s="1"/>
  <c r="M69" i="1"/>
  <c r="L69" i="1"/>
  <c r="N69" i="1" s="1"/>
  <c r="I69" i="1"/>
  <c r="T69" i="1" s="1"/>
  <c r="V69" i="1" s="1"/>
  <c r="H69" i="1"/>
  <c r="G69" i="1"/>
  <c r="D69" i="1"/>
  <c r="U68" i="1"/>
  <c r="S68" i="1"/>
  <c r="R68" i="1"/>
  <c r="Q68" i="1"/>
  <c r="M68" i="1"/>
  <c r="L68" i="1"/>
  <c r="N68" i="1" s="1"/>
  <c r="H68" i="1"/>
  <c r="G68" i="1"/>
  <c r="I68" i="1" s="1"/>
  <c r="T68" i="1" s="1"/>
  <c r="V68" i="1" s="1"/>
  <c r="D68" i="1"/>
  <c r="U67" i="1"/>
  <c r="S67" i="1"/>
  <c r="R67" i="1"/>
  <c r="Q67" i="1"/>
  <c r="M67" i="1"/>
  <c r="N67" i="1" s="1"/>
  <c r="L67" i="1"/>
  <c r="I67" i="1"/>
  <c r="H67" i="1"/>
  <c r="G67" i="1"/>
  <c r="D67" i="1"/>
  <c r="U66" i="1"/>
  <c r="R66" i="1"/>
  <c r="Q66" i="1"/>
  <c r="S66" i="1" s="1"/>
  <c r="M66" i="1"/>
  <c r="L66" i="1"/>
  <c r="N66" i="1" s="1"/>
  <c r="H66" i="1"/>
  <c r="I66" i="1" s="1"/>
  <c r="T66" i="1" s="1"/>
  <c r="V66" i="1" s="1"/>
  <c r="G66" i="1"/>
  <c r="D66" i="1"/>
  <c r="U65" i="1"/>
  <c r="R65" i="1"/>
  <c r="Q65" i="1"/>
  <c r="S65" i="1" s="1"/>
  <c r="M65" i="1"/>
  <c r="L65" i="1"/>
  <c r="N65" i="1" s="1"/>
  <c r="I65" i="1"/>
  <c r="T65" i="1" s="1"/>
  <c r="V65" i="1" s="1"/>
  <c r="H65" i="1"/>
  <c r="G65" i="1"/>
  <c r="D65" i="1"/>
  <c r="U64" i="1"/>
  <c r="S64" i="1"/>
  <c r="R64" i="1"/>
  <c r="Q64" i="1"/>
  <c r="M64" i="1"/>
  <c r="L64" i="1"/>
  <c r="N64" i="1" s="1"/>
  <c r="H64" i="1"/>
  <c r="G64" i="1"/>
  <c r="I64" i="1" s="1"/>
  <c r="T64" i="1" s="1"/>
  <c r="V64" i="1" s="1"/>
  <c r="D64" i="1"/>
  <c r="U63" i="1"/>
  <c r="R63" i="1"/>
  <c r="Q63" i="1"/>
  <c r="S63" i="1" s="1"/>
  <c r="N63" i="1"/>
  <c r="M63" i="1"/>
  <c r="L63" i="1"/>
  <c r="H63" i="1"/>
  <c r="G63" i="1"/>
  <c r="I63" i="1" s="1"/>
  <c r="D63" i="1"/>
  <c r="U62" i="1"/>
  <c r="R62" i="1"/>
  <c r="Q62" i="1"/>
  <c r="S62" i="1" s="1"/>
  <c r="N62" i="1"/>
  <c r="M62" i="1"/>
  <c r="L62" i="1"/>
  <c r="H62" i="1"/>
  <c r="I62" i="1" s="1"/>
  <c r="G62" i="1"/>
  <c r="D62" i="1"/>
  <c r="U61" i="1"/>
  <c r="R61" i="1"/>
  <c r="Q61" i="1"/>
  <c r="S61" i="1" s="1"/>
  <c r="M61" i="1"/>
  <c r="L61" i="1"/>
  <c r="N61" i="1" s="1"/>
  <c r="I61" i="1"/>
  <c r="T61" i="1" s="1"/>
  <c r="V61" i="1" s="1"/>
  <c r="H61" i="1"/>
  <c r="G61" i="1"/>
  <c r="D61" i="1"/>
  <c r="U60" i="1"/>
  <c r="S60" i="1"/>
  <c r="R60" i="1"/>
  <c r="Q60" i="1"/>
  <c r="M60" i="1"/>
  <c r="L60" i="1"/>
  <c r="N60" i="1" s="1"/>
  <c r="H60" i="1"/>
  <c r="G60" i="1"/>
  <c r="I60" i="1" s="1"/>
  <c r="T60" i="1" s="1"/>
  <c r="V60" i="1" s="1"/>
  <c r="D60" i="1"/>
  <c r="U59" i="1"/>
  <c r="S59" i="1"/>
  <c r="R59" i="1"/>
  <c r="Q59" i="1"/>
  <c r="N59" i="1"/>
  <c r="M59" i="1"/>
  <c r="L59" i="1"/>
  <c r="H59" i="1"/>
  <c r="G59" i="1"/>
  <c r="I59" i="1" s="1"/>
  <c r="T59" i="1" s="1"/>
  <c r="V59" i="1" s="1"/>
  <c r="D59" i="1"/>
  <c r="U58" i="1"/>
  <c r="R58" i="1"/>
  <c r="Q58" i="1"/>
  <c r="S58" i="1" s="1"/>
  <c r="N58" i="1"/>
  <c r="M58" i="1"/>
  <c r="L58" i="1"/>
  <c r="H58" i="1"/>
  <c r="I58" i="1" s="1"/>
  <c r="G58" i="1"/>
  <c r="D58" i="1"/>
  <c r="U57" i="1"/>
  <c r="R57" i="1"/>
  <c r="Q57" i="1"/>
  <c r="S57" i="1" s="1"/>
  <c r="M57" i="1"/>
  <c r="L57" i="1"/>
  <c r="N57" i="1" s="1"/>
  <c r="H57" i="1"/>
  <c r="G57" i="1"/>
  <c r="I57" i="1" s="1"/>
  <c r="D57" i="1"/>
  <c r="U56" i="1"/>
  <c r="S56" i="1"/>
  <c r="R56" i="1"/>
  <c r="Q56" i="1"/>
  <c r="M56" i="1"/>
  <c r="L56" i="1"/>
  <c r="N56" i="1" s="1"/>
  <c r="H56" i="1"/>
  <c r="G56" i="1"/>
  <c r="I56" i="1" s="1"/>
  <c r="T56" i="1" s="1"/>
  <c r="V56" i="1" s="1"/>
  <c r="D56" i="1"/>
  <c r="U55" i="1"/>
  <c r="S55" i="1"/>
  <c r="R55" i="1"/>
  <c r="Q55" i="1"/>
  <c r="N55" i="1"/>
  <c r="M55" i="1"/>
  <c r="L55" i="1"/>
  <c r="H55" i="1"/>
  <c r="G55" i="1"/>
  <c r="I55" i="1" s="1"/>
  <c r="T55" i="1" s="1"/>
  <c r="V55" i="1" s="1"/>
  <c r="D55" i="1"/>
  <c r="U54" i="1"/>
  <c r="R54" i="1"/>
  <c r="Q54" i="1"/>
  <c r="S54" i="1" s="1"/>
  <c r="M54" i="1"/>
  <c r="L54" i="1"/>
  <c r="N54" i="1" s="1"/>
  <c r="H54" i="1"/>
  <c r="I54" i="1" s="1"/>
  <c r="T54" i="1" s="1"/>
  <c r="V54" i="1" s="1"/>
  <c r="G54" i="1"/>
  <c r="D54" i="1"/>
  <c r="U53" i="1"/>
  <c r="R53" i="1"/>
  <c r="Q53" i="1"/>
  <c r="S53" i="1" s="1"/>
  <c r="M53" i="1"/>
  <c r="L53" i="1"/>
  <c r="N53" i="1" s="1"/>
  <c r="I53" i="1"/>
  <c r="T53" i="1" s="1"/>
  <c r="V53" i="1" s="1"/>
  <c r="H53" i="1"/>
  <c r="G53" i="1"/>
  <c r="D53" i="1"/>
  <c r="U52" i="1"/>
  <c r="S52" i="1"/>
  <c r="R52" i="1"/>
  <c r="Q52" i="1"/>
  <c r="M52" i="1"/>
  <c r="L52" i="1"/>
  <c r="N52" i="1" s="1"/>
  <c r="H52" i="1"/>
  <c r="G52" i="1"/>
  <c r="I52" i="1" s="1"/>
  <c r="T52" i="1" s="1"/>
  <c r="V52" i="1" s="1"/>
  <c r="D52" i="1"/>
  <c r="U51" i="1"/>
  <c r="R51" i="1"/>
  <c r="Q51" i="1"/>
  <c r="S51" i="1" s="1"/>
  <c r="N51" i="1"/>
  <c r="M51" i="1"/>
  <c r="L51" i="1"/>
  <c r="H51" i="1"/>
  <c r="G51" i="1"/>
  <c r="I51" i="1" s="1"/>
  <c r="D51" i="1"/>
  <c r="U50" i="1"/>
  <c r="R50" i="1"/>
  <c r="Q50" i="1"/>
  <c r="S50" i="1" s="1"/>
  <c r="N50" i="1"/>
  <c r="M50" i="1"/>
  <c r="L50" i="1"/>
  <c r="H50" i="1"/>
  <c r="I50" i="1" s="1"/>
  <c r="G50" i="1"/>
  <c r="D50" i="1"/>
  <c r="U49" i="1"/>
  <c r="R49" i="1"/>
  <c r="Q49" i="1"/>
  <c r="S49" i="1" s="1"/>
  <c r="M49" i="1"/>
  <c r="L49" i="1"/>
  <c r="N49" i="1" s="1"/>
  <c r="I49" i="1"/>
  <c r="T49" i="1" s="1"/>
  <c r="V49" i="1" s="1"/>
  <c r="H49" i="1"/>
  <c r="G49" i="1"/>
  <c r="D49" i="1"/>
  <c r="U48" i="1"/>
  <c r="S48" i="1"/>
  <c r="R48" i="1"/>
  <c r="Q48" i="1"/>
  <c r="M48" i="1"/>
  <c r="L48" i="1"/>
  <c r="N48" i="1" s="1"/>
  <c r="H48" i="1"/>
  <c r="G48" i="1"/>
  <c r="I48" i="1" s="1"/>
  <c r="T48" i="1" s="1"/>
  <c r="V48" i="1" s="1"/>
  <c r="D48" i="1"/>
  <c r="U47" i="1"/>
  <c r="S47" i="1"/>
  <c r="R47" i="1"/>
  <c r="Q47" i="1"/>
  <c r="N47" i="1"/>
  <c r="M47" i="1"/>
  <c r="L47" i="1"/>
  <c r="H47" i="1"/>
  <c r="G47" i="1"/>
  <c r="I47" i="1" s="1"/>
  <c r="T47" i="1" s="1"/>
  <c r="V47" i="1" s="1"/>
  <c r="D47" i="1"/>
  <c r="U46" i="1"/>
  <c r="R46" i="1"/>
  <c r="Q46" i="1"/>
  <c r="S46" i="1" s="1"/>
  <c r="N46" i="1"/>
  <c r="M46" i="1"/>
  <c r="L46" i="1"/>
  <c r="H46" i="1"/>
  <c r="I46" i="1" s="1"/>
  <c r="G46" i="1"/>
  <c r="D46" i="1"/>
  <c r="U45" i="1"/>
  <c r="R45" i="1"/>
  <c r="Q45" i="1"/>
  <c r="S45" i="1" s="1"/>
  <c r="M45" i="1"/>
  <c r="L45" i="1"/>
  <c r="N45" i="1" s="1"/>
  <c r="H45" i="1"/>
  <c r="G45" i="1"/>
  <c r="I45" i="1" s="1"/>
  <c r="D45" i="1"/>
  <c r="U44" i="1"/>
  <c r="S44" i="1"/>
  <c r="R44" i="1"/>
  <c r="Q44" i="1"/>
  <c r="M44" i="1"/>
  <c r="L44" i="1"/>
  <c r="N44" i="1" s="1"/>
  <c r="H44" i="1"/>
  <c r="G44" i="1"/>
  <c r="I44" i="1" s="1"/>
  <c r="T44" i="1" s="1"/>
  <c r="V44" i="1" s="1"/>
  <c r="D44" i="1"/>
  <c r="U43" i="1"/>
  <c r="S43" i="1"/>
  <c r="R43" i="1"/>
  <c r="Q43" i="1"/>
  <c r="N43" i="1"/>
  <c r="M43" i="1"/>
  <c r="L43" i="1"/>
  <c r="H43" i="1"/>
  <c r="G43" i="1"/>
  <c r="I43" i="1" s="1"/>
  <c r="T43" i="1" s="1"/>
  <c r="V43" i="1" s="1"/>
  <c r="D43" i="1"/>
  <c r="U42" i="1"/>
  <c r="R42" i="1"/>
  <c r="Q42" i="1"/>
  <c r="S42" i="1" s="1"/>
  <c r="M42" i="1"/>
  <c r="L42" i="1"/>
  <c r="N42" i="1" s="1"/>
  <c r="H42" i="1"/>
  <c r="I42" i="1" s="1"/>
  <c r="T42" i="1" s="1"/>
  <c r="V42" i="1" s="1"/>
  <c r="G42" i="1"/>
  <c r="D42" i="1"/>
  <c r="U41" i="1"/>
  <c r="R41" i="1"/>
  <c r="Q41" i="1"/>
  <c r="S41" i="1" s="1"/>
  <c r="M41" i="1"/>
  <c r="L41" i="1"/>
  <c r="N41" i="1" s="1"/>
  <c r="I41" i="1"/>
  <c r="T41" i="1" s="1"/>
  <c r="V41" i="1" s="1"/>
  <c r="H41" i="1"/>
  <c r="G41" i="1"/>
  <c r="D41" i="1"/>
  <c r="U40" i="1"/>
  <c r="S40" i="1"/>
  <c r="R40" i="1"/>
  <c r="Q40" i="1"/>
  <c r="M40" i="1"/>
  <c r="L40" i="1"/>
  <c r="N40" i="1" s="1"/>
  <c r="H40" i="1"/>
  <c r="G40" i="1"/>
  <c r="I40" i="1" s="1"/>
  <c r="T40" i="1" s="1"/>
  <c r="V40" i="1" s="1"/>
  <c r="D40" i="1"/>
  <c r="U39" i="1"/>
  <c r="R39" i="1"/>
  <c r="Q39" i="1"/>
  <c r="S39" i="1" s="1"/>
  <c r="N39" i="1"/>
  <c r="M39" i="1"/>
  <c r="L39" i="1"/>
  <c r="H39" i="1"/>
  <c r="G39" i="1"/>
  <c r="I39" i="1" s="1"/>
  <c r="D39" i="1"/>
  <c r="U38" i="1"/>
  <c r="R38" i="1"/>
  <c r="Q38" i="1"/>
  <c r="S38" i="1" s="1"/>
  <c r="N38" i="1"/>
  <c r="M38" i="1"/>
  <c r="L38" i="1"/>
  <c r="H38" i="1"/>
  <c r="I38" i="1" s="1"/>
  <c r="G38" i="1"/>
  <c r="D38" i="1"/>
  <c r="U37" i="1"/>
  <c r="R37" i="1"/>
  <c r="Q37" i="1"/>
  <c r="S37" i="1" s="1"/>
  <c r="M37" i="1"/>
  <c r="L37" i="1"/>
  <c r="N37" i="1" s="1"/>
  <c r="I37" i="1"/>
  <c r="T37" i="1" s="1"/>
  <c r="V37" i="1" s="1"/>
  <c r="H37" i="1"/>
  <c r="G37" i="1"/>
  <c r="D37" i="1"/>
  <c r="U36" i="1"/>
  <c r="S36" i="1"/>
  <c r="R36" i="1"/>
  <c r="Q36" i="1"/>
  <c r="M36" i="1"/>
  <c r="L36" i="1"/>
  <c r="N36" i="1" s="1"/>
  <c r="H36" i="1"/>
  <c r="G36" i="1"/>
  <c r="I36" i="1" s="1"/>
  <c r="T36" i="1" s="1"/>
  <c r="V36" i="1" s="1"/>
  <c r="D36" i="1"/>
  <c r="U35" i="1"/>
  <c r="S35" i="1"/>
  <c r="R35" i="1"/>
  <c r="Q35" i="1"/>
  <c r="N35" i="1"/>
  <c r="M35" i="1"/>
  <c r="L35" i="1"/>
  <c r="H35" i="1"/>
  <c r="G35" i="1"/>
  <c r="I35" i="1" s="1"/>
  <c r="T35" i="1" s="1"/>
  <c r="V35" i="1" s="1"/>
  <c r="D35" i="1"/>
  <c r="U34" i="1"/>
  <c r="R34" i="1"/>
  <c r="Q34" i="1"/>
  <c r="S34" i="1" s="1"/>
  <c r="N34" i="1"/>
  <c r="M34" i="1"/>
  <c r="L34" i="1"/>
  <c r="H34" i="1"/>
  <c r="I34" i="1" s="1"/>
  <c r="G34" i="1"/>
  <c r="D34" i="1"/>
  <c r="U33" i="1"/>
  <c r="R33" i="1"/>
  <c r="Q33" i="1"/>
  <c r="S33" i="1" s="1"/>
  <c r="M33" i="1"/>
  <c r="L33" i="1"/>
  <c r="N33" i="1" s="1"/>
  <c r="H33" i="1"/>
  <c r="G33" i="1"/>
  <c r="I33" i="1" s="1"/>
  <c r="D33" i="1"/>
  <c r="U32" i="1"/>
  <c r="S32" i="1"/>
  <c r="R32" i="1"/>
  <c r="Q32" i="1"/>
  <c r="M32" i="1"/>
  <c r="L32" i="1"/>
  <c r="N32" i="1" s="1"/>
  <c r="H32" i="1"/>
  <c r="G32" i="1"/>
  <c r="I32" i="1" s="1"/>
  <c r="T32" i="1" s="1"/>
  <c r="V32" i="1" s="1"/>
  <c r="D32" i="1"/>
  <c r="U31" i="1"/>
  <c r="S31" i="1"/>
  <c r="R31" i="1"/>
  <c r="Q31" i="1"/>
  <c r="N31" i="1"/>
  <c r="M31" i="1"/>
  <c r="L31" i="1"/>
  <c r="H31" i="1"/>
  <c r="G31" i="1"/>
  <c r="I31" i="1" s="1"/>
  <c r="T31" i="1" s="1"/>
  <c r="V31" i="1" s="1"/>
  <c r="D31" i="1"/>
  <c r="U30" i="1"/>
  <c r="R30" i="1"/>
  <c r="Q30" i="1"/>
  <c r="S30" i="1" s="1"/>
  <c r="M30" i="1"/>
  <c r="L30" i="1"/>
  <c r="N30" i="1" s="1"/>
  <c r="H30" i="1"/>
  <c r="I30" i="1" s="1"/>
  <c r="T30" i="1" s="1"/>
  <c r="V30" i="1" s="1"/>
  <c r="G30" i="1"/>
  <c r="D30" i="1"/>
  <c r="U29" i="1"/>
  <c r="R29" i="1"/>
  <c r="Q29" i="1"/>
  <c r="S29" i="1" s="1"/>
  <c r="M29" i="1"/>
  <c r="L29" i="1"/>
  <c r="N29" i="1" s="1"/>
  <c r="I29" i="1"/>
  <c r="T29" i="1" s="1"/>
  <c r="V29" i="1" s="1"/>
  <c r="H29" i="1"/>
  <c r="G29" i="1"/>
  <c r="D29" i="1"/>
  <c r="U28" i="1"/>
  <c r="S28" i="1"/>
  <c r="R28" i="1"/>
  <c r="Q28" i="1"/>
  <c r="M28" i="1"/>
  <c r="L28" i="1"/>
  <c r="N28" i="1" s="1"/>
  <c r="H28" i="1"/>
  <c r="G28" i="1"/>
  <c r="I28" i="1" s="1"/>
  <c r="T28" i="1" s="1"/>
  <c r="V28" i="1" s="1"/>
  <c r="D28" i="1"/>
  <c r="U27" i="1"/>
  <c r="R27" i="1"/>
  <c r="Q27" i="1"/>
  <c r="S27" i="1" s="1"/>
  <c r="N27" i="1"/>
  <c r="M27" i="1"/>
  <c r="L27" i="1"/>
  <c r="H27" i="1"/>
  <c r="G27" i="1"/>
  <c r="I27" i="1" s="1"/>
  <c r="D27" i="1"/>
  <c r="U26" i="1"/>
  <c r="R26" i="1"/>
  <c r="Q26" i="1"/>
  <c r="S26" i="1" s="1"/>
  <c r="N26" i="1"/>
  <c r="M26" i="1"/>
  <c r="L26" i="1"/>
  <c r="H26" i="1"/>
  <c r="I26" i="1" s="1"/>
  <c r="G26" i="1"/>
  <c r="D26" i="1"/>
  <c r="U25" i="1"/>
  <c r="R25" i="1"/>
  <c r="Q25" i="1"/>
  <c r="S25" i="1" s="1"/>
  <c r="M25" i="1"/>
  <c r="L25" i="1"/>
  <c r="N25" i="1" s="1"/>
  <c r="I25" i="1"/>
  <c r="T25" i="1" s="1"/>
  <c r="V25" i="1" s="1"/>
  <c r="H25" i="1"/>
  <c r="G25" i="1"/>
  <c r="D25" i="1"/>
  <c r="U24" i="1"/>
  <c r="S24" i="1"/>
  <c r="R24" i="1"/>
  <c r="Q24" i="1"/>
  <c r="M24" i="1"/>
  <c r="L24" i="1"/>
  <c r="N24" i="1" s="1"/>
  <c r="H24" i="1"/>
  <c r="G24" i="1"/>
  <c r="I24" i="1" s="1"/>
  <c r="T24" i="1" s="1"/>
  <c r="V24" i="1" s="1"/>
  <c r="D24" i="1"/>
  <c r="U23" i="1"/>
  <c r="S23" i="1"/>
  <c r="R23" i="1"/>
  <c r="Q23" i="1"/>
  <c r="M23" i="1"/>
  <c r="N23" i="1" s="1"/>
  <c r="L23" i="1"/>
  <c r="H23" i="1"/>
  <c r="G23" i="1"/>
  <c r="I23" i="1" s="1"/>
  <c r="T23" i="1" s="1"/>
  <c r="V23" i="1" s="1"/>
  <c r="D23" i="1"/>
  <c r="U22" i="1"/>
  <c r="R22" i="1"/>
  <c r="Q22" i="1"/>
  <c r="S22" i="1" s="1"/>
  <c r="N22" i="1"/>
  <c r="M22" i="1"/>
  <c r="L22" i="1"/>
  <c r="H22" i="1"/>
  <c r="I22" i="1" s="1"/>
  <c r="G22" i="1"/>
  <c r="D22" i="1"/>
  <c r="U21" i="1"/>
  <c r="R21" i="1"/>
  <c r="Q21" i="1"/>
  <c r="S21" i="1" s="1"/>
  <c r="M21" i="1"/>
  <c r="L21" i="1"/>
  <c r="N21" i="1" s="1"/>
  <c r="H21" i="1"/>
  <c r="G21" i="1"/>
  <c r="I21" i="1" s="1"/>
  <c r="D21" i="1"/>
  <c r="U20" i="1"/>
  <c r="S20" i="1"/>
  <c r="R20" i="1"/>
  <c r="Q20" i="1"/>
  <c r="M20" i="1"/>
  <c r="L20" i="1"/>
  <c r="N20" i="1" s="1"/>
  <c r="H20" i="1"/>
  <c r="G20" i="1"/>
  <c r="I20" i="1" s="1"/>
  <c r="T20" i="1" s="1"/>
  <c r="V20" i="1" s="1"/>
  <c r="D20" i="1"/>
  <c r="U19" i="1"/>
  <c r="S19" i="1"/>
  <c r="R19" i="1"/>
  <c r="Q19" i="1"/>
  <c r="N19" i="1"/>
  <c r="M19" i="1"/>
  <c r="L19" i="1"/>
  <c r="H19" i="1"/>
  <c r="G19" i="1"/>
  <c r="I19" i="1" s="1"/>
  <c r="T19" i="1" s="1"/>
  <c r="V19" i="1" s="1"/>
  <c r="D19" i="1"/>
  <c r="U18" i="1"/>
  <c r="R18" i="1"/>
  <c r="Q18" i="1"/>
  <c r="S18" i="1" s="1"/>
  <c r="M18" i="1"/>
  <c r="L18" i="1"/>
  <c r="N18" i="1" s="1"/>
  <c r="H18" i="1"/>
  <c r="I18" i="1" s="1"/>
  <c r="G18" i="1"/>
  <c r="D18" i="1"/>
  <c r="U17" i="1"/>
  <c r="R17" i="1"/>
  <c r="Q17" i="1"/>
  <c r="S17" i="1" s="1"/>
  <c r="M17" i="1"/>
  <c r="L17" i="1"/>
  <c r="N17" i="1" s="1"/>
  <c r="I17" i="1"/>
  <c r="T17" i="1" s="1"/>
  <c r="V17" i="1" s="1"/>
  <c r="H17" i="1"/>
  <c r="G17" i="1"/>
  <c r="D17" i="1"/>
  <c r="U16" i="1"/>
  <c r="S16" i="1"/>
  <c r="R16" i="1"/>
  <c r="Q16" i="1"/>
  <c r="M16" i="1"/>
  <c r="L16" i="1"/>
  <c r="N16" i="1" s="1"/>
  <c r="H16" i="1"/>
  <c r="G16" i="1"/>
  <c r="I16" i="1" s="1"/>
  <c r="T16" i="1" s="1"/>
  <c r="V16" i="1" s="1"/>
  <c r="D16" i="1"/>
  <c r="U15" i="1"/>
  <c r="R15" i="1"/>
  <c r="Q15" i="1"/>
  <c r="S15" i="1" s="1"/>
  <c r="M15" i="1"/>
  <c r="N15" i="1" s="1"/>
  <c r="L15" i="1"/>
  <c r="H15" i="1"/>
  <c r="G15" i="1"/>
  <c r="I15" i="1" s="1"/>
  <c r="D15" i="1"/>
  <c r="U14" i="1"/>
  <c r="R14" i="1"/>
  <c r="Q14" i="1"/>
  <c r="S14" i="1" s="1"/>
  <c r="N14" i="1"/>
  <c r="M14" i="1"/>
  <c r="L14" i="1"/>
  <c r="H14" i="1"/>
  <c r="I14" i="1" s="1"/>
  <c r="G14" i="1"/>
  <c r="D14" i="1"/>
  <c r="U13" i="1"/>
  <c r="R13" i="1"/>
  <c r="Q13" i="1"/>
  <c r="S13" i="1" s="1"/>
  <c r="M13" i="1"/>
  <c r="L13" i="1"/>
  <c r="N13" i="1" s="1"/>
  <c r="I13" i="1"/>
  <c r="T13" i="1" s="1"/>
  <c r="V13" i="1" s="1"/>
  <c r="H13" i="1"/>
  <c r="G13" i="1"/>
  <c r="D13" i="1"/>
  <c r="U12" i="1"/>
  <c r="S12" i="1"/>
  <c r="R12" i="1"/>
  <c r="Q12" i="1"/>
  <c r="M12" i="1"/>
  <c r="L12" i="1"/>
  <c r="N12" i="1" s="1"/>
  <c r="H12" i="1"/>
  <c r="G12" i="1"/>
  <c r="I12" i="1" s="1"/>
  <c r="T12" i="1" s="1"/>
  <c r="V12" i="1" s="1"/>
  <c r="D12" i="1"/>
  <c r="U11" i="1"/>
  <c r="S11" i="1"/>
  <c r="R11" i="1"/>
  <c r="Q11" i="1"/>
  <c r="M11" i="1"/>
  <c r="N11" i="1" s="1"/>
  <c r="L11" i="1"/>
  <c r="H11" i="1"/>
  <c r="G11" i="1"/>
  <c r="I11" i="1" s="1"/>
  <c r="D11" i="1"/>
  <c r="U10" i="1"/>
  <c r="R10" i="1"/>
  <c r="Q10" i="1"/>
  <c r="S10" i="1" s="1"/>
  <c r="N10" i="1"/>
  <c r="M10" i="1"/>
  <c r="L10" i="1"/>
  <c r="H10" i="1"/>
  <c r="I10" i="1" s="1"/>
  <c r="G10" i="1"/>
  <c r="D10" i="1"/>
  <c r="U9" i="1"/>
  <c r="R9" i="1"/>
  <c r="Q9" i="1"/>
  <c r="S9" i="1" s="1"/>
  <c r="M9" i="1"/>
  <c r="L9" i="1"/>
  <c r="N9" i="1" s="1"/>
  <c r="H9" i="1"/>
  <c r="G9" i="1"/>
  <c r="I9" i="1" s="1"/>
  <c r="T9" i="1" s="1"/>
  <c r="V9" i="1" s="1"/>
  <c r="D9" i="1"/>
  <c r="T10" i="1" l="1"/>
  <c r="V10" i="1" s="1"/>
  <c r="E137" i="1" s="1"/>
  <c r="T14" i="1"/>
  <c r="V14" i="1" s="1"/>
  <c r="T33" i="1"/>
  <c r="V33" i="1" s="1"/>
  <c r="T45" i="1"/>
  <c r="V45" i="1" s="1"/>
  <c r="T57" i="1"/>
  <c r="V57" i="1" s="1"/>
  <c r="T82" i="1"/>
  <c r="V82" i="1" s="1"/>
  <c r="T108" i="1"/>
  <c r="V108" i="1" s="1"/>
  <c r="T113" i="1"/>
  <c r="V113" i="1" s="1"/>
  <c r="T122" i="1"/>
  <c r="V122" i="1" s="1"/>
  <c r="T21" i="1"/>
  <c r="V21" i="1" s="1"/>
  <c r="T86" i="1"/>
  <c r="V86" i="1" s="1"/>
  <c r="T112" i="1"/>
  <c r="V112" i="1" s="1"/>
  <c r="T126" i="1"/>
  <c r="V126" i="1" s="1"/>
  <c r="R11" i="3"/>
  <c r="T27" i="1"/>
  <c r="V27" i="1" s="1"/>
  <c r="T39" i="1"/>
  <c r="V39" i="1" s="1"/>
  <c r="T51" i="1"/>
  <c r="V51" i="1" s="1"/>
  <c r="T63" i="1"/>
  <c r="V63" i="1" s="1"/>
  <c r="T84" i="1"/>
  <c r="V84" i="1" s="1"/>
  <c r="T89" i="1"/>
  <c r="V89" i="1" s="1"/>
  <c r="T106" i="1"/>
  <c r="V106" i="1" s="1"/>
  <c r="T124" i="1"/>
  <c r="V124" i="1" s="1"/>
  <c r="T129" i="1"/>
  <c r="V129" i="1" s="1"/>
  <c r="T67" i="1"/>
  <c r="V67" i="1" s="1"/>
  <c r="T88" i="1"/>
  <c r="V88" i="1" s="1"/>
  <c r="T93" i="1"/>
  <c r="V93" i="1" s="1"/>
  <c r="T110" i="1"/>
  <c r="V110" i="1" s="1"/>
  <c r="T128" i="1"/>
  <c r="V128" i="1" s="1"/>
  <c r="T11" i="1"/>
  <c r="V11" i="1" s="1"/>
  <c r="E138" i="1" s="1"/>
  <c r="T15" i="1"/>
  <c r="V15" i="1" s="1"/>
  <c r="T92" i="1"/>
  <c r="V92" i="1" s="1"/>
  <c r="T97" i="1"/>
  <c r="V97" i="1" s="1"/>
  <c r="R20" i="3"/>
  <c r="R22" i="3"/>
  <c r="O20" i="6"/>
  <c r="N20" i="6"/>
  <c r="T34" i="1"/>
  <c r="V34" i="1" s="1"/>
  <c r="T46" i="1"/>
  <c r="V46" i="1" s="1"/>
  <c r="T58" i="1"/>
  <c r="V58" i="1" s="1"/>
  <c r="T96" i="1"/>
  <c r="V96" i="1" s="1"/>
  <c r="T101" i="1"/>
  <c r="V101" i="1" s="1"/>
  <c r="R45" i="3"/>
  <c r="T22" i="1"/>
  <c r="V22" i="1" s="1"/>
  <c r="T26" i="1"/>
  <c r="V26" i="1" s="1"/>
  <c r="T38" i="1"/>
  <c r="V38" i="1" s="1"/>
  <c r="T50" i="1"/>
  <c r="V50" i="1" s="1"/>
  <c r="T62" i="1"/>
  <c r="V62" i="1" s="1"/>
  <c r="T70" i="1"/>
  <c r="V70" i="1" s="1"/>
  <c r="T74" i="1"/>
  <c r="V74" i="1" s="1"/>
  <c r="T100" i="1"/>
  <c r="V100" i="1" s="1"/>
  <c r="T105" i="1"/>
  <c r="V105" i="1" s="1"/>
  <c r="R10" i="3"/>
  <c r="T18" i="1"/>
  <c r="V18" i="1" s="1"/>
  <c r="T78" i="1"/>
  <c r="V78" i="1" s="1"/>
  <c r="T104" i="1"/>
  <c r="V104" i="1" s="1"/>
  <c r="T109" i="1"/>
  <c r="V109" i="1" s="1"/>
  <c r="R8" i="3"/>
  <c r="R29" i="3"/>
  <c r="R97" i="3"/>
  <c r="G77" i="3"/>
  <c r="R77" i="3" s="1"/>
  <c r="R87" i="3"/>
  <c r="G12" i="6"/>
  <c r="H12" i="6" s="1"/>
  <c r="P12" i="6"/>
  <c r="Q72" i="10"/>
  <c r="G72" i="10"/>
  <c r="H41" i="9"/>
  <c r="I41" i="9" s="1"/>
  <c r="G41" i="9"/>
  <c r="H42" i="9"/>
  <c r="I42" i="9" s="1"/>
  <c r="G42" i="9"/>
  <c r="G75" i="10"/>
  <c r="Q75" i="10"/>
  <c r="M19" i="6"/>
  <c r="M17" i="6"/>
  <c r="M18" i="6"/>
  <c r="E37" i="9"/>
  <c r="N37" i="9"/>
  <c r="Q60" i="10"/>
  <c r="G60" i="10"/>
  <c r="G63" i="10"/>
  <c r="Q63" i="10"/>
  <c r="G88" i="3"/>
  <c r="R88" i="3" s="1"/>
  <c r="H10" i="6"/>
  <c r="P10" i="6"/>
  <c r="H22" i="6"/>
  <c r="P22" i="6"/>
  <c r="G84" i="10"/>
  <c r="Q84" i="10"/>
  <c r="G85" i="3"/>
  <c r="R85" i="3" s="1"/>
  <c r="F79" i="8"/>
  <c r="G79" i="8" s="1"/>
  <c r="O79" i="8"/>
  <c r="F91" i="8"/>
  <c r="G91" i="8" s="1"/>
  <c r="O91" i="8"/>
  <c r="Q16" i="10"/>
  <c r="G16" i="10"/>
  <c r="G51" i="10"/>
  <c r="Q51" i="10"/>
  <c r="G95" i="3"/>
  <c r="R95" i="3" s="1"/>
  <c r="F55" i="8"/>
  <c r="G55" i="8" s="1"/>
  <c r="O55" i="8"/>
  <c r="F67" i="8"/>
  <c r="G67" i="8" s="1"/>
  <c r="O67" i="8"/>
  <c r="AD55" i="18"/>
  <c r="J55" i="18"/>
  <c r="F55" i="18"/>
  <c r="AB55" i="18"/>
  <c r="H35" i="9"/>
  <c r="I35" i="9" s="1"/>
  <c r="G35" i="9"/>
  <c r="Q33" i="10"/>
  <c r="G33" i="10"/>
  <c r="G58" i="3"/>
  <c r="R58" i="3" s="1"/>
  <c r="AE43" i="18"/>
  <c r="J43" i="18"/>
  <c r="AD43" i="18"/>
  <c r="F43" i="18"/>
  <c r="AB43" i="18"/>
  <c r="H35" i="6"/>
  <c r="F48" i="8"/>
  <c r="G48" i="8" s="1"/>
  <c r="O52" i="8"/>
  <c r="F60" i="8"/>
  <c r="G60" i="8" s="1"/>
  <c r="O64" i="8"/>
  <c r="F72" i="8"/>
  <c r="G72" i="8" s="1"/>
  <c r="O76" i="8"/>
  <c r="F84" i="8"/>
  <c r="G84" i="8" s="1"/>
  <c r="F96" i="8"/>
  <c r="G96" i="8" s="1"/>
  <c r="F101" i="8"/>
  <c r="G101" i="8" s="1"/>
  <c r="F106" i="8"/>
  <c r="G106" i="8" s="1"/>
  <c r="F111" i="8"/>
  <c r="G111" i="8" s="1"/>
  <c r="E33" i="9"/>
  <c r="F30" i="10"/>
  <c r="Q70" i="10"/>
  <c r="G70" i="10"/>
  <c r="Q82" i="10"/>
  <c r="G82" i="10"/>
  <c r="Q87" i="10"/>
  <c r="J25" i="15"/>
  <c r="F25" i="15"/>
  <c r="G25" i="15" s="1"/>
  <c r="AD33" i="18"/>
  <c r="F33" i="18"/>
  <c r="J33" i="18"/>
  <c r="AE33" i="18"/>
  <c r="AB33" i="18"/>
  <c r="AE42" i="18"/>
  <c r="J42" i="18"/>
  <c r="AF42" i="18" s="1"/>
  <c r="AD42" i="18"/>
  <c r="F42" i="18"/>
  <c r="AB42" i="18"/>
  <c r="AE46" i="18"/>
  <c r="J46" i="18"/>
  <c r="AF46" i="18" s="1"/>
  <c r="AD46" i="18"/>
  <c r="F46" i="18"/>
  <c r="AB46" i="18"/>
  <c r="AC103" i="18"/>
  <c r="Y103" i="18"/>
  <c r="AE111" i="18"/>
  <c r="J111" i="18"/>
  <c r="F111" i="18"/>
  <c r="AD111" i="18"/>
  <c r="AB111" i="18"/>
  <c r="F23" i="19"/>
  <c r="K23" i="19" s="1"/>
  <c r="I23" i="19"/>
  <c r="H8" i="6"/>
  <c r="P14" i="6"/>
  <c r="P24" i="6"/>
  <c r="P38" i="6"/>
  <c r="F53" i="8"/>
  <c r="G53" i="8" s="1"/>
  <c r="O57" i="8"/>
  <c r="F65" i="8"/>
  <c r="G65" i="8" s="1"/>
  <c r="O69" i="8"/>
  <c r="F77" i="8"/>
  <c r="G77" i="8" s="1"/>
  <c r="O81" i="8"/>
  <c r="F89" i="8"/>
  <c r="G89" i="8" s="1"/>
  <c r="O93" i="8"/>
  <c r="O113" i="8"/>
  <c r="N41" i="9"/>
  <c r="O31" i="10"/>
  <c r="F35" i="10"/>
  <c r="G53" i="10"/>
  <c r="Q58" i="10"/>
  <c r="G58" i="10"/>
  <c r="G62" i="10"/>
  <c r="O63" i="10"/>
  <c r="O70" i="10"/>
  <c r="O75" i="10"/>
  <c r="Q80" i="10"/>
  <c r="O82" i="10"/>
  <c r="Q89" i="10"/>
  <c r="K21" i="11"/>
  <c r="F7" i="14"/>
  <c r="G7" i="14" s="1"/>
  <c r="K11" i="14"/>
  <c r="F11" i="14"/>
  <c r="G11" i="14" s="1"/>
  <c r="K20" i="14"/>
  <c r="F20" i="14"/>
  <c r="G20" i="14" s="1"/>
  <c r="K29" i="14"/>
  <c r="F29" i="14"/>
  <c r="G29" i="14" s="1"/>
  <c r="F34" i="14"/>
  <c r="G34" i="14" s="1"/>
  <c r="J10" i="15"/>
  <c r="F10" i="15"/>
  <c r="G10" i="15" s="1"/>
  <c r="Q4" i="16"/>
  <c r="R4" i="16" s="1"/>
  <c r="AA9" i="18"/>
  <c r="Y9" i="18"/>
  <c r="AC9" i="18"/>
  <c r="J31" i="18"/>
  <c r="F31" i="18"/>
  <c r="AE31" i="18"/>
  <c r="AD31" i="18"/>
  <c r="AB31" i="18"/>
  <c r="AE60" i="18"/>
  <c r="F60" i="18"/>
  <c r="AB60" i="18"/>
  <c r="J60" i="18"/>
  <c r="AF60" i="18" s="1"/>
  <c r="AD60" i="18"/>
  <c r="AE62" i="18"/>
  <c r="J62" i="18"/>
  <c r="F62" i="18"/>
  <c r="AD62" i="18"/>
  <c r="AB62" i="18"/>
  <c r="F92" i="18"/>
  <c r="AD92" i="18"/>
  <c r="AB92" i="18"/>
  <c r="J92" i="18"/>
  <c r="I18" i="19"/>
  <c r="F18" i="19"/>
  <c r="K18" i="19" s="1"/>
  <c r="J31" i="15"/>
  <c r="F31" i="15"/>
  <c r="G31" i="15" s="1"/>
  <c r="AC6" i="18"/>
  <c r="AA6" i="18"/>
  <c r="Y6" i="18"/>
  <c r="AB36" i="18"/>
  <c r="J36" i="18"/>
  <c r="Z36" i="18" s="1"/>
  <c r="AE36" i="18" s="1"/>
  <c r="F36" i="18"/>
  <c r="AD36" i="18"/>
  <c r="AD39" i="18"/>
  <c r="J39" i="18"/>
  <c r="F39" i="18"/>
  <c r="AB39" i="18"/>
  <c r="F53" i="18"/>
  <c r="AB53" i="18"/>
  <c r="J53" i="18"/>
  <c r="AD53" i="18"/>
  <c r="AD73" i="18"/>
  <c r="F73" i="18"/>
  <c r="J73" i="18"/>
  <c r="AB73" i="18"/>
  <c r="AE73" i="18"/>
  <c r="AF94" i="18"/>
  <c r="Z94" i="18"/>
  <c r="Q37" i="10"/>
  <c r="G37" i="10"/>
  <c r="O46" i="10"/>
  <c r="O51" i="10"/>
  <c r="Q67" i="10"/>
  <c r="G67" i="10"/>
  <c r="G69" i="10"/>
  <c r="Q79" i="10"/>
  <c r="G79" i="10"/>
  <c r="G81" i="10"/>
  <c r="Q88" i="10"/>
  <c r="G88" i="10"/>
  <c r="K18" i="11"/>
  <c r="K25" i="11"/>
  <c r="E25" i="11"/>
  <c r="F25" i="11" s="1"/>
  <c r="K34" i="11"/>
  <c r="E34" i="11"/>
  <c r="F34" i="11" s="1"/>
  <c r="O9" i="12"/>
  <c r="F9" i="12"/>
  <c r="G9" i="12" s="1"/>
  <c r="O18" i="12"/>
  <c r="F18" i="12"/>
  <c r="G18" i="12" s="1"/>
  <c r="O27" i="12"/>
  <c r="F27" i="12"/>
  <c r="G27" i="12" s="1"/>
  <c r="J16" i="15"/>
  <c r="F16" i="15"/>
  <c r="G16" i="15" s="1"/>
  <c r="AE15" i="18"/>
  <c r="J15" i="18"/>
  <c r="AB15" i="18"/>
  <c r="F15" i="18"/>
  <c r="AD15" i="18"/>
  <c r="AD18" i="18"/>
  <c r="F18" i="18"/>
  <c r="J18" i="18"/>
  <c r="AB18" i="18"/>
  <c r="AB59" i="18"/>
  <c r="AE59" i="18"/>
  <c r="J59" i="18"/>
  <c r="AD59" i="18"/>
  <c r="F59" i="18"/>
  <c r="AE78" i="18"/>
  <c r="F78" i="18"/>
  <c r="AD78" i="18"/>
  <c r="J78" i="18"/>
  <c r="AB78" i="18"/>
  <c r="G17" i="23"/>
  <c r="H17" i="23" s="1"/>
  <c r="F17" i="23"/>
  <c r="P35" i="6"/>
  <c r="N35" i="9"/>
  <c r="G40" i="9"/>
  <c r="F32" i="10"/>
  <c r="F39" i="10"/>
  <c r="G50" i="10"/>
  <c r="G57" i="10"/>
  <c r="O60" i="10"/>
  <c r="O67" i="10"/>
  <c r="G71" i="10"/>
  <c r="O72" i="10"/>
  <c r="Q77" i="10"/>
  <c r="O79" i="10"/>
  <c r="G83" i="10"/>
  <c r="O88" i="10"/>
  <c r="K11" i="11"/>
  <c r="K35" i="14"/>
  <c r="F35" i="14"/>
  <c r="G35" i="14" s="1"/>
  <c r="AD47" i="18"/>
  <c r="J47" i="18"/>
  <c r="F47" i="18"/>
  <c r="AB47" i="18"/>
  <c r="J72" i="18"/>
  <c r="AD72" i="18"/>
  <c r="AE72" i="18"/>
  <c r="AB72" i="18"/>
  <c r="F72" i="18"/>
  <c r="AD75" i="18"/>
  <c r="F75" i="18"/>
  <c r="AE75" i="18"/>
  <c r="J75" i="18"/>
  <c r="AB75" i="18"/>
  <c r="AD87" i="18"/>
  <c r="F87" i="18"/>
  <c r="AE87" i="18"/>
  <c r="J87" i="18"/>
  <c r="AB87" i="18"/>
  <c r="J104" i="18"/>
  <c r="AB104" i="18"/>
  <c r="F104" i="18"/>
  <c r="AE104" i="18"/>
  <c r="AD104" i="18"/>
  <c r="P4" i="6"/>
  <c r="G34" i="6"/>
  <c r="H34" i="6" s="1"/>
  <c r="G38" i="9"/>
  <c r="G15" i="10"/>
  <c r="F29" i="10"/>
  <c r="F41" i="10"/>
  <c r="Q43" i="10"/>
  <c r="G43" i="10"/>
  <c r="F45" i="10"/>
  <c r="Q55" i="10"/>
  <c r="G55" i="10"/>
  <c r="G59" i="10"/>
  <c r="F66" i="10"/>
  <c r="F78" i="10"/>
  <c r="F4" i="14"/>
  <c r="G4" i="14" s="1"/>
  <c r="K17" i="14"/>
  <c r="F17" i="14"/>
  <c r="G17" i="14" s="1"/>
  <c r="K26" i="14"/>
  <c r="F26" i="14"/>
  <c r="G26" i="14" s="1"/>
  <c r="F12" i="15"/>
  <c r="G12" i="15" s="1"/>
  <c r="J22" i="15"/>
  <c r="F22" i="15"/>
  <c r="G22" i="15" s="1"/>
  <c r="AE29" i="18"/>
  <c r="J29" i="18"/>
  <c r="AD29" i="18"/>
  <c r="F29" i="18"/>
  <c r="AB29" i="18"/>
  <c r="AC31" i="18"/>
  <c r="Y31" i="18"/>
  <c r="F61" i="18"/>
  <c r="AB61" i="18"/>
  <c r="J61" i="18"/>
  <c r="AF61" i="18" s="1"/>
  <c r="AE61" i="18"/>
  <c r="AD61" i="18"/>
  <c r="Y77" i="18"/>
  <c r="AC77" i="18"/>
  <c r="S19" i="20"/>
  <c r="I19" i="20"/>
  <c r="J19" i="20" s="1"/>
  <c r="R19" i="20"/>
  <c r="H9" i="6"/>
  <c r="H21" i="6"/>
  <c r="F54" i="8"/>
  <c r="G54" i="8" s="1"/>
  <c r="F90" i="8"/>
  <c r="G90" i="8" s="1"/>
  <c r="Q64" i="10"/>
  <c r="G64" i="10"/>
  <c r="Q76" i="10"/>
  <c r="G76" i="10"/>
  <c r="J7" i="15"/>
  <c r="F7" i="15"/>
  <c r="G7" i="15" s="1"/>
  <c r="AB82" i="18"/>
  <c r="J82" i="18"/>
  <c r="F82" i="18"/>
  <c r="AE82" i="18"/>
  <c r="G35" i="8"/>
  <c r="G38" i="8"/>
  <c r="G41" i="8"/>
  <c r="G44" i="8"/>
  <c r="F83" i="8"/>
  <c r="G83" i="8" s="1"/>
  <c r="F95" i="8"/>
  <c r="G95" i="8" s="1"/>
  <c r="F110" i="8"/>
  <c r="G110" i="8" s="1"/>
  <c r="G34" i="9"/>
  <c r="G45" i="9"/>
  <c r="Q34" i="10"/>
  <c r="G34" i="10"/>
  <c r="O64" i="10"/>
  <c r="O76" i="10"/>
  <c r="Q85" i="10"/>
  <c r="G85" i="10"/>
  <c r="K8" i="11"/>
  <c r="K31" i="11"/>
  <c r="E31" i="11"/>
  <c r="F31" i="11" s="1"/>
  <c r="O15" i="12"/>
  <c r="F15" i="12"/>
  <c r="G15" i="12" s="1"/>
  <c r="O24" i="12"/>
  <c r="F24" i="12"/>
  <c r="G24" i="12" s="1"/>
  <c r="F18" i="15"/>
  <c r="G18" i="15" s="1"/>
  <c r="J28" i="15"/>
  <c r="F28" i="15"/>
  <c r="G28" i="15" s="1"/>
  <c r="AD5" i="18"/>
  <c r="J5" i="18"/>
  <c r="Z5" i="18" s="1"/>
  <c r="AE5" i="18" s="1"/>
  <c r="AB5" i="18"/>
  <c r="AB49" i="18"/>
  <c r="J49" i="18"/>
  <c r="F49" i="18"/>
  <c r="AD49" i="18"/>
  <c r="AB70" i="18"/>
  <c r="J70" i="18"/>
  <c r="AE70" i="18"/>
  <c r="AD70" i="18"/>
  <c r="F70" i="18"/>
  <c r="AD85" i="18"/>
  <c r="F85" i="18"/>
  <c r="J85" i="18"/>
  <c r="AE85" i="18"/>
  <c r="AE89" i="18"/>
  <c r="J89" i="18"/>
  <c r="AD89" i="18"/>
  <c r="AB89" i="18"/>
  <c r="F89" i="18"/>
  <c r="AE93" i="18"/>
  <c r="J93" i="18"/>
  <c r="AF93" i="18" s="1"/>
  <c r="AD93" i="18"/>
  <c r="AB93" i="18"/>
  <c r="F93" i="18"/>
  <c r="F100" i="8"/>
  <c r="G100" i="8" s="1"/>
  <c r="F36" i="10"/>
  <c r="J13" i="15"/>
  <c r="F13" i="15"/>
  <c r="G13" i="15" s="1"/>
  <c r="U6" i="16"/>
  <c r="Q6" i="16"/>
  <c r="R6" i="16" s="1"/>
  <c r="J66" i="18"/>
  <c r="AD66" i="18"/>
  <c r="F66" i="18"/>
  <c r="AE66" i="18"/>
  <c r="AB66" i="18"/>
  <c r="J71" i="18"/>
  <c r="AE71" i="18"/>
  <c r="AD71" i="18"/>
  <c r="AB71" i="18"/>
  <c r="F71" i="18"/>
  <c r="AE97" i="18"/>
  <c r="F97" i="18"/>
  <c r="AD97" i="18"/>
  <c r="J97" i="18"/>
  <c r="AB97" i="18"/>
  <c r="F46" i="19"/>
  <c r="K46" i="19" s="1"/>
  <c r="I46" i="19"/>
  <c r="G31" i="10"/>
  <c r="O52" i="10"/>
  <c r="Q61" i="10"/>
  <c r="G61" i="10"/>
  <c r="Q73" i="10"/>
  <c r="G73" i="10"/>
  <c r="K5" i="14"/>
  <c r="K14" i="14"/>
  <c r="F14" i="14"/>
  <c r="G14" i="14" s="1"/>
  <c r="K23" i="14"/>
  <c r="F23" i="14"/>
  <c r="G23" i="14" s="1"/>
  <c r="K32" i="14"/>
  <c r="F32" i="14"/>
  <c r="G32" i="14" s="1"/>
  <c r="U2" i="16"/>
  <c r="Q2" i="16"/>
  <c r="R2" i="16" s="1"/>
  <c r="AD3" i="18"/>
  <c r="F3" i="18"/>
  <c r="Z3" i="18" s="1"/>
  <c r="AE3" i="18" s="1"/>
  <c r="AB3" i="18"/>
  <c r="AB38" i="18"/>
  <c r="J38" i="18"/>
  <c r="AE38" i="18"/>
  <c r="F38" i="18"/>
  <c r="AD38" i="18"/>
  <c r="AC61" i="18"/>
  <c r="Y61" i="18"/>
  <c r="F64" i="18"/>
  <c r="AD64" i="18"/>
  <c r="J64" i="18"/>
  <c r="AB64" i="18"/>
  <c r="AB74" i="18"/>
  <c r="AE74" i="18"/>
  <c r="F74" i="18"/>
  <c r="J74" i="18"/>
  <c r="AD74" i="18"/>
  <c r="AE101" i="18"/>
  <c r="J101" i="18"/>
  <c r="F101" i="18"/>
  <c r="AB101" i="18"/>
  <c r="AD101" i="18"/>
  <c r="G39" i="9"/>
  <c r="G38" i="10"/>
  <c r="O61" i="10"/>
  <c r="O73" i="10"/>
  <c r="K5" i="11"/>
  <c r="J19" i="15"/>
  <c r="F19" i="15"/>
  <c r="G19" i="15" s="1"/>
  <c r="AE4" i="18"/>
  <c r="AD7" i="18"/>
  <c r="F7" i="18"/>
  <c r="AB7" i="18"/>
  <c r="J7" i="18"/>
  <c r="Z7" i="18" s="1"/>
  <c r="AE7" i="18" s="1"/>
  <c r="AB28" i="18"/>
  <c r="AD28" i="18"/>
  <c r="J28" i="18"/>
  <c r="AE28" i="18"/>
  <c r="F28" i="18"/>
  <c r="AE49" i="18"/>
  <c r="F57" i="18"/>
  <c r="J57" i="18"/>
  <c r="AD57" i="18"/>
  <c r="AB57" i="18"/>
  <c r="AD82" i="18"/>
  <c r="O105" i="8"/>
  <c r="Q40" i="10"/>
  <c r="G40" i="10"/>
  <c r="F42" i="10"/>
  <c r="F44" i="10"/>
  <c r="F46" i="10"/>
  <c r="Q52" i="10"/>
  <c r="K28" i="11"/>
  <c r="E28" i="11"/>
  <c r="F28" i="11" s="1"/>
  <c r="K37" i="11"/>
  <c r="E37" i="11"/>
  <c r="F37" i="11" s="1"/>
  <c r="O12" i="12"/>
  <c r="F12" i="12"/>
  <c r="G12" i="12" s="1"/>
  <c r="O21" i="12"/>
  <c r="F21" i="12"/>
  <c r="G21" i="12" s="1"/>
  <c r="J4" i="15"/>
  <c r="F4" i="15"/>
  <c r="G4" i="15" s="1"/>
  <c r="X9" i="18"/>
  <c r="AE30" i="18"/>
  <c r="J30" i="18"/>
  <c r="AB30" i="18"/>
  <c r="F30" i="18"/>
  <c r="AD30" i="18"/>
  <c r="AD69" i="18"/>
  <c r="F69" i="18"/>
  <c r="AE69" i="18"/>
  <c r="J69" i="18"/>
  <c r="AB69" i="18"/>
  <c r="AB86" i="18"/>
  <c r="AE86" i="18"/>
  <c r="F86" i="18"/>
  <c r="AD86" i="18"/>
  <c r="J86" i="18"/>
  <c r="AF86" i="18" s="1"/>
  <c r="AC39" i="18"/>
  <c r="Y39" i="18"/>
  <c r="AD44" i="18"/>
  <c r="F44" i="18"/>
  <c r="AB44" i="18"/>
  <c r="AC47" i="18"/>
  <c r="Y47" i="18"/>
  <c r="AD48" i="18"/>
  <c r="F48" i="18"/>
  <c r="AB48" i="18"/>
  <c r="AC49" i="18"/>
  <c r="AC54" i="18"/>
  <c r="Y54" i="18"/>
  <c r="Y79" i="18"/>
  <c r="Y92" i="18"/>
  <c r="AC92" i="18"/>
  <c r="J95" i="18"/>
  <c r="Y100" i="18"/>
  <c r="AC100" i="18"/>
  <c r="AC112" i="18"/>
  <c r="AB126" i="18"/>
  <c r="AB140" i="18"/>
  <c r="AE140" i="18"/>
  <c r="AD140" i="18"/>
  <c r="S6" i="20"/>
  <c r="I6" i="20"/>
  <c r="J6" i="20" s="1"/>
  <c r="I29" i="20"/>
  <c r="J29" i="20" s="1"/>
  <c r="S29" i="20"/>
  <c r="R29" i="20"/>
  <c r="F8" i="18"/>
  <c r="AC19" i="18"/>
  <c r="AC20" i="18"/>
  <c r="Y53" i="18"/>
  <c r="AD79" i="18"/>
  <c r="F79" i="18"/>
  <c r="AE79" i="18"/>
  <c r="AB79" i="18"/>
  <c r="J84" i="18"/>
  <c r="AE84" i="18"/>
  <c r="F84" i="18"/>
  <c r="AD84" i="18"/>
  <c r="J100" i="18"/>
  <c r="F100" i="18"/>
  <c r="AD100" i="18"/>
  <c r="AA118" i="18"/>
  <c r="Y118" i="18"/>
  <c r="I39" i="19"/>
  <c r="F39" i="19"/>
  <c r="K39" i="19" s="1"/>
  <c r="I25" i="20"/>
  <c r="J25" i="20" s="1"/>
  <c r="R25" i="20"/>
  <c r="S25" i="20"/>
  <c r="AE14" i="18"/>
  <c r="J14" i="18"/>
  <c r="AD14" i="18"/>
  <c r="F14" i="18"/>
  <c r="AD37" i="18"/>
  <c r="J37" i="18"/>
  <c r="Z37" i="18" s="1"/>
  <c r="AE37" i="18" s="1"/>
  <c r="AD56" i="18"/>
  <c r="J56" i="18"/>
  <c r="AC64" i="18"/>
  <c r="Y64" i="18"/>
  <c r="Y69" i="18"/>
  <c r="AC69" i="18"/>
  <c r="Y81" i="18"/>
  <c r="AC81" i="18"/>
  <c r="AD98" i="18"/>
  <c r="F98" i="18"/>
  <c r="AE98" i="18"/>
  <c r="J98" i="18"/>
  <c r="AF98" i="18" s="1"/>
  <c r="AB103" i="18"/>
  <c r="J103" i="18"/>
  <c r="F103" i="18"/>
  <c r="AD103" i="18"/>
  <c r="J107" i="18"/>
  <c r="F107" i="18"/>
  <c r="AD107" i="18"/>
  <c r="AB107" i="18"/>
  <c r="I53" i="19"/>
  <c r="F53" i="19"/>
  <c r="K53" i="19" s="1"/>
  <c r="X23" i="18"/>
  <c r="AE34" i="18"/>
  <c r="F35" i="18"/>
  <c r="AB35" i="18"/>
  <c r="AF50" i="18"/>
  <c r="AB56" i="18"/>
  <c r="Y60" i="18"/>
  <c r="AD81" i="18"/>
  <c r="F81" i="18"/>
  <c r="AE81" i="18"/>
  <c r="J81" i="18"/>
  <c r="AC87" i="18"/>
  <c r="Y87" i="18"/>
  <c r="AC91" i="18"/>
  <c r="AA91" i="18"/>
  <c r="AB98" i="18"/>
  <c r="AE107" i="18"/>
  <c r="Z120" i="18"/>
  <c r="AE120" i="18" s="1"/>
  <c r="AD125" i="18"/>
  <c r="AB125" i="18"/>
  <c r="I13" i="19"/>
  <c r="AD35" i="18"/>
  <c r="AE63" i="18"/>
  <c r="AB81" i="18"/>
  <c r="Y91" i="18"/>
  <c r="AE94" i="18"/>
  <c r="AB94" i="18"/>
  <c r="AE103" i="18"/>
  <c r="Y106" i="18"/>
  <c r="AC106" i="18"/>
  <c r="AE125" i="18"/>
  <c r="F140" i="18"/>
  <c r="X141" i="18"/>
  <c r="I17" i="20"/>
  <c r="J17" i="20" s="1"/>
  <c r="S17" i="20"/>
  <c r="R17" i="20"/>
  <c r="AC23" i="18"/>
  <c r="Y23" i="18"/>
  <c r="AF41" i="18"/>
  <c r="J44" i="18"/>
  <c r="AF44" i="18" s="1"/>
  <c r="J48" i="18"/>
  <c r="Y63" i="18"/>
  <c r="AE96" i="18"/>
  <c r="F96" i="18"/>
  <c r="AF96" i="18" s="1"/>
  <c r="J116" i="18"/>
  <c r="Z116" i="18" s="1"/>
  <c r="AE116" i="18" s="1"/>
  <c r="AD117" i="18"/>
  <c r="J117" i="18"/>
  <c r="F117" i="18"/>
  <c r="AC138" i="18"/>
  <c r="J140" i="18"/>
  <c r="F12" i="18"/>
  <c r="Z12" i="18" s="1"/>
  <c r="AE12" i="18" s="1"/>
  <c r="F13" i="18"/>
  <c r="Z13" i="18" s="1"/>
  <c r="AE13" i="18" s="1"/>
  <c r="AD13" i="18"/>
  <c r="F56" i="18"/>
  <c r="AD102" i="18"/>
  <c r="J102" i="18"/>
  <c r="F102" i="18"/>
  <c r="AB102" i="18"/>
  <c r="AA106" i="18"/>
  <c r="J110" i="18"/>
  <c r="AE110" i="18"/>
  <c r="F110" i="18"/>
  <c r="AD110" i="18"/>
  <c r="AB110" i="18"/>
  <c r="AC113" i="18"/>
  <c r="Y113" i="18"/>
  <c r="Y137" i="18"/>
  <c r="AC137" i="18"/>
  <c r="F8" i="19"/>
  <c r="K8" i="19" s="1"/>
  <c r="I8" i="19"/>
  <c r="I48" i="19"/>
  <c r="F48" i="19"/>
  <c r="K48" i="19" s="1"/>
  <c r="S15" i="20"/>
  <c r="I15" i="20"/>
  <c r="J15" i="20" s="1"/>
  <c r="I20" i="20"/>
  <c r="J20" i="20" s="1"/>
  <c r="S20" i="20"/>
  <c r="R20" i="20"/>
  <c r="F4" i="21"/>
  <c r="G4" i="21" s="1"/>
  <c r="J4" i="21"/>
  <c r="F6" i="23"/>
  <c r="F14" i="23"/>
  <c r="G14" i="23"/>
  <c r="H14" i="23" s="1"/>
  <c r="Y28" i="18"/>
  <c r="J35" i="18"/>
  <c r="Z35" i="18" s="1"/>
  <c r="AE35" i="18" s="1"/>
  <c r="AB68" i="18"/>
  <c r="AD68" i="18"/>
  <c r="AB76" i="18"/>
  <c r="F76" i="18"/>
  <c r="AE76" i="18"/>
  <c r="AD76" i="18"/>
  <c r="AB80" i="18"/>
  <c r="J80" i="18"/>
  <c r="AD80" i="18"/>
  <c r="J83" i="18"/>
  <c r="F83" i="18"/>
  <c r="AE83" i="18"/>
  <c r="AB83" i="18"/>
  <c r="AC90" i="18"/>
  <c r="Y90" i="18"/>
  <c r="AD95" i="18"/>
  <c r="AB129" i="18"/>
  <c r="AD129" i="18"/>
  <c r="AE129" i="18"/>
  <c r="F129" i="18"/>
  <c r="J129" i="18"/>
  <c r="I9" i="19"/>
  <c r="F9" i="19"/>
  <c r="K9" i="19" s="1"/>
  <c r="R15" i="20"/>
  <c r="AD22" i="18"/>
  <c r="F22" i="18"/>
  <c r="AB22" i="18"/>
  <c r="AC29" i="18"/>
  <c r="Y86" i="18"/>
  <c r="AB90" i="18"/>
  <c r="AE90" i="18"/>
  <c r="F90" i="18"/>
  <c r="AF90" i="18" s="1"/>
  <c r="F105" i="18"/>
  <c r="AD105" i="18"/>
  <c r="J105" i="18"/>
  <c r="AD113" i="18"/>
  <c r="J113" i="18"/>
  <c r="F113" i="18"/>
  <c r="AE126" i="18"/>
  <c r="J126" i="18"/>
  <c r="AD126" i="18"/>
  <c r="AD8" i="18"/>
  <c r="J8" i="18"/>
  <c r="Z8" i="18" s="1"/>
  <c r="AE8" i="18" s="1"/>
  <c r="AC16" i="18"/>
  <c r="AA16" i="18"/>
  <c r="Y16" i="18"/>
  <c r="AD67" i="18"/>
  <c r="AE67" i="18"/>
  <c r="F67" i="18"/>
  <c r="AB67" i="18"/>
  <c r="AD83" i="18"/>
  <c r="AD90" i="18"/>
  <c r="AD94" i="18"/>
  <c r="AB105" i="18"/>
  <c r="AB113" i="18"/>
  <c r="J125" i="18"/>
  <c r="Y136" i="18"/>
  <c r="AC136" i="18"/>
  <c r="I4" i="19"/>
  <c r="F27" i="19"/>
  <c r="K27" i="19" s="1"/>
  <c r="I31" i="19"/>
  <c r="AB8" i="18"/>
  <c r="AA21" i="18"/>
  <c r="AE22" i="18"/>
  <c r="J63" i="18"/>
  <c r="AF63" i="18" s="1"/>
  <c r="F65" i="18"/>
  <c r="Z65" i="18" s="1"/>
  <c r="AE65" i="18" s="1"/>
  <c r="AD65" i="18"/>
  <c r="AC85" i="18"/>
  <c r="Y85" i="18"/>
  <c r="F95" i="18"/>
  <c r="AD128" i="18"/>
  <c r="F128" i="18"/>
  <c r="AE128" i="18"/>
  <c r="J128" i="18"/>
  <c r="AB128" i="18"/>
  <c r="Y135" i="18"/>
  <c r="AC135" i="18"/>
  <c r="F44" i="19"/>
  <c r="K44" i="19" s="1"/>
  <c r="I44" i="19"/>
  <c r="Z115" i="18"/>
  <c r="AE115" i="18" s="1"/>
  <c r="X132" i="18"/>
  <c r="AA132" i="18" s="1"/>
  <c r="F10" i="19"/>
  <c r="K10" i="19" s="1"/>
  <c r="I14" i="19"/>
  <c r="F14" i="19"/>
  <c r="K14" i="19" s="1"/>
  <c r="F37" i="19"/>
  <c r="K37" i="19" s="1"/>
  <c r="F51" i="19"/>
  <c r="K51" i="19" s="1"/>
  <c r="Y127" i="18"/>
  <c r="AA127" i="18"/>
  <c r="AD142" i="18"/>
  <c r="AE142" i="18"/>
  <c r="R30" i="20"/>
  <c r="J30" i="20"/>
  <c r="G3" i="23"/>
  <c r="H3" i="23" s="1"/>
  <c r="F3" i="23"/>
  <c r="AC132" i="18"/>
  <c r="Y132" i="18"/>
  <c r="AB142" i="18"/>
  <c r="I5" i="20"/>
  <c r="J5" i="20" s="1"/>
  <c r="S5" i="20"/>
  <c r="I18" i="20"/>
  <c r="J18" i="20" s="1"/>
  <c r="S18" i="20"/>
  <c r="R18" i="20"/>
  <c r="X119" i="18"/>
  <c r="AB134" i="18"/>
  <c r="AD134" i="18"/>
  <c r="R12" i="20"/>
  <c r="R16" i="20"/>
  <c r="I16" i="20"/>
  <c r="J16" i="20" s="1"/>
  <c r="R28" i="20"/>
  <c r="F8" i="21"/>
  <c r="G8" i="21" s="1"/>
  <c r="J8" i="21"/>
  <c r="AC75" i="18"/>
  <c r="AE77" i="18"/>
  <c r="AE88" i="18"/>
  <c r="AC122" i="18"/>
  <c r="Y122" i="18"/>
  <c r="Y124" i="18"/>
  <c r="AC127" i="18"/>
  <c r="X131" i="18"/>
  <c r="AA131" i="18" s="1"/>
  <c r="AE134" i="18"/>
  <c r="I2" i="19"/>
  <c r="I11" i="20"/>
  <c r="J11" i="20" s="1"/>
  <c r="I21" i="20"/>
  <c r="J21" i="20" s="1"/>
  <c r="R21" i="20"/>
  <c r="S28" i="20"/>
  <c r="AE124" i="18"/>
  <c r="F124" i="18"/>
  <c r="Y125" i="18"/>
  <c r="Y126" i="18"/>
  <c r="S16" i="20"/>
  <c r="P21" i="28"/>
  <c r="R21" i="28" s="1"/>
  <c r="R7" i="28" s="1"/>
  <c r="R25" i="28"/>
  <c r="AD119" i="18"/>
  <c r="F119" i="18"/>
  <c r="J119" i="18"/>
  <c r="Z119" i="18" s="1"/>
  <c r="AE119" i="18" s="1"/>
  <c r="F134" i="18"/>
  <c r="J142" i="18"/>
  <c r="F17" i="19"/>
  <c r="K17" i="19" s="1"/>
  <c r="F30" i="19"/>
  <c r="K30" i="19" s="1"/>
  <c r="S23" i="20"/>
  <c r="I23" i="20"/>
  <c r="J23" i="20" s="1"/>
  <c r="R23" i="20"/>
  <c r="I13" i="20"/>
  <c r="J13" i="20" s="1"/>
  <c r="S13" i="20"/>
  <c r="S27" i="20"/>
  <c r="I27" i="20"/>
  <c r="J27" i="20" s="1"/>
  <c r="AC114" i="18"/>
  <c r="AE121" i="18"/>
  <c r="J121" i="18"/>
  <c r="AD138" i="18"/>
  <c r="AE138" i="18"/>
  <c r="F12" i="19"/>
  <c r="K12" i="19" s="1"/>
  <c r="F33" i="19"/>
  <c r="K33" i="19" s="1"/>
  <c r="F54" i="19"/>
  <c r="K54" i="19" s="1"/>
  <c r="P53" i="28"/>
  <c r="R53" i="28" s="1"/>
  <c r="AE136" i="18"/>
  <c r="J136" i="18"/>
  <c r="AE137" i="18"/>
  <c r="J137" i="18"/>
  <c r="AD137" i="18"/>
  <c r="P35" i="28"/>
  <c r="R35" i="28" s="1"/>
  <c r="P50" i="28"/>
  <c r="R50" i="28" s="1"/>
  <c r="P28" i="28"/>
  <c r="R28" i="28" s="1"/>
  <c r="P41" i="28"/>
  <c r="R41" i="28" s="1"/>
  <c r="P7" i="28" s="1"/>
  <c r="X115" i="18"/>
  <c r="I21" i="19"/>
  <c r="F21" i="19"/>
  <c r="K21" i="19" s="1"/>
  <c r="F42" i="19"/>
  <c r="K42" i="19" s="1"/>
  <c r="R47" i="28"/>
  <c r="P39" i="28"/>
  <c r="R39" i="28" s="1"/>
  <c r="X109" i="18"/>
  <c r="AA109" i="18" s="1"/>
  <c r="X124" i="18"/>
  <c r="AC142" i="18"/>
  <c r="F36" i="19"/>
  <c r="K36" i="19" s="1"/>
  <c r="F50" i="19"/>
  <c r="K50" i="19" s="1"/>
  <c r="I57" i="19"/>
  <c r="F57" i="19"/>
  <c r="K57" i="19" s="1"/>
  <c r="P30" i="28"/>
  <c r="R30" i="28" s="1"/>
  <c r="P113" i="28"/>
  <c r="R113" i="28" s="1"/>
  <c r="P125" i="28"/>
  <c r="R125" i="28" s="1"/>
  <c r="X134" i="18"/>
  <c r="P133" i="28"/>
  <c r="R133" i="28" s="1"/>
  <c r="P105" i="28"/>
  <c r="R105" i="28" s="1"/>
  <c r="P117" i="28"/>
  <c r="R117" i="28" s="1"/>
  <c r="P129" i="28"/>
  <c r="R129" i="28" s="1"/>
  <c r="P101" i="28"/>
  <c r="R101" i="28" s="1"/>
  <c r="AD91" i="18" l="1"/>
  <c r="F91" i="18"/>
  <c r="AE91" i="18"/>
  <c r="AB91" i="18"/>
  <c r="J91" i="18"/>
  <c r="AF91" i="18" s="1"/>
  <c r="AF89" i="18"/>
  <c r="G78" i="10"/>
  <c r="Q78" i="10"/>
  <c r="Z56" i="18"/>
  <c r="AE56" i="18" s="1"/>
  <c r="AF56" i="18"/>
  <c r="Z64" i="18"/>
  <c r="AE64" i="18" s="1"/>
  <c r="G66" i="10"/>
  <c r="Q66" i="10"/>
  <c r="Z47" i="18"/>
  <c r="AE47" i="18" s="1"/>
  <c r="AF92" i="18"/>
  <c r="AF55" i="18"/>
  <c r="Z55" i="18"/>
  <c r="AE55" i="18" s="1"/>
  <c r="AF43" i="18"/>
  <c r="AE109" i="18"/>
  <c r="F109" i="18"/>
  <c r="J109" i="18"/>
  <c r="AB109" i="18"/>
  <c r="AD109" i="18"/>
  <c r="AE106" i="18"/>
  <c r="J106" i="18"/>
  <c r="Z106" i="18" s="1"/>
  <c r="F106" i="18"/>
  <c r="AB106" i="18"/>
  <c r="AD106" i="18"/>
  <c r="Z117" i="18"/>
  <c r="AE117" i="18" s="1"/>
  <c r="AF53" i="18"/>
  <c r="Z53" i="18"/>
  <c r="AE53" i="18" s="1"/>
  <c r="J127" i="18"/>
  <c r="AE127" i="18"/>
  <c r="F127" i="18"/>
  <c r="AD127" i="18"/>
  <c r="AB127" i="18"/>
  <c r="Z57" i="18"/>
  <c r="AE57" i="18" s="1"/>
  <c r="AF57" i="18"/>
  <c r="Q39" i="10"/>
  <c r="G39" i="10"/>
  <c r="AD21" i="18"/>
  <c r="F21" i="18"/>
  <c r="J21" i="18"/>
  <c r="AE21" i="18"/>
  <c r="AB21" i="18"/>
  <c r="AB118" i="18"/>
  <c r="J118" i="18"/>
  <c r="Z118" i="18" s="1"/>
  <c r="AE118" i="18"/>
  <c r="F118" i="18"/>
  <c r="AD118" i="18"/>
  <c r="Q45" i="10"/>
  <c r="G45" i="10"/>
  <c r="Q32" i="10"/>
  <c r="G32" i="10"/>
  <c r="G37" i="9"/>
  <c r="H37" i="9"/>
  <c r="I37" i="9" s="1"/>
  <c r="Z105" i="18"/>
  <c r="AE105" i="18" s="1"/>
  <c r="AF105" i="18"/>
  <c r="G46" i="10"/>
  <c r="Q46" i="10"/>
  <c r="AF59" i="18"/>
  <c r="N18" i="6"/>
  <c r="O18" i="6"/>
  <c r="G36" i="10"/>
  <c r="Q36" i="10"/>
  <c r="Q44" i="10"/>
  <c r="G44" i="10"/>
  <c r="F6" i="18"/>
  <c r="J6" i="18"/>
  <c r="Z6" i="18" s="1"/>
  <c r="AE6" i="18" s="1"/>
  <c r="AD6" i="18"/>
  <c r="AB6" i="18"/>
  <c r="O17" i="6"/>
  <c r="N17" i="6"/>
  <c r="E139" i="1"/>
  <c r="J16" i="18"/>
  <c r="F16" i="18"/>
  <c r="AD16" i="18"/>
  <c r="AB16" i="18"/>
  <c r="AE16" i="18"/>
  <c r="P6" i="28"/>
  <c r="AE131" i="18"/>
  <c r="J131" i="18"/>
  <c r="AD131" i="18"/>
  <c r="AB131" i="18"/>
  <c r="F131" i="18"/>
  <c r="Z113" i="18"/>
  <c r="AE113" i="18" s="1"/>
  <c r="Q42" i="10"/>
  <c r="G42" i="10"/>
  <c r="AF97" i="18"/>
  <c r="Q41" i="10"/>
  <c r="G41" i="10"/>
  <c r="AF87" i="18"/>
  <c r="AF62" i="18"/>
  <c r="O19" i="6"/>
  <c r="N19" i="6"/>
  <c r="E136" i="1"/>
  <c r="Q30" i="10"/>
  <c r="G30" i="10"/>
  <c r="G20" i="6"/>
  <c r="H20" i="6" s="1"/>
  <c r="P20" i="6"/>
  <c r="AE132" i="18"/>
  <c r="J132" i="18"/>
  <c r="F132" i="18"/>
  <c r="AD132" i="18"/>
  <c r="AB132" i="18"/>
  <c r="Z95" i="18"/>
  <c r="AE95" i="18" s="1"/>
  <c r="AF95" i="18"/>
  <c r="Q29" i="10"/>
  <c r="G29" i="10"/>
  <c r="Z39" i="18"/>
  <c r="AE39" i="18" s="1"/>
  <c r="Q35" i="10"/>
  <c r="G35" i="10"/>
  <c r="M43" i="6"/>
  <c r="M41" i="6"/>
  <c r="M39" i="6"/>
  <c r="M44" i="6"/>
  <c r="M40" i="6"/>
  <c r="M42" i="6"/>
  <c r="G33" i="9"/>
  <c r="H33" i="9"/>
  <c r="I33" i="9" s="1"/>
  <c r="J9" i="18"/>
  <c r="Z9" i="18" s="1"/>
  <c r="AE9" i="18" s="1"/>
  <c r="AB9" i="18"/>
  <c r="F9" i="18"/>
  <c r="AD9" i="18"/>
  <c r="M29" i="6"/>
  <c r="M27" i="6"/>
  <c r="M25" i="6"/>
  <c r="M30" i="6"/>
  <c r="M26" i="6"/>
  <c r="M28" i="6"/>
  <c r="P19" i="6" l="1"/>
  <c r="G19" i="6"/>
  <c r="H19" i="6" s="1"/>
  <c r="O28" i="6"/>
  <c r="N28" i="6"/>
  <c r="N26" i="6"/>
  <c r="O26" i="6"/>
  <c r="O42" i="6"/>
  <c r="N42" i="6"/>
  <c r="O30" i="6"/>
  <c r="N30" i="6"/>
  <c r="N40" i="6"/>
  <c r="O40" i="6"/>
  <c r="O39" i="6"/>
  <c r="N39" i="6"/>
  <c r="O25" i="6"/>
  <c r="N25" i="6"/>
  <c r="O44" i="6"/>
  <c r="N44" i="6"/>
  <c r="O27" i="6"/>
  <c r="N27" i="6"/>
  <c r="O29" i="6"/>
  <c r="N29" i="6"/>
  <c r="O43" i="6"/>
  <c r="N43" i="6"/>
  <c r="O41" i="6"/>
  <c r="N41" i="6"/>
  <c r="G18" i="6"/>
  <c r="H18" i="6" s="1"/>
  <c r="P18" i="6"/>
  <c r="P17" i="6"/>
  <c r="G17" i="6"/>
  <c r="H17" i="6" s="1"/>
  <c r="G29" i="6" l="1"/>
  <c r="H29" i="6" s="1"/>
  <c r="P29" i="6"/>
  <c r="G40" i="6"/>
  <c r="H40" i="6" s="1"/>
  <c r="P40" i="6"/>
  <c r="P30" i="6"/>
  <c r="G30" i="6"/>
  <c r="H30" i="6" s="1"/>
  <c r="G42" i="6"/>
  <c r="H42" i="6" s="1"/>
  <c r="P42" i="6"/>
  <c r="G26" i="6"/>
  <c r="H26" i="6" s="1"/>
  <c r="P26" i="6"/>
  <c r="P44" i="6"/>
  <c r="G44" i="6"/>
  <c r="H44" i="6" s="1"/>
  <c r="P25" i="6"/>
  <c r="G25" i="6"/>
  <c r="H25" i="6" s="1"/>
  <c r="G28" i="6"/>
  <c r="H28" i="6" s="1"/>
  <c r="P28" i="6"/>
  <c r="G43" i="6"/>
  <c r="H43" i="6" s="1"/>
  <c r="P43" i="6"/>
  <c r="P27" i="6"/>
  <c r="G27" i="6"/>
  <c r="H27" i="6" s="1"/>
  <c r="P41" i="6"/>
  <c r="G41" i="6"/>
  <c r="H41" i="6" s="1"/>
  <c r="P39" i="6"/>
  <c r="G39" i="6"/>
  <c r="H39" i="6" s="1"/>
  <c r="M31" i="6" l="1"/>
  <c r="M32" i="6"/>
  <c r="M33" i="6"/>
  <c r="O33" i="6" l="1"/>
  <c r="N33" i="6"/>
  <c r="O32" i="6"/>
  <c r="N32" i="6"/>
  <c r="O31" i="6"/>
  <c r="N31" i="6"/>
  <c r="G31" i="6" l="1"/>
  <c r="H31" i="6" s="1"/>
  <c r="P31" i="6"/>
  <c r="P32" i="6"/>
  <c r="G32" i="6"/>
  <c r="H32" i="6" s="1"/>
  <c r="G33" i="6"/>
  <c r="H33" i="6" s="1"/>
  <c r="P33" i="6"/>
</calcChain>
</file>

<file path=xl/sharedStrings.xml><?xml version="1.0" encoding="utf-8"?>
<sst xmlns="http://schemas.openxmlformats.org/spreadsheetml/2006/main" count="6387" uniqueCount="3155">
  <si>
    <t>Key</t>
  </si>
  <si>
    <t>1381-Q4</t>
  </si>
  <si>
    <t>1382-Q1</t>
  </si>
  <si>
    <t>1382-Q2</t>
  </si>
  <si>
    <t>1382-Q3</t>
  </si>
  <si>
    <t>1382-Q4</t>
  </si>
  <si>
    <t>1383-Q1</t>
  </si>
  <si>
    <t>1383-Q2</t>
  </si>
  <si>
    <t>1383-Q3</t>
  </si>
  <si>
    <t>1383-Q4</t>
  </si>
  <si>
    <t>1384-Q1</t>
  </si>
  <si>
    <t>1384-Q2</t>
  </si>
  <si>
    <t>1384-Q3</t>
  </si>
  <si>
    <t>1384-Q4</t>
  </si>
  <si>
    <t>1385-Q1</t>
  </si>
  <si>
    <t>1385-Q2</t>
  </si>
  <si>
    <t>1385-Q3</t>
  </si>
  <si>
    <t>1385-Q4</t>
  </si>
  <si>
    <t>1386-Q1</t>
  </si>
  <si>
    <t>1386-Q2</t>
  </si>
  <si>
    <t>1386-Q3</t>
  </si>
  <si>
    <t>1386-Q4</t>
  </si>
  <si>
    <t>1387-Q1</t>
  </si>
  <si>
    <t>1387-Q2</t>
  </si>
  <si>
    <t>1387-Q3</t>
  </si>
  <si>
    <t>1387-Q4</t>
  </si>
  <si>
    <t>1388-Q1</t>
  </si>
  <si>
    <t>1388-Q2</t>
  </si>
  <si>
    <t>1388-Q3</t>
  </si>
  <si>
    <t>1388-Q4</t>
  </si>
  <si>
    <t>1389-Q1</t>
  </si>
  <si>
    <t>1389-Q2</t>
  </si>
  <si>
    <t>1389-Q3</t>
  </si>
  <si>
    <t>1389-Q4</t>
  </si>
  <si>
    <t>1390-Q1</t>
  </si>
  <si>
    <t>1390-Q2</t>
  </si>
  <si>
    <t>1390-Q3</t>
  </si>
  <si>
    <t>1390-Q4</t>
  </si>
  <si>
    <t>1391-Q1</t>
  </si>
  <si>
    <t>1391-Q2</t>
  </si>
  <si>
    <t>1391-Q3</t>
  </si>
  <si>
    <t>1391-Q4</t>
  </si>
  <si>
    <t>1392-Q1</t>
  </si>
  <si>
    <t>1392-Q2</t>
  </si>
  <si>
    <t>1392-Q3</t>
  </si>
  <si>
    <t>1392-Q4</t>
  </si>
  <si>
    <t>1393-Q1</t>
  </si>
  <si>
    <t>1393-Q2</t>
  </si>
  <si>
    <t>1393-Q3</t>
  </si>
  <si>
    <t>1393-Q4</t>
  </si>
  <si>
    <t>1394-Q1</t>
  </si>
  <si>
    <t>1394-Q2</t>
  </si>
  <si>
    <t>1394-Q3</t>
  </si>
  <si>
    <t>1394-Q4</t>
  </si>
  <si>
    <t>1395-Q1</t>
  </si>
  <si>
    <t>1395-Q2</t>
  </si>
  <si>
    <t>1395-Q3</t>
  </si>
  <si>
    <t>1395-Q4</t>
  </si>
  <si>
    <t>1396-Q1</t>
  </si>
  <si>
    <t>1396-Q2</t>
  </si>
  <si>
    <t>1396-Q3</t>
  </si>
  <si>
    <t>1396-Q4</t>
  </si>
  <si>
    <t>1397-Q1</t>
  </si>
  <si>
    <t>1397-Q3</t>
  </si>
  <si>
    <t>1397-M04</t>
  </si>
  <si>
    <t>1397-Q4</t>
  </si>
  <si>
    <t>1397-M05</t>
  </si>
  <si>
    <t>1397-M06</t>
  </si>
  <si>
    <t>1398-Q1</t>
  </si>
  <si>
    <t>1398-Q2</t>
  </si>
  <si>
    <t>1398-Q3</t>
  </si>
  <si>
    <t>1398-Q4</t>
  </si>
  <si>
    <t>1399-Q1</t>
  </si>
  <si>
    <t>1399-Q3</t>
  </si>
  <si>
    <t>1399-M04</t>
  </si>
  <si>
    <t>1399-Q4</t>
  </si>
  <si>
    <t>1399-M05</t>
  </si>
  <si>
    <t>1399-M06</t>
  </si>
  <si>
    <t>1400-Q1</t>
  </si>
  <si>
    <t>1400-Q2</t>
  </si>
  <si>
    <t>1400-Q3</t>
  </si>
  <si>
    <t>1400-Q4</t>
  </si>
  <si>
    <t>1401-Q1</t>
  </si>
  <si>
    <t>1401-Q2</t>
  </si>
  <si>
    <t>1401-Q3</t>
  </si>
  <si>
    <t>1401-M10</t>
  </si>
  <si>
    <t>1401-M11</t>
  </si>
  <si>
    <t>1401-M12</t>
  </si>
  <si>
    <t>1402-Q1</t>
  </si>
  <si>
    <t>1402-Q2</t>
  </si>
  <si>
    <t>1402-Q3</t>
  </si>
  <si>
    <t>1402-Q4</t>
  </si>
  <si>
    <t>1403-Q1</t>
  </si>
  <si>
    <t>1403-Q2</t>
  </si>
  <si>
    <t>1403-Q3</t>
  </si>
  <si>
    <t>1403-M10</t>
  </si>
  <si>
    <t>1403-M11</t>
  </si>
  <si>
    <t>1403-M12</t>
  </si>
  <si>
    <t>ابخیزداری-1</t>
  </si>
  <si>
    <t>ابخیزداری-10</t>
  </si>
  <si>
    <t>ابخیزداری-11</t>
  </si>
  <si>
    <t>ابخیزداری-12</t>
  </si>
  <si>
    <t>ابخیزداری-13</t>
  </si>
  <si>
    <t>ابخیزداری-14</t>
  </si>
  <si>
    <t>ابخیزداری-15</t>
  </si>
  <si>
    <t>ابخیزداری-16</t>
  </si>
  <si>
    <t>ابخیزداری-19</t>
  </si>
  <si>
    <t>ابخیزداری-2</t>
  </si>
  <si>
    <t>ابخیزداری-20</t>
  </si>
  <si>
    <t>ابخیزداری-3</t>
  </si>
  <si>
    <t>ابخیزداری-4</t>
  </si>
  <si>
    <t>ابخیزداری-5</t>
  </si>
  <si>
    <t>ابخیزداری-6</t>
  </si>
  <si>
    <t>ابخیزداری-7</t>
  </si>
  <si>
    <t>ابخیزداری-8</t>
  </si>
  <si>
    <t>ابخیزداری-9</t>
  </si>
  <si>
    <t>ابنیه-1</t>
  </si>
  <si>
    <t>ابنیه-10</t>
  </si>
  <si>
    <t>ابنیه-11</t>
  </si>
  <si>
    <t>ابنیه-12</t>
  </si>
  <si>
    <t>ابنیه-13</t>
  </si>
  <si>
    <t>ابنیه-14</t>
  </si>
  <si>
    <t>ابنیه-15</t>
  </si>
  <si>
    <t>ابنیه-16</t>
  </si>
  <si>
    <t>ابنیه-17</t>
  </si>
  <si>
    <t>ابنیه-18</t>
  </si>
  <si>
    <t>ابنیه-19</t>
  </si>
  <si>
    <t>ابنیه-2</t>
  </si>
  <si>
    <t>ابنیه-20</t>
  </si>
  <si>
    <t>ابنیه-21</t>
  </si>
  <si>
    <t>ابنیه-22</t>
  </si>
  <si>
    <t>ابنیه-23</t>
  </si>
  <si>
    <t>ابنیه-24</t>
  </si>
  <si>
    <t>ابنیه-25</t>
  </si>
  <si>
    <t>ابنیه-26</t>
  </si>
  <si>
    <t>ابنیه-27</t>
  </si>
  <si>
    <t>ابنیه-28</t>
  </si>
  <si>
    <t>ابنیه-29</t>
  </si>
  <si>
    <t>ابنیه-3</t>
  </si>
  <si>
    <t>ابنیه-30</t>
  </si>
  <si>
    <t>ابنیه-4</t>
  </si>
  <si>
    <t>ابنیه-5</t>
  </si>
  <si>
    <t>ابنیه-6</t>
  </si>
  <si>
    <t>ابنیه-7</t>
  </si>
  <si>
    <t>ابنیه-8</t>
  </si>
  <si>
    <t>ابنیه-9</t>
  </si>
  <si>
    <t>انتقال اب-1</t>
  </si>
  <si>
    <t>انتقال اب-10</t>
  </si>
  <si>
    <t>انتقال اب-11</t>
  </si>
  <si>
    <t>انتقال اب-12</t>
  </si>
  <si>
    <t>انتقال اب-13</t>
  </si>
  <si>
    <t>انتقال اب-14</t>
  </si>
  <si>
    <t>انتقال اب-15</t>
  </si>
  <si>
    <t>انتقال اب-16</t>
  </si>
  <si>
    <t>انتقال اب-17</t>
  </si>
  <si>
    <t>انتقال اب-18</t>
  </si>
  <si>
    <t>انتقال اب-2</t>
  </si>
  <si>
    <t>انتقال اب-3</t>
  </si>
  <si>
    <t>انتقال اب-4</t>
  </si>
  <si>
    <t>انتقال اب-5</t>
  </si>
  <si>
    <t>انتقال اب-6</t>
  </si>
  <si>
    <t>انتقال اب-8</t>
  </si>
  <si>
    <t>انتقال اب-9</t>
  </si>
  <si>
    <t>برق-1</t>
  </si>
  <si>
    <t>برق-10</t>
  </si>
  <si>
    <t>برق-11</t>
  </si>
  <si>
    <t>برق-12</t>
  </si>
  <si>
    <t>برق-13</t>
  </si>
  <si>
    <t>برق-14</t>
  </si>
  <si>
    <t>برق-15</t>
  </si>
  <si>
    <t>برق-16</t>
  </si>
  <si>
    <t>برق-17</t>
  </si>
  <si>
    <t>برق-18</t>
  </si>
  <si>
    <t>برق-19</t>
  </si>
  <si>
    <t>برق-2</t>
  </si>
  <si>
    <t>برق-20</t>
  </si>
  <si>
    <t>برق-21</t>
  </si>
  <si>
    <t>برق-22</t>
  </si>
  <si>
    <t>برق-23</t>
  </si>
  <si>
    <t>برق-24</t>
  </si>
  <si>
    <t>برق-25</t>
  </si>
  <si>
    <t>برق-26</t>
  </si>
  <si>
    <t>برق-27</t>
  </si>
  <si>
    <t>برق-28</t>
  </si>
  <si>
    <t>برق-29</t>
  </si>
  <si>
    <t>برق-3</t>
  </si>
  <si>
    <t>برق-30</t>
  </si>
  <si>
    <t>برق-34</t>
  </si>
  <si>
    <t>برق-35</t>
  </si>
  <si>
    <t>برق-36</t>
  </si>
  <si>
    <t>برق-37</t>
  </si>
  <si>
    <t>برق-38</t>
  </si>
  <si>
    <t>برق-39</t>
  </si>
  <si>
    <t>برق-4</t>
  </si>
  <si>
    <t>برق-5</t>
  </si>
  <si>
    <t>برق-6</t>
  </si>
  <si>
    <t>برق-7</t>
  </si>
  <si>
    <t>برق-8</t>
  </si>
  <si>
    <t>برق-9</t>
  </si>
  <si>
    <t>تاسیسات آب شرب-1</t>
  </si>
  <si>
    <t>تاسیسات آب شرب-2</t>
  </si>
  <si>
    <t>تاسیسات آب شرب-3</t>
  </si>
  <si>
    <t>تاسیسات آب شرب-4</t>
  </si>
  <si>
    <t>تاسیسات آب شرب-5</t>
  </si>
  <si>
    <t>تاسیسات آب شرب-6</t>
  </si>
  <si>
    <t>تاسیسات آب شرب-7</t>
  </si>
  <si>
    <t>تاسیسات آب شرب-8</t>
  </si>
  <si>
    <t>تاسیسات آب شرب-9</t>
  </si>
  <si>
    <t>تجهیزات آب و فاضلاب-1</t>
  </si>
  <si>
    <t>تجهیزات آب و فاضلاب-10</t>
  </si>
  <si>
    <t>تجهیزات آب و فاضلاب-11</t>
  </si>
  <si>
    <t>تجهیزات آب و فاضلاب-12</t>
  </si>
  <si>
    <t>تجهیزات آب و فاضلاب-13</t>
  </si>
  <si>
    <t>تجهیزات آب و فاضلاب-14</t>
  </si>
  <si>
    <t>تجهیزات آب و فاضلاب-15</t>
  </si>
  <si>
    <t>تجهیزات آب و فاضلاب-16</t>
  </si>
  <si>
    <t>تجهیزات آب و فاضلاب-17</t>
  </si>
  <si>
    <t>تجهیزات آب و فاضلاب-18</t>
  </si>
  <si>
    <t>تجهیزات آب و فاضلاب-19</t>
  </si>
  <si>
    <t>تجهیزات آب و فاضلاب-2</t>
  </si>
  <si>
    <t>تجهیزات آب و فاضلاب-20</t>
  </si>
  <si>
    <t>تجهیزات آب و فاضلاب-21</t>
  </si>
  <si>
    <t>تجهیزات آب و فاضلاب-22</t>
  </si>
  <si>
    <t>تجهیزات آب و فاضلاب-23</t>
  </si>
  <si>
    <t>تجهیزات آب و فاضلاب-24</t>
  </si>
  <si>
    <t>تجهیزات آب و فاضلاب-25</t>
  </si>
  <si>
    <t>تجهیزات آب و فاضلاب-26</t>
  </si>
  <si>
    <t>تجهیزات آب و فاضلاب-27</t>
  </si>
  <si>
    <t>تجهیزات آب و فاضلاب-28</t>
  </si>
  <si>
    <t>تجهیزات آب و فاضلاب-3</t>
  </si>
  <si>
    <t>تجهیزات آب و فاضلاب-31</t>
  </si>
  <si>
    <t>تجهیزات آب و فاضلاب-32</t>
  </si>
  <si>
    <t>تجهیزات آب و فاضلاب-33</t>
  </si>
  <si>
    <t>تجهیزات آب و فاضلاب-34</t>
  </si>
  <si>
    <t>تجهیزات آب و فاضلاب-4</t>
  </si>
  <si>
    <t>تجهیزات آب و فاضلاب-5</t>
  </si>
  <si>
    <t>تجهیزات آب و فاضلاب-6</t>
  </si>
  <si>
    <t>تجهیزات آب و فاضلاب-7</t>
  </si>
  <si>
    <t>تجهیزات آب و فاضلاب-8</t>
  </si>
  <si>
    <t>تجهیزات آب و فاضلاب-9</t>
  </si>
  <si>
    <t>تحت فشار-1</t>
  </si>
  <si>
    <t>تحت فشار-10</t>
  </si>
  <si>
    <t>تحت فشار-11</t>
  </si>
  <si>
    <t>تحت فشار-12</t>
  </si>
  <si>
    <t>تحت فشار-13</t>
  </si>
  <si>
    <t>تحت فشار-2</t>
  </si>
  <si>
    <t>تحت فشار-3</t>
  </si>
  <si>
    <t>تحت فشار-4</t>
  </si>
  <si>
    <t>تحت فشار-5</t>
  </si>
  <si>
    <t>تحت فشار-6</t>
  </si>
  <si>
    <t>تحت فشار-7</t>
  </si>
  <si>
    <t>تحت فشار-8</t>
  </si>
  <si>
    <t>تحت فشار-9</t>
  </si>
  <si>
    <t>تعمیر شبکه فوق توزیع-1</t>
  </si>
  <si>
    <t>تعمیر شبکه فوق توزیع-10</t>
  </si>
  <si>
    <t>تعمیر شبکه فوق توزیع-11</t>
  </si>
  <si>
    <t>تعمیر شبکه فوق توزیع-12</t>
  </si>
  <si>
    <t>تعمیر شبکه فوق توزیع-2</t>
  </si>
  <si>
    <t>تعمیر شبکه فوق توزیع-3</t>
  </si>
  <si>
    <t>تعمیر شبکه فوق توزیع-4</t>
  </si>
  <si>
    <t>تعمیر شبکه فوق توزیع-5</t>
  </si>
  <si>
    <t>تعمیر شبکه فوق توزیع-6</t>
  </si>
  <si>
    <t>تعمیر شبکه فوق توزیع-7</t>
  </si>
  <si>
    <t>تعمیر شبکه فوق توزیع-8</t>
  </si>
  <si>
    <t>تعمیر-1</t>
  </si>
  <si>
    <t>تعمیر-2</t>
  </si>
  <si>
    <t>تعمیر-3</t>
  </si>
  <si>
    <t>تعمیر-4</t>
  </si>
  <si>
    <t>تعمیر-5</t>
  </si>
  <si>
    <t>توزیع اب روستایی-1</t>
  </si>
  <si>
    <t>توزیع اب روستایی-10</t>
  </si>
  <si>
    <t>توزیع اب روستایی-11</t>
  </si>
  <si>
    <t>توزیع اب روستایی-12</t>
  </si>
  <si>
    <t>توزیع اب روستایی-13</t>
  </si>
  <si>
    <t>توزیع اب روستایی-14</t>
  </si>
  <si>
    <t>توزیع اب روستایی-15</t>
  </si>
  <si>
    <t>توزیع اب روستایی-16</t>
  </si>
  <si>
    <t>توزیع اب روستایی-17</t>
  </si>
  <si>
    <t>توزیع اب روستایی-18</t>
  </si>
  <si>
    <t>توزیع اب روستایی-2</t>
  </si>
  <si>
    <t>توزیع اب روستایی-3</t>
  </si>
  <si>
    <t>توزیع اب روستایی-4</t>
  </si>
  <si>
    <t>توزیع اب روستایی-5</t>
  </si>
  <si>
    <t>توزیع اب روستایی-6</t>
  </si>
  <si>
    <t>توزیع اب روستایی-7</t>
  </si>
  <si>
    <t>توزیع اب روستایی-8</t>
  </si>
  <si>
    <t>توزیع اب روستایی-9</t>
  </si>
  <si>
    <t>توزیع نیروی برق-1</t>
  </si>
  <si>
    <t>توزیع نیروی برق-10</t>
  </si>
  <si>
    <t>توزیع نیروی برق-11</t>
  </si>
  <si>
    <t>توزیع نیروی برق-12</t>
  </si>
  <si>
    <t>توزیع نیروی برق-13</t>
  </si>
  <si>
    <t>توزیع نیروی برق-14</t>
  </si>
  <si>
    <t>توزیع نیروی برق-15</t>
  </si>
  <si>
    <t>توزیع نیروی برق-16</t>
  </si>
  <si>
    <t>توزیع نیروی برق-17</t>
  </si>
  <si>
    <t>توزیع نیروی برق-18</t>
  </si>
  <si>
    <t>توزیع نیروی برق-19</t>
  </si>
  <si>
    <t>توزیع نیروی برق-2</t>
  </si>
  <si>
    <t>توزیع نیروی برق-20</t>
  </si>
  <si>
    <t>توزیع نیروی برق-21</t>
  </si>
  <si>
    <t>توزیع نیروی برق-22</t>
  </si>
  <si>
    <t>توزیع نیروی برق-23</t>
  </si>
  <si>
    <t>توزیع نیروی برق-24</t>
  </si>
  <si>
    <t>توزیع نیروی برق-25</t>
  </si>
  <si>
    <t>توزیع نیروی برق-26</t>
  </si>
  <si>
    <t>توزیع نیروی برق-27</t>
  </si>
  <si>
    <t>توزیع نیروی برق-28</t>
  </si>
  <si>
    <t>توزیع نیروی برق-29</t>
  </si>
  <si>
    <t>توزیع نیروی برق-3</t>
  </si>
  <si>
    <t>توزیع نیروی برق-30</t>
  </si>
  <si>
    <t>توزیع نیروی برق-4</t>
  </si>
  <si>
    <t>توزیع نیروی برق-5</t>
  </si>
  <si>
    <t>توزیع نیروی برق-6</t>
  </si>
  <si>
    <t>توزیع نیروی برق-7</t>
  </si>
  <si>
    <t>توزیع نیروی برق-8</t>
  </si>
  <si>
    <t>توزیع نیروی برق-9</t>
  </si>
  <si>
    <t>حفاری-1</t>
  </si>
  <si>
    <t>حفاری-2</t>
  </si>
  <si>
    <t>حفاری-3</t>
  </si>
  <si>
    <t>حفاری-4</t>
  </si>
  <si>
    <t>حفاری-5</t>
  </si>
  <si>
    <t>خطوط زمینی-1</t>
  </si>
  <si>
    <t>خطوط زمینی-10</t>
  </si>
  <si>
    <t>خطوط زمینی-11</t>
  </si>
  <si>
    <t>خطوط زمینی-2</t>
  </si>
  <si>
    <t>خطوط زمینی-3</t>
  </si>
  <si>
    <t>خطوط زمینی-4</t>
  </si>
  <si>
    <t>خطوط زمینی-5</t>
  </si>
  <si>
    <t>خطوط زمینی-6</t>
  </si>
  <si>
    <t>خطوط زمینی-7</t>
  </si>
  <si>
    <t>خطوط زمینی-8</t>
  </si>
  <si>
    <t>خطوط زمینی-9</t>
  </si>
  <si>
    <t>خطوط هوایی-1</t>
  </si>
  <si>
    <t>خطوط هوایی-16</t>
  </si>
  <si>
    <t>خطوط هوایی-17</t>
  </si>
  <si>
    <t>خطوط هوایی-18</t>
  </si>
  <si>
    <t>خطوط هوایی-19</t>
  </si>
  <si>
    <t>خطوط هوایی-2</t>
  </si>
  <si>
    <t>خطوط هوایی-20</t>
  </si>
  <si>
    <t>خطوط هوایی-21</t>
  </si>
  <si>
    <t>خطوط هوایی-3</t>
  </si>
  <si>
    <t>خطوط هوایی-4</t>
  </si>
  <si>
    <t>خطوط هوایی-5</t>
  </si>
  <si>
    <t>خطوط هوایی-6</t>
  </si>
  <si>
    <t>خطوط هوایی-7</t>
  </si>
  <si>
    <t>خطوط هوایی-8</t>
  </si>
  <si>
    <t>خطوط هوایی-9</t>
  </si>
  <si>
    <t>راه-1</t>
  </si>
  <si>
    <t>راه-10</t>
  </si>
  <si>
    <t>راه-11</t>
  </si>
  <si>
    <t>راه-12</t>
  </si>
  <si>
    <t>راه-13</t>
  </si>
  <si>
    <t>راه-14</t>
  </si>
  <si>
    <t>راه-15</t>
  </si>
  <si>
    <t>راه-16</t>
  </si>
  <si>
    <t>راه-17</t>
  </si>
  <si>
    <t>راه-18</t>
  </si>
  <si>
    <t>راه-19</t>
  </si>
  <si>
    <t>راه-2</t>
  </si>
  <si>
    <t>راه-20</t>
  </si>
  <si>
    <t>راه-21</t>
  </si>
  <si>
    <t>راه-22</t>
  </si>
  <si>
    <t>راه-23</t>
  </si>
  <si>
    <t>راه-24</t>
  </si>
  <si>
    <t>راه-3</t>
  </si>
  <si>
    <t>راه-35</t>
  </si>
  <si>
    <t>راه-36</t>
  </si>
  <si>
    <t>راه-4</t>
  </si>
  <si>
    <t>راه-5</t>
  </si>
  <si>
    <t>راه-6</t>
  </si>
  <si>
    <t>راه-7</t>
  </si>
  <si>
    <t>راه-8</t>
  </si>
  <si>
    <t>راه-9</t>
  </si>
  <si>
    <t>راهداری-1</t>
  </si>
  <si>
    <t>راهداری-10</t>
  </si>
  <si>
    <t>راهداری-11</t>
  </si>
  <si>
    <t>راهداری-12</t>
  </si>
  <si>
    <t>راهداری-13</t>
  </si>
  <si>
    <t>راهداری-14</t>
  </si>
  <si>
    <t>راهداری-15</t>
  </si>
  <si>
    <t>راهداری-16</t>
  </si>
  <si>
    <t>راهداری-17</t>
  </si>
  <si>
    <t>راهداری-18</t>
  </si>
  <si>
    <t>راهداری-19</t>
  </si>
  <si>
    <t>راهداری-2</t>
  </si>
  <si>
    <t>راهداری-20</t>
  </si>
  <si>
    <t>راهداری-21</t>
  </si>
  <si>
    <t>راهداری-22</t>
  </si>
  <si>
    <t>راهداری-23</t>
  </si>
  <si>
    <t>راهداری-24</t>
  </si>
  <si>
    <t>راهداری-25</t>
  </si>
  <si>
    <t>راهداری-26</t>
  </si>
  <si>
    <t>راهداری-27</t>
  </si>
  <si>
    <t>راهداری-3</t>
  </si>
  <si>
    <t>راهداری-4</t>
  </si>
  <si>
    <t>راهداری-5</t>
  </si>
  <si>
    <t>راهداری-6</t>
  </si>
  <si>
    <t>راهداری-7</t>
  </si>
  <si>
    <t>راهداری-8</t>
  </si>
  <si>
    <t>راهداری-9</t>
  </si>
  <si>
    <t>زهکشی-1</t>
  </si>
  <si>
    <t>زهکشی-10</t>
  </si>
  <si>
    <t>زهکشی-11</t>
  </si>
  <si>
    <t>زهکشی-12</t>
  </si>
  <si>
    <t>زهکشی-13</t>
  </si>
  <si>
    <t>زهکشی-14</t>
  </si>
  <si>
    <t>زهکشی-15</t>
  </si>
  <si>
    <t>زهکشی-16</t>
  </si>
  <si>
    <t>زهکشی-17</t>
  </si>
  <si>
    <t>زهکشی-2</t>
  </si>
  <si>
    <t>زهکشی-3</t>
  </si>
  <si>
    <t>زهکشی-4</t>
  </si>
  <si>
    <t>زهکشی-5</t>
  </si>
  <si>
    <t>زهکشی-6</t>
  </si>
  <si>
    <t>زهکشی-7</t>
  </si>
  <si>
    <t>زهکشی-8</t>
  </si>
  <si>
    <t>زهکشی-9</t>
  </si>
  <si>
    <t>سد سازی-1</t>
  </si>
  <si>
    <t>سد سازی-10</t>
  </si>
  <si>
    <t>سد سازی-12</t>
  </si>
  <si>
    <t>سد سازی-13</t>
  </si>
  <si>
    <t>سد سازی-14</t>
  </si>
  <si>
    <t>سد سازی-15</t>
  </si>
  <si>
    <t>سد سازی-16</t>
  </si>
  <si>
    <t>سد سازی-2</t>
  </si>
  <si>
    <t>سد سازی-3</t>
  </si>
  <si>
    <t>سد سازی-4</t>
  </si>
  <si>
    <t>سد سازی-5</t>
  </si>
  <si>
    <t>سد سازی-6</t>
  </si>
  <si>
    <t>سد سازی-7</t>
  </si>
  <si>
    <t>سد سازی-8</t>
  </si>
  <si>
    <t>سد سازی-9</t>
  </si>
  <si>
    <t>شبکه توزیع آّب-1</t>
  </si>
  <si>
    <t>شبکه توزیع آّب-10</t>
  </si>
  <si>
    <t>شبکه توزیع آّب-11</t>
  </si>
  <si>
    <t>شبکه توزیع آّب-12</t>
  </si>
  <si>
    <t>شبکه توزیع آّب-13</t>
  </si>
  <si>
    <t>شبکه توزیع آّب-14</t>
  </si>
  <si>
    <t>شبکه توزیع آّب-2</t>
  </si>
  <si>
    <t>شبکه توزیع آّب-3</t>
  </si>
  <si>
    <t>شبکه توزیع آّب-4</t>
  </si>
  <si>
    <t>شبکه توزیع آّب-5</t>
  </si>
  <si>
    <t>شبکه توزیع آّب-6</t>
  </si>
  <si>
    <t>شبکه توزیع آّب-7</t>
  </si>
  <si>
    <t>شبکه توزیع آّب-8</t>
  </si>
  <si>
    <t>شبکه توزیع آّب-9</t>
  </si>
  <si>
    <t>فاضلاب-1</t>
  </si>
  <si>
    <t>فاضلاب-10</t>
  </si>
  <si>
    <t>فاضلاب-11</t>
  </si>
  <si>
    <t>فاضلاب-12</t>
  </si>
  <si>
    <t>فاضلاب-13</t>
  </si>
  <si>
    <t>فاضلاب-14</t>
  </si>
  <si>
    <t>فاضلاب-15</t>
  </si>
  <si>
    <t>فاضلاب-16</t>
  </si>
  <si>
    <t>فاضلاب-17</t>
  </si>
  <si>
    <t>فاضلاب-18</t>
  </si>
  <si>
    <t>فاضلاب-2</t>
  </si>
  <si>
    <t>فاضلاب-3</t>
  </si>
  <si>
    <t>فاضلاب-4</t>
  </si>
  <si>
    <t>فاضلاب-5</t>
  </si>
  <si>
    <t>فاضلاب-6</t>
  </si>
  <si>
    <t>فاضلاب-7</t>
  </si>
  <si>
    <t>فاضلاب-8</t>
  </si>
  <si>
    <t>فاضلاب-9</t>
  </si>
  <si>
    <t>فضای سبز-1</t>
  </si>
  <si>
    <t>فضای سبز-10</t>
  </si>
  <si>
    <t>فضای سبز-11</t>
  </si>
  <si>
    <t>فضای سبز-12</t>
  </si>
  <si>
    <t>فضای سبز-13</t>
  </si>
  <si>
    <t>فضای سبز-14</t>
  </si>
  <si>
    <t>فضای سبز-15</t>
  </si>
  <si>
    <t>فضای سبز-16</t>
  </si>
  <si>
    <t>فضای سبز-17</t>
  </si>
  <si>
    <t>فضای سبز-18</t>
  </si>
  <si>
    <t>فضای سبز-19</t>
  </si>
  <si>
    <t>فضای سبز-2</t>
  </si>
  <si>
    <t>فضای سبز-28</t>
  </si>
  <si>
    <t>فضای سبز-3</t>
  </si>
  <si>
    <t>فضای سبز-5</t>
  </si>
  <si>
    <t>فضای سبز-6</t>
  </si>
  <si>
    <t>فضای سبز-7</t>
  </si>
  <si>
    <t>فضای سبز-8</t>
  </si>
  <si>
    <t>فضای سبز-9</t>
  </si>
  <si>
    <t>قنات-1</t>
  </si>
  <si>
    <t>قنات-10</t>
  </si>
  <si>
    <t>قنات-11</t>
  </si>
  <si>
    <t>قنات-12</t>
  </si>
  <si>
    <t>قنات-2</t>
  </si>
  <si>
    <t>قنات-3</t>
  </si>
  <si>
    <t>قنات-4</t>
  </si>
  <si>
    <t>قنات-5</t>
  </si>
  <si>
    <t>قنات-6</t>
  </si>
  <si>
    <t>قنات-7</t>
  </si>
  <si>
    <t>قنات-8</t>
  </si>
  <si>
    <t>قنات-9</t>
  </si>
  <si>
    <t>مرمت-1</t>
  </si>
  <si>
    <t>مرمت-10</t>
  </si>
  <si>
    <t>مرمت-11</t>
  </si>
  <si>
    <t>مرمت-12</t>
  </si>
  <si>
    <t>مرمت-13</t>
  </si>
  <si>
    <t>مرمت-14</t>
  </si>
  <si>
    <t>مرمت-2</t>
  </si>
  <si>
    <t>مرمت-3</t>
  </si>
  <si>
    <t>مرمت-4</t>
  </si>
  <si>
    <t>مرمت-5</t>
  </si>
  <si>
    <t>مرمت-6</t>
  </si>
  <si>
    <t>مرمت-7</t>
  </si>
  <si>
    <t>مرمت-8</t>
  </si>
  <si>
    <t>مرمت-9</t>
  </si>
  <si>
    <t>مکانیک-1</t>
  </si>
  <si>
    <t>مکانیک-11</t>
  </si>
  <si>
    <t>مکانیک-12</t>
  </si>
  <si>
    <t>مکانیک-13</t>
  </si>
  <si>
    <t>مکانیک-14</t>
  </si>
  <si>
    <t>مکانیک-15</t>
  </si>
  <si>
    <t>مکانیک-16</t>
  </si>
  <si>
    <t>مکانیک-17</t>
  </si>
  <si>
    <t>مکانیک-18</t>
  </si>
  <si>
    <t>مکانیک-19</t>
  </si>
  <si>
    <t>مکانیک-2</t>
  </si>
  <si>
    <t>مکانیک-20</t>
  </si>
  <si>
    <t>مکانیک-21</t>
  </si>
  <si>
    <t>مکانیک-22</t>
  </si>
  <si>
    <t>مکانیک-23</t>
  </si>
  <si>
    <t>مکانیک-24</t>
  </si>
  <si>
    <t>مکانیک-25</t>
  </si>
  <si>
    <t>مکانیک-27</t>
  </si>
  <si>
    <t>مکانیک-28</t>
  </si>
  <si>
    <t>مکانیک-29</t>
  </si>
  <si>
    <t>مکانیک-3</t>
  </si>
  <si>
    <t>مکانیک-30</t>
  </si>
  <si>
    <t>مکانیک-31</t>
  </si>
  <si>
    <t>مکانیک-32</t>
  </si>
  <si>
    <t>مکانیک-33</t>
  </si>
  <si>
    <t>مکانیک-34</t>
  </si>
  <si>
    <t>مکانیک-35</t>
  </si>
  <si>
    <t>مکانیک-4</t>
  </si>
  <si>
    <t>مکانیک-5</t>
  </si>
  <si>
    <t>مکانیک-6</t>
  </si>
  <si>
    <t>مکانیک-7</t>
  </si>
  <si>
    <t>مکانیک-8</t>
  </si>
  <si>
    <t>مکانیک-9</t>
  </si>
  <si>
    <t>نگهداری شبکه فاضلاب-1</t>
  </si>
  <si>
    <t>نگهداری شبکه فاضلاب-2</t>
  </si>
  <si>
    <t>نگهداری شبکه فاضلاب-3</t>
  </si>
  <si>
    <t>نگهداری شبکه فاضلاب-4</t>
  </si>
  <si>
    <t>نگهداشت تجهیزات برقی فاضلاب-1</t>
  </si>
  <si>
    <t>نگهداشت تجهیزات برقی فاضلاب-2</t>
  </si>
  <si>
    <t>نگهداشت تجهیزات برقی فاضلاب-3</t>
  </si>
  <si>
    <t>پسماند-1</t>
  </si>
  <si>
    <t>پسماند-10</t>
  </si>
  <si>
    <t>پسماند-11</t>
  </si>
  <si>
    <t>پسماند-2</t>
  </si>
  <si>
    <t>پسماند-3</t>
  </si>
  <si>
    <t>پسماند-4</t>
  </si>
  <si>
    <t>پسماند-5</t>
  </si>
  <si>
    <t>پسماند-6</t>
  </si>
  <si>
    <t>پسماند-7</t>
  </si>
  <si>
    <t>پسماند-8</t>
  </si>
  <si>
    <t>پسماند-9</t>
  </si>
  <si>
    <t>چاه-1</t>
  </si>
  <si>
    <t>چاه-2</t>
  </si>
  <si>
    <t>چاه-3</t>
  </si>
  <si>
    <t>چاه-4</t>
  </si>
  <si>
    <t>چاه-5</t>
  </si>
  <si>
    <t>چاه-6</t>
  </si>
  <si>
    <t>چاه-7</t>
  </si>
  <si>
    <t>چاه-8</t>
  </si>
  <si>
    <t>چاه-9</t>
  </si>
  <si>
    <t>داشبورد محاسبگر هوشمند ضریب تعدیل ارزبری</t>
  </si>
  <si>
    <t>تنظیمات دوره</t>
  </si>
  <si>
    <t>تنظیمات ارزبری</t>
  </si>
  <si>
    <t>راهنما</t>
  </si>
  <si>
    <t>دوره مبنا:</t>
  </si>
  <si>
    <t>درصد ارزبری پیش‌فرض:</t>
  </si>
  <si>
    <t>(قابل تغییر در هر سطر)</t>
  </si>
  <si>
    <t>ستون‌های زردرنگ قابل ویرایش هستند. فصل‌ها را از لیست کشویی انتخاب کنید. مجموع وزن‌ها (ارزبری + فصول) باید ۱۰۰% شود. ضریب تعدیل خودکار محاسبه می‌شود.</t>
  </si>
  <si>
    <t>دوره جاری:</t>
  </si>
  <si>
    <t>نرخ ارز مبنا:</t>
  </si>
  <si>
    <t>نرخ ارز جاری:</t>
  </si>
  <si>
    <t>مشخصات تجهیز</t>
  </si>
  <si>
    <t>ارزبری</t>
  </si>
  <si>
    <t>ریالی</t>
  </si>
  <si>
    <t>فصل ریالی ۱</t>
  </si>
  <si>
    <t>فصل ریالی ۲</t>
  </si>
  <si>
    <t>فصل ریالی ۳</t>
  </si>
  <si>
    <t>نتیجه</t>
  </si>
  <si>
    <t>ردیف</t>
  </si>
  <si>
    <t>شرح تجهیز</t>
  </si>
  <si>
    <t>وزن ارز %</t>
  </si>
  <si>
    <t>وزن ریال %</t>
  </si>
  <si>
    <t>کلید فصل ۱</t>
  </si>
  <si>
    <t>وزن %</t>
  </si>
  <si>
    <t>شاخص مبنا</t>
  </si>
  <si>
    <t>شاخص جاری</t>
  </si>
  <si>
    <t>نسبت×وزن</t>
  </si>
  <si>
    <t>کلید فصل ۲</t>
  </si>
  <si>
    <t>کلید فصل ۳</t>
  </si>
  <si>
    <t>ضریب ریالی</t>
  </si>
  <si>
    <t>ضریب ارزی</t>
  </si>
  <si>
    <t>ضریب تعدیل کل</t>
  </si>
  <si>
    <t>پمپ های سانتریفوژ</t>
  </si>
  <si>
    <t>پمپ های مستغرق</t>
  </si>
  <si>
    <t>پمپ های ارشمیدس (اسکروپمپ)</t>
  </si>
  <si>
    <t>دریچه دستی فولادی با پوشش</t>
  </si>
  <si>
    <t>دریچه فولادی با پوشش مجهز به محرک برقی و یا بادی</t>
  </si>
  <si>
    <t>دریچه فولاد ضد زنگ دستی</t>
  </si>
  <si>
    <t>دریچه فولادی ضد زنگ با محرک برقی و یا بادی</t>
  </si>
  <si>
    <t>آشغالگیر دستی فولادی با پوشش</t>
  </si>
  <si>
    <t>آشغالگیر دستی فولاد ضد زنگ</t>
  </si>
  <si>
    <t>سبد آشغالگیری فولادی با پوشش</t>
  </si>
  <si>
    <t>سبد آشغالگیر فولاد ضد زنگ</t>
  </si>
  <si>
    <t>آشغالگیر مکانیکی - فولادی با پوشش</t>
  </si>
  <si>
    <t>آشغالگیر مکانیکی فولاد ضد زنگ</t>
  </si>
  <si>
    <t>نقاله های حلزونی، فشرده سازی آشغال، کلاسیفایر- فولاد گالوانیزه</t>
  </si>
  <si>
    <t>نقاله های حلزونی، فشرده سازی آشغال، کلاسیفایر- فولاد ضد زنگ</t>
  </si>
  <si>
    <t>تسمه نقاله، سازه فولادی، تسمه نقاله با سازه فولاد پوشش دار</t>
  </si>
  <si>
    <t>تسمه نقاله، سازه فولادی، تسمه نقاله با سازه فولاد ضد زنگ</t>
  </si>
  <si>
    <t>کانتینر و ترولی حمل دانه و آشغال - فولادی با پوشش</t>
  </si>
  <si>
    <t>کانیتر و ترولی حمل دانه و آشغال - فولاد ضد زنگ</t>
  </si>
  <si>
    <t>ترولی آشغال - پلی اتیلن</t>
  </si>
  <si>
    <t>جرثقیل دستی 4 حرکته مونوریل</t>
  </si>
  <si>
    <t>جرثقیل برقی 4 حرکته مونوریل</t>
  </si>
  <si>
    <t>جرثقیل برقی 6 حرکته</t>
  </si>
  <si>
    <t>لجن روب ها، دانه روب تمام فولادی پوشش دار</t>
  </si>
  <si>
    <t>لجن روب ها، دانه روب ها بخش مستغرق از فولاد ضد زنگ</t>
  </si>
  <si>
    <t>لجن روب چرخ زنجیری</t>
  </si>
  <si>
    <t>کانال پارشال فلوم فولادی پوشش دار</t>
  </si>
  <si>
    <t>کانال پارشال فلوم فایبرگلاس</t>
  </si>
  <si>
    <t>کانال پارشال فلوم فولاد ضد زنگ</t>
  </si>
  <si>
    <t>صفحات سرریز و مانع کف، سبد جمع آوری کف فولادی پوشش دار</t>
  </si>
  <si>
    <t>صفحات سرریز و مانع کف، سبد جمع آوری کف فولاد ضد زنگ</t>
  </si>
  <si>
    <t>صفحات سرریز و مانع کف آلومینیوم</t>
  </si>
  <si>
    <t>صفحات سرریز و مانع کف پلیمری</t>
  </si>
  <si>
    <t>پمپ ایرلیفت فولادی پوشش دار</t>
  </si>
  <si>
    <t>پمپ ایرلیفت فولاد ضد زنگ</t>
  </si>
  <si>
    <t>شیر تلسکوپی دستی - فولادی پوشش دار</t>
  </si>
  <si>
    <t>شیر تلسکوپی با محرک برقی - فولادی پوشش دار</t>
  </si>
  <si>
    <t>شیر تلسکوپی دستی - فولاد ضد زنگ</t>
  </si>
  <si>
    <t>شیر تلسکوپی با محرک برقی - فولاد ضد زنگ</t>
  </si>
  <si>
    <t>دکانتر اس بی آر از جنس فولاد ضد زنگ</t>
  </si>
  <si>
    <t>همزن استاتیکی فولادی پوشش دار</t>
  </si>
  <si>
    <t>همزن استاتیکی پلیمری</t>
  </si>
  <si>
    <t>همزن استاتیکی فولاد ضد زنگ</t>
  </si>
  <si>
    <t>همزن پروانه ای فولادی با پوشش</t>
  </si>
  <si>
    <t>همزن پروانه ای فولاد ضد زنگ</t>
  </si>
  <si>
    <t>همزن پارویی فولادی با پوشش</t>
  </si>
  <si>
    <t>همزن پارویی فولاد ضد زنگ</t>
  </si>
  <si>
    <t>همزن پارویی شفت فولاد ضد زنگ و پره های پلیمری و یا چوبی</t>
  </si>
  <si>
    <t>همزن های مستغرق با پروانه فولاد ضد زنگ</t>
  </si>
  <si>
    <t>پکیج آماده سازی مواد شیمیایی با سازه فولادی - مخزن پلیمری - همزن فولاد ضد زنگ</t>
  </si>
  <si>
    <t>پکیج آماده سازی مواد شیمیایی - تمام فولاد ضد زنگ</t>
  </si>
  <si>
    <t>سیلوها و مخازن و برجهای فولادی پوشش دار</t>
  </si>
  <si>
    <t>سیلوها و مخازن و برجهای پلیمری</t>
  </si>
  <si>
    <t>سیلوها و مخازن و برجهای فولاد ضد زنگ</t>
  </si>
  <si>
    <t>هواده سطحی دور کند، نصب ثابت فولادی پوشش دار</t>
  </si>
  <si>
    <t>هواده سطحی دور کند نصب شناور - فولادی پوشش دار</t>
  </si>
  <si>
    <t>هواده سطحی دور تند نصب ثابت</t>
  </si>
  <si>
    <t>هواده سطحی دور تند با شناور فولاد ضد زنگ</t>
  </si>
  <si>
    <t>بلوئرهای جابجایی مثبت بدون پوشش اکوستیک</t>
  </si>
  <si>
    <t>بلوئرهای جابجایی مثبت با پوشش اکوستیک</t>
  </si>
  <si>
    <t>بلوئرهای توربو با بیرینگ هوایی یا مگنتی</t>
  </si>
  <si>
    <t>بلوئرهای توربو سانتریفوژ</t>
  </si>
  <si>
    <t>کمپرسور همراه با مخزن ذخیره</t>
  </si>
  <si>
    <t>دیفیوزر حباب درشت - پلیمری</t>
  </si>
  <si>
    <t>دیفیوزر حباب درشت فولاد ضد زنگ</t>
  </si>
  <si>
    <t>دیفیوزر حباب ریز</t>
  </si>
  <si>
    <t>لوله های فولاد ضد زنگ</t>
  </si>
  <si>
    <t>لوله های فولادی با پوشش</t>
  </si>
  <si>
    <t>لوله های پلیمری</t>
  </si>
  <si>
    <t>لوله های فایبرگلاس</t>
  </si>
  <si>
    <t>لوله های مسی</t>
  </si>
  <si>
    <t>فیدرهای تزریق مواد شیمیایی از نوع دیافراگمی</t>
  </si>
  <si>
    <t>فیدرهای تزریق مواد شیمیایی از نوع سانتریفوژ</t>
  </si>
  <si>
    <t>شیرآلات و اتصالات پلیمری</t>
  </si>
  <si>
    <t>شیرآلات چدنی و فولادی با عملگر دستی</t>
  </si>
  <si>
    <t>شیرآلات چدنی و فولادی با عملگر برقی یا بادی</t>
  </si>
  <si>
    <t>روتامتر - منبع انبساط - شیراطمینان و دمپرهای نوسان گیر فیدرهای تزریق</t>
  </si>
  <si>
    <t>پمپ های تزریق از نوع جابجایی مثبت</t>
  </si>
  <si>
    <t>مدیا پلاستیکی و صفحات و ورقهای پلیمری</t>
  </si>
  <si>
    <t>تجهیزات کلرزنی، تزریق کننده گاز، رگولاتور خلاء، انژکتور، تراپ مایع، تعویض کننده</t>
  </si>
  <si>
    <t>مخازن کلر و نیتروژن</t>
  </si>
  <si>
    <t>اسکرابر خنثی سازی گاز کلر</t>
  </si>
  <si>
    <t>اواپراتور کلر</t>
  </si>
  <si>
    <t>ژنراتور الکترولیز نمک طعام</t>
  </si>
  <si>
    <t>ژنراتور ازن</t>
  </si>
  <si>
    <t>پکیج ضد عفونی توسط اشعه ماوراء بنفش</t>
  </si>
  <si>
    <t>دوش و چشم شور</t>
  </si>
  <si>
    <t>لوازم حفاظت فردی</t>
  </si>
  <si>
    <t>آبگیری لجن نوع فیلترپرس</t>
  </si>
  <si>
    <t>آبگیری لجن نوع بلت فیلتر پرس</t>
  </si>
  <si>
    <t>آبگیری لجن نوع سانتریفوژ</t>
  </si>
  <si>
    <t>آبگیری لجن نوع اسکروپرس</t>
  </si>
  <si>
    <t>تغلیظ لجن نوع بلت</t>
  </si>
  <si>
    <t>نازل فیلتر</t>
  </si>
  <si>
    <t>شن سیلیسی</t>
  </si>
  <si>
    <t>آنتراسیت</t>
  </si>
  <si>
    <t>رزین آنیونی ، کاتیونی</t>
  </si>
  <si>
    <t>سیفون و پارشالیزیشن باکس</t>
  </si>
  <si>
    <t>فیلتر شنی، فیلتر سرامیکی، دریچه بازدید، پنجره بازدید، تراپ گاز، تراپ کف، شعله گیر</t>
  </si>
  <si>
    <t>دیگ آبگرم</t>
  </si>
  <si>
    <t>مبدل حرارتی نوع فولاد ضد زنگ</t>
  </si>
  <si>
    <t>مشعل دو گانه سوز دیگ</t>
  </si>
  <si>
    <t>مخزن نگهداری بیوگاز</t>
  </si>
  <si>
    <t>مشعل بیوگاز</t>
  </si>
  <si>
    <t>پکیج سولفور زدایی</t>
  </si>
  <si>
    <t>پکیج CHP</t>
  </si>
  <si>
    <t>میکرواسترینر</t>
  </si>
  <si>
    <t>میکروفیلتر</t>
  </si>
  <si>
    <t>فیلتر کارتریج</t>
  </si>
  <si>
    <t>ممبران RO, NF,UF</t>
  </si>
  <si>
    <t>پکیج MBR</t>
  </si>
  <si>
    <t>آنالایزرهای کمی و کیفی فاضلاب</t>
  </si>
  <si>
    <t>پکیج حذف بو</t>
  </si>
  <si>
    <t>فن سانتریفوژ - ساید چنل - دمپر</t>
  </si>
  <si>
    <t>تجهیزات آزمایشگاهی - شیشه آلات شیمیایی</t>
  </si>
  <si>
    <t>مواد شیمیایی</t>
  </si>
  <si>
    <t>کابینت آزمایشگاهی</t>
  </si>
  <si>
    <t>ابزارآلات مکانیکی</t>
  </si>
  <si>
    <t>ابزارآلات برقی</t>
  </si>
  <si>
    <t>ماشین آلات بهره برداری</t>
  </si>
  <si>
    <t>قطعات مدفون در بتن فولادی پوشش دار</t>
  </si>
  <si>
    <t>قطعات مدفون در بتن فولاد ضد زنگ</t>
  </si>
  <si>
    <t>قطعات مدفون در بتن پلیمری</t>
  </si>
  <si>
    <t>کنترل جمع وزن‌ها:</t>
  </si>
  <si>
    <t>مجموع وزن‌ها باید دقیقاً ۱ (۱۰۰%) شود</t>
  </si>
  <si>
    <t>خلاصه آماری</t>
  </si>
  <si>
    <t>میانگین ضریب تعدیل کل:</t>
  </si>
  <si>
    <t>حداکثر ضریب:</t>
  </si>
  <si>
    <t>حداقل ضریب:</t>
  </si>
  <si>
    <t>تعداد تجهیزات فعال:</t>
  </si>
  <si>
    <t>محاسبه گر هوشمند ارزبری</t>
  </si>
  <si>
    <t>دوره مبنا (Base):</t>
  </si>
  <si>
    <t>دوره جاری (Target):</t>
  </si>
  <si>
    <t>شرح ردیف</t>
  </si>
  <si>
    <t>فصل 1</t>
  </si>
  <si>
    <t>فصل 2</t>
  </si>
  <si>
    <t>فصل 3</t>
  </si>
  <si>
    <t>فصل 24 مکانیک</t>
  </si>
  <si>
    <t xml:space="preserve">پمپ های ارشمیدس (اسکروپمپ) </t>
  </si>
  <si>
    <t>فصل 16 ابنیه</t>
  </si>
  <si>
    <t>فصل 7 مکانیک</t>
  </si>
  <si>
    <t xml:space="preserve">دریچه فولادی با پوشش مجهز به  محرک برقی و یا بادی </t>
  </si>
  <si>
    <t xml:space="preserve">دریچه فولاد ضد زنگ دستی </t>
  </si>
  <si>
    <t xml:space="preserve">دریچه فولادی ضد زنگ با محرک برقی و یا بادی </t>
  </si>
  <si>
    <t xml:space="preserve">آشغالگیر دستی فولاد ضد زنگ </t>
  </si>
  <si>
    <t xml:space="preserve">سبد آشغالگیر فولاد ضد زنگ </t>
  </si>
  <si>
    <t xml:space="preserve">آشغالگیر مکانیکی فولاد ضد زنگ </t>
  </si>
  <si>
    <t xml:space="preserve">نقاله های حلزونی، فشرده سازی آشغال، کلاسیفایر- فولاد  گالوانیزه  </t>
  </si>
  <si>
    <t xml:space="preserve">تسمه نقاله، سازه فولادی، تسمه نقاله با سازه فولاد پوشش دار  </t>
  </si>
  <si>
    <t xml:space="preserve">تسمه نقاله، سازه فولادی، تسمه نقاله با سازه فولاد ضد زنگ </t>
  </si>
  <si>
    <t xml:space="preserve">کانیتر و ترولی حمل دانه و آشغال - فولاد ضد زنگ </t>
  </si>
  <si>
    <t xml:space="preserve">ترولی آشغال - پلی اتیلن </t>
  </si>
  <si>
    <t>فصل 23 ابنیه</t>
  </si>
  <si>
    <t xml:space="preserve">جرثقیل برقی 6 حرکته </t>
  </si>
  <si>
    <t xml:space="preserve">لجن روب ها، دانه روب تمام فولادی پوشش دار </t>
  </si>
  <si>
    <t xml:space="preserve">لجن روب ها، دانه روب ها بخش مستغرق از فولاد ضد زنگ </t>
  </si>
  <si>
    <t xml:space="preserve">لجن روب چرخ زنجیری </t>
  </si>
  <si>
    <t xml:space="preserve">کانال پارشال فلوم فولادی پوشش دار </t>
  </si>
  <si>
    <t xml:space="preserve">کانال پارشال فلوم فولاد ضد زنگ </t>
  </si>
  <si>
    <t xml:space="preserve">صفحات سرریز و مانع کف، سبد جمع آوری کف فولادی پوشش دار </t>
  </si>
  <si>
    <t xml:space="preserve">صفحات سرریز و مانع کف، سبد جمع آوری کف فولاد ضد زنگ </t>
  </si>
  <si>
    <t xml:space="preserve">صفحات سرریز و مانع کف آلومینیوم  </t>
  </si>
  <si>
    <t>فصل 17 ابنیه</t>
  </si>
  <si>
    <t xml:space="preserve">صفحات سرریز و مانع کف پلیمری  </t>
  </si>
  <si>
    <t xml:space="preserve">پمپ ایرلیفت فولادی پوشش دار </t>
  </si>
  <si>
    <t>فصل1 مکانیک</t>
  </si>
  <si>
    <t xml:space="preserve">پمپ ایرلیفت فولاد ضد زنگ </t>
  </si>
  <si>
    <t xml:space="preserve">دکانتر اس بی آر از جنس فولاد ضد زنگ </t>
  </si>
  <si>
    <t>فصل16ابنیه</t>
  </si>
  <si>
    <t xml:space="preserve">همزن استاتیکی فولادی پوشش دار </t>
  </si>
  <si>
    <t>فصل 1 مکانیک</t>
  </si>
  <si>
    <t xml:space="preserve">همزن استاتیکی فولاد ضد زنگ </t>
  </si>
  <si>
    <t xml:space="preserve">همزن پروانه ای فولادی با پوشش </t>
  </si>
  <si>
    <t xml:space="preserve">همزن پروانه ای فولاد ضد زنگ </t>
  </si>
  <si>
    <t>فصل 24مکانیک</t>
  </si>
  <si>
    <t xml:space="preserve">همزن پارویی فولاد ضد زنگ </t>
  </si>
  <si>
    <t xml:space="preserve">همزن های مستغرق با پروانه فولاد ضد زنگ </t>
  </si>
  <si>
    <t xml:space="preserve">پکیج آماده سازی مواد شیمیایی با سازه فولادی - مخزن پلیمری - همزن فولاد ضد زنگ </t>
  </si>
  <si>
    <t xml:space="preserve">پکیج آماده سازی مواد شیمیایی - تمام فولاد ضد زنگ </t>
  </si>
  <si>
    <t xml:space="preserve">سیلوها و مخازن و برجهای فولادی پوشش دار </t>
  </si>
  <si>
    <t>فصل 33 مکانیک</t>
  </si>
  <si>
    <t>فصل 28مکانیک</t>
  </si>
  <si>
    <t xml:space="preserve">سیلوها و مخازن و برجهای فولاد ضد زنگ </t>
  </si>
  <si>
    <t xml:space="preserve">هواده سطحی دور کند، نصب ثابت فولادی پوشش دار </t>
  </si>
  <si>
    <t xml:space="preserve">هواده سطحی دور کند نصب شناور - فولادی پوشش دار </t>
  </si>
  <si>
    <t xml:space="preserve">هواده سطحی دور تند نصب ثابت </t>
  </si>
  <si>
    <t xml:space="preserve">هواده سطحی دور تند با شناور فولاد ضد زنگ </t>
  </si>
  <si>
    <t xml:space="preserve">بلوئرهای جابجایی مثبت بدون پوشش اکوستیک </t>
  </si>
  <si>
    <t xml:space="preserve">بلوئرهای جابجایی مثبت با پوشش اکوستیک </t>
  </si>
  <si>
    <t xml:space="preserve">بلوئرهای توربو با بیرینگ هوایی یا مگنتی </t>
  </si>
  <si>
    <t xml:space="preserve">کمپرسور همراه با مخزن ذخیره </t>
  </si>
  <si>
    <t xml:space="preserve">دیفیوزر حباب درشت فولاد ضد زنگ </t>
  </si>
  <si>
    <t xml:space="preserve">لوله های فولاد ضد زنگ </t>
  </si>
  <si>
    <t>فصل 3 مکانیک</t>
  </si>
  <si>
    <t xml:space="preserve">لوله های فایبرگلاس </t>
  </si>
  <si>
    <t>فصل 13 شبکه</t>
  </si>
  <si>
    <t>N/A</t>
  </si>
  <si>
    <t>-</t>
  </si>
  <si>
    <t xml:space="preserve">لوله های مسی </t>
  </si>
  <si>
    <t>فصل 6 مکانیک</t>
  </si>
  <si>
    <t xml:space="preserve">فیدرهای تزریق مواد شیمیایی از نوع دیافراگمی </t>
  </si>
  <si>
    <t xml:space="preserve">شیرآلات و اتصالات پلیمری </t>
  </si>
  <si>
    <t xml:space="preserve">روتامتر - منبع انبساط - شیراطمینان و دمپرهای نوسان گیر فیدرهای تزریق </t>
  </si>
  <si>
    <t xml:space="preserve">پمپ های تزریق از نوع جابجایی مثبت </t>
  </si>
  <si>
    <t xml:space="preserve">تجهیزات کلرزنی، تزریق کننده گاز، رگولاتور خلاء، انژکتور، انژکتور ، تراپ مایع، تعویض کننده </t>
  </si>
  <si>
    <t xml:space="preserve">مخازن کلر و نیتروژن </t>
  </si>
  <si>
    <t>فصل 28 مکانیک</t>
  </si>
  <si>
    <t>فصل4 مکانیک</t>
  </si>
  <si>
    <t>فصل 13 مکانیک</t>
  </si>
  <si>
    <t xml:space="preserve">ژنراتور الکترولیز نمک طعام </t>
  </si>
  <si>
    <t>فصل 18 برق</t>
  </si>
  <si>
    <t xml:space="preserve">پکیج ضد عفونی توسط اشعه ماوراء بنفش </t>
  </si>
  <si>
    <t xml:space="preserve">دوش و چشم شور </t>
  </si>
  <si>
    <t>فصل 30 مکانیک</t>
  </si>
  <si>
    <t xml:space="preserve">لوازم حفاظت فردی </t>
  </si>
  <si>
    <t>رشته ای مکانیک</t>
  </si>
  <si>
    <t xml:space="preserve">آبگیری لجن نوع فیلترپرس </t>
  </si>
  <si>
    <t xml:space="preserve">آبگیری لجن نوع بلت فیلتر پرس </t>
  </si>
  <si>
    <t xml:space="preserve">تغلیظ لجن نوع بلت </t>
  </si>
  <si>
    <t>فصل 4 ابنیه</t>
  </si>
  <si>
    <t xml:space="preserve">آنتراسیت </t>
  </si>
  <si>
    <t xml:space="preserve">رزین آنیونی ، کاتیونی </t>
  </si>
  <si>
    <t xml:space="preserve">سیفون و پارشالیزیشن باکس </t>
  </si>
  <si>
    <t xml:space="preserve">فیلتر شنی، فیلتر سرامیکی، دریچه بازدید، پنجره بازدید، تراپ گاز، تراپ کف، شعله گیر، تراپ مایع کندانس ، کلاهک گاز هاضم های بیهوازی لجن </t>
  </si>
  <si>
    <t xml:space="preserve">دیگ آبگرم </t>
  </si>
  <si>
    <t>فصل 12 مکانیک</t>
  </si>
  <si>
    <t xml:space="preserve">مبدل حرارتی نوع فولاد ضد زنگ </t>
  </si>
  <si>
    <t xml:space="preserve"> مشعل دو گانه سوز دیگ</t>
  </si>
  <si>
    <t>فصل 14 مکانیک</t>
  </si>
  <si>
    <t xml:space="preserve">مخزن نگهداری بیوگاز </t>
  </si>
  <si>
    <t xml:space="preserve">مشعل بیوگاز </t>
  </si>
  <si>
    <t>فصل 21 مکانیک</t>
  </si>
  <si>
    <t xml:space="preserve">آنالایزرهای کمی و کیفی فاضلاب </t>
  </si>
  <si>
    <t xml:space="preserve">پکیج حذف بو </t>
  </si>
  <si>
    <t>فصل 4 مکانیک</t>
  </si>
  <si>
    <t>فصل 20 مکانیک</t>
  </si>
  <si>
    <t>کابینت  آزمایشگاهی</t>
  </si>
  <si>
    <t>فصل 19 ابنیه</t>
  </si>
  <si>
    <t xml:space="preserve">ابزارآلات مکانیکی </t>
  </si>
  <si>
    <t xml:space="preserve">ماشین آلات بهره برداری </t>
  </si>
  <si>
    <t xml:space="preserve">قطعات مدفون در بتن فولاد ضد زنگ  </t>
  </si>
  <si>
    <t>فصل4 شبکه</t>
  </si>
  <si>
    <t>Turn #</t>
  </si>
  <si>
    <t>Date</t>
  </si>
  <si>
    <t>User Request</t>
  </si>
  <si>
    <t>Action Taken</t>
  </si>
  <si>
    <t>Details</t>
  </si>
  <si>
    <t>Outcome</t>
  </si>
  <si>
    <t>User sent an unclear/garbled message in Farsi while on the 'کارهای فلزی' sheet with G28:H29 selected.</t>
  </si>
  <si>
    <t>Asked user to clarify their request. Created Claude Log sheet.</t>
  </si>
  <si>
    <t>The message appeared to be corrupted or auto-corrected text. No changes made to any data sheets.</t>
  </si>
  <si>
    <t>Awaiting user clarification on what they need help with.</t>
  </si>
  <si>
    <t>User asked to visually enhance the Claude Log sheet.</t>
  </si>
  <si>
    <t>Applied professional visual formatting to the Claude Log sheet.</t>
  </si>
  <si>
    <t>Dark blue header (#1F4E79) with white text, alternating row colors (light blue #D6E4F0 / white), Calibri font, text wrapping, frozen header row, outer border, proper column widths.</t>
  </si>
  <si>
    <t>Claude Log sheet is now professionally styled and ready for ongoing use.</t>
  </si>
  <si>
    <t>User requested visual enhancement of ALL sheets in the workbook — fonts, cell sizing, readability — without changing any formulas.</t>
  </si>
  <si>
    <t>Applied comprehensive visual formatting to all 18 data sheets (excluding Claude Log, Sheet1, Sheet4).</t>
  </si>
  <si>
    <t>7-step process: (1) Base font B Mitra + RTL alignment, (2) Thousand separator number format, (3) Header rows styled dark blue #1F4E79 + medium blue #2E75B6, (4) Alternating row colors #D6E4F0/white, (5) Column widths optimized (A=85, B=280, C=65, D+=110), (6) Row heights + alignment per column type, (7) Frozen top 2 rows + border polish. All formulas verified intact.</t>
  </si>
  <si>
    <t>All 18 sheets now have consistent professional styling. Formulas unchanged. Verified on پمپ، همزن، کارهای فلزی.</t>
  </si>
  <si>
    <t>User noted column B row heights are too small for the long description text across all sheets.</t>
  </si>
  <si>
    <t>Applied autofitRows() on column B data ranges across all 18 sheets.</t>
  </si>
  <si>
    <t>Used Excel's autofitRows on column B for each sheet. Heights now vary by text length: ~38pt (short), ~51pt (medium), ~76-89pt (long descriptions). Verified on هواده, پمپ, آشغالگیر, بلوئر.</t>
  </si>
  <si>
    <t>All data rows now properly display full description text without clipping.</t>
  </si>
  <si>
    <t>پمپ ایران</t>
  </si>
  <si>
    <t>فرجام صنعت ابتکار</t>
  </si>
  <si>
    <t>کد عامل</t>
  </si>
  <si>
    <t>شرح عامل</t>
  </si>
  <si>
    <t>واحد اندازه گيري</t>
  </si>
  <si>
    <t>اسفند ماه 1401</t>
  </si>
  <si>
    <t>سه ماهه سوم سال 1402</t>
  </si>
  <si>
    <t>سه ماهه چهارم سال 1402</t>
  </si>
  <si>
    <t>سه ماهه چهارم 1400 -فهرست</t>
  </si>
  <si>
    <t>سه ماهه چهارم 1400</t>
  </si>
  <si>
    <t>سه ماهه سوم 1401</t>
  </si>
  <si>
    <t>سه ماهه چهارم 1401</t>
  </si>
  <si>
    <t>درصد رشد</t>
  </si>
  <si>
    <t>32280801</t>
  </si>
  <si>
    <t>پمپ گریز از مرکز مستغرق به سایز اسمی 250-40 با جنس پروانه GG25 ، جنس پوسته GG25 بدون پوشش داخلی ، شافت از جنس SS ، ویرینگ از جنس SS، پروانه از نوع SINGLE ،دارای مکانیکال سیل از نوع SINGLE و دارای سنسور دما و رطوبت</t>
  </si>
  <si>
    <t>دستگاه</t>
  </si>
  <si>
    <t>32280802</t>
  </si>
  <si>
    <t>پمپ گریز از مرکز مستغرق به سایز اسمی 150-50 با جنس پروانه GG25 ، جنس پوسته GG25 بدون پوشش داخلی ، شافت از جنس SS ، ویرینگ از جنس SS، پروانه از نوع SINGLE ،دارای مکانیکال سیل از نوع SINGLE و دارای سنسور دما و رطوبت</t>
  </si>
  <si>
    <t>32280803</t>
  </si>
  <si>
    <t>پمپ گریز از مرکز مستغرق به سایز اسمی 160-50 با جنس پروانه GG25 ، جنس پوسته GG25 بدون پوشش داخلی ، شافت از جنس SS ، ویرینگ از جنس SS، پروانه از نوع SINGLE ،دارای مکانیکال سیل از نوع SINGLE و دارای سنسور دما و رطوبت</t>
  </si>
  <si>
    <t>32280804</t>
  </si>
  <si>
    <t>پمپ گریز از مرکز مستغرق به سایز اسمی 170-50 با جنس پروانه GG25 ، جنس پوسته GG25 بدون پوشش داخلی ، شافت از جنس SS ، ویرینگ از جنس SS، پروانه از نوع SINGLE ،دارای مکانیکال سیل از نوع SINGLE و دارای سنسور دما و رطوبت</t>
  </si>
  <si>
    <t>32280805</t>
  </si>
  <si>
    <t>پمپ گریز از مرکز مستغرق به سایز اسمی 210-80 با جنس پروانه GG25 ، جنس پوسته GG25 بدون پوشش داخلی ، شافت از جنس SS ، ویرینگ از جنس SS، پروانه از نوع SINGLE ،دارای مکانیکال سیل از نوع SINGLE و دارای سنسور دما و رطوبت</t>
  </si>
  <si>
    <t>32280806</t>
  </si>
  <si>
    <t>پمپ گریز از مرکز مستغرق به سایز اسمی 315-80 با جنس پروانه GG25 ، جنس پوسته GG25 بدون پوشش داخلی ، شافت از جنس SS ، ویرینگ از جنس SS، پروانه از نوع SINGLE ،دارای مکانیکال سیل از نوع SINGLE و دارای سنسور دما و رطوبت</t>
  </si>
  <si>
    <t>32280807</t>
  </si>
  <si>
    <t>پمپ گریز از مرکز مستغرق به سایز اسمی 220-100 با جنس پروانه GG25 ، جنس پوسته GG25 بدون پوشش داخلی ، شافت از جنس SS ، ویرینگ از جنس SS، پروانه از نوع SINGLE ،دارای مکانیکال سیل از نوع SINGLE و دارای سنسور دما و رطوبت</t>
  </si>
  <si>
    <t>32280808</t>
  </si>
  <si>
    <t>پمپ گریز از مرکز مستغرق به سایز اسمی 240-100 با جنس پروانه GG25 ، جنس پوسته GG25 بدون پوشش داخلی ، شافت از جنس SS ، ویرینگ از جنس SS، پروانه از نوع SINGLE ،دارای مکانیکال سیل از نوع SINGLE و دارای سنسور دما و رطوبت</t>
  </si>
  <si>
    <t>32280809</t>
  </si>
  <si>
    <t>پمپ گریز از مرکز مستغرق به سایز اسمی 250-100 با جنس پروانه GG25 ، جنس پوسته GG25 بدون پوشش داخلی ، شافت از جنس SS ، ویرینگ از جنس SS، پروانه از نوع SINGLE ،دارای مکانیکال سیل از نوع SINGLE و دارای سنسور دما و رطوبت</t>
  </si>
  <si>
    <t>32280810</t>
  </si>
  <si>
    <t>پمپ گریز از مرکز مستغرق به سایز اسمی 315-100 با جنس پروانه GG25 ، جنس پوسته GG25 بدون پوشش داخلی ، شافت از جنس SS ، ویرینگ از جنس SS، پروانه از نوع SINGLE ،دارای مکانیکال سیل از نوع SINGLE و دارای سنسور دما و رطوبت</t>
  </si>
  <si>
    <t>32280811</t>
  </si>
  <si>
    <t>پمپ گریز از مرکز مستغرق به سایز اسمی 400-100 با جنس پروانه GG25 ، جنس پوسته GG25 بدون پوشش داخلی ، شافت از جنس SS ، ویرینگ از جنس SS، پروانه از نوع SINGLE ،دارای مکانیکال سیل از نوع SINGLE و دارای سنسور دما و رطوبت</t>
  </si>
  <si>
    <t>32280812</t>
  </si>
  <si>
    <t>پمپ گریز از مرکز مستغرق به سایز اسمی 315-150 با جنس پروانه GG25 ، جنس پوسته GG25 بدون پوشش داخلی ، شافت از جنس SS ، ویرینگ از جنس SS، پروانه از نوع SINGLE ،دارای مکانیکال سیل از نوع SINGLE و دارای سنسور دما و رطوبت</t>
  </si>
  <si>
    <t>32280813</t>
  </si>
  <si>
    <t>پمپ گریز از مرکز مستغرق به سایز اسمی 400-150 با جنس پروانه GG25 ، جنس پوسته GG25 بدون پوشش داخلی ، شافت از جنس SS ، ویرینگ از جنس SS، پروانه از نوع SINGLE ،دارای مکانیکال سیل از نوع SINGLE و دارای سنسور دما و رطوبت</t>
  </si>
  <si>
    <t>32280814</t>
  </si>
  <si>
    <t>پمپ گریز از مرکز مستغرق به سایز اسمی 250-200 با جنس پروانه GG25 ، جنس پوسته GG25 بدون پوشش داخلی ، شافت از جنس SS ، ویرینگ از جنس SS، پروانه از نوع SINGLE ،دارای مکانیکال سیل از نوع SINGLE و دارای سنسور دما و رطوبت</t>
  </si>
  <si>
    <t>32280815</t>
  </si>
  <si>
    <t>پمپ گریز از مرکز مستغرق به سایز اسمی 400-200 با جنس پروانه GG25 ، جنس پوسته GG25 بدون پوشش داخلی ، شافت از جنس SS ، ویرینگ از جنس SS، پروانه از نوع SINGLE ،دارای مکانیکال سیل از نوع SINGLE و دارای سنسور دما و رطوبت</t>
  </si>
  <si>
    <t>32280816</t>
  </si>
  <si>
    <t>پمپ گریز از مرکز مستغرق به سایز اسمی 290-250 با جنس پروانه GG25 ، جنس پوسته GG25 بدون پوشش داخلی ، شافت از جنس SS ، ویرینگ از جنس SS، پروانه از نوع SINGLE ،دارای مکانیکال سیل از نوع SINGLE و دارای سنسور دما و رطوبت</t>
  </si>
  <si>
    <t>32280817</t>
  </si>
  <si>
    <t>پمپ گریز از مرکز مستغرق به سایز اسمی 400-250 با جنس پروانه GG25 ، جنس پوسته GG25 بدون پوشش داخلی ، شافت از جنس SS ، ویرینگ از جنس SS، پروانه از نوع SINGLE ،دارای مکانیکال سیل از نوع SINGLE و دارای سنسور دما و رطوبت</t>
  </si>
  <si>
    <t>32280818</t>
  </si>
  <si>
    <t>پمپ گریز از مرکز مستغرق به سایز اسمی 300-300 با جنس پروانه GG25 ، جنس پوسته GG25 بدون پوشش داخلی ، شافت از جنس SS ، ویرینگ از جنس SS، پروانه از نوع SINGLE ،دارای مکانیکال سیل از نوع SINGLE و دارای سنسور دما و رطوبت</t>
  </si>
  <si>
    <t>32280819</t>
  </si>
  <si>
    <t>پمپ گریز از مرکز مستغرق به سایز اسمی 350-300 با جنس پروانه GG25 ، جنس پوسته GG25 بدون پوشش داخلی ، شافت از جنس SS ، ویرینگ از جنس SS، پروانه از نوع SINGLE ،دارای مکانیکال سیل از نوع SINGLE و دارای سنسور دما و رطوبت</t>
  </si>
  <si>
    <t>32280820</t>
  </si>
  <si>
    <t>پمپ گریز از مرکز مستغرق به سایز اسمی 320-350 با جنس پروانه GG25 ، جنس پوسته GG25 بدون پوشش داخلی ، شافت از جنس SS ، ویرینگ از جنس SS، پروانه از نوع SINGLE ،دارای مکانیکال سیل از نوع SINGLE و دارای سنسور دما و رطوبت</t>
  </si>
  <si>
    <t>32280821</t>
  </si>
  <si>
    <t>پمپ گریز از مرکز مستغرق به سایز اسمی 540-500 با جنس پروانه GG25 ، جنس پوسته GG25 بدون پوشش داخلی ، شافت از جنس SS ، ویرینگ از جنس SS، پروانه از نوع SINGLE ،دارای مکانیکال سیل از نوع SINGLE و دارای سنسور دما و رطوبت</t>
  </si>
  <si>
    <t>پمپ گريز از مرکز خشک به سايز اسمي 160-32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</si>
  <si>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200-32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</si>
  <si>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250-32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</si>
  <si>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125-40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</si>
  <si>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160-40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</si>
  <si>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200-40 با جنس پروانه GG25 ، جنس پوسته GG25 بدون پوشش داخلي ، شافت از جنس SS ، ويرينگ از جنس SS، پروانه از نوع SINGLE ،داراي مکانيکال سيل از نوع SINGLE و داراي سنسور دما و رطوبت</t>
  </si>
  <si>
    <t xml:space="preserve"> با جنس پروانه GG25 ، جنس پوسته GG25 بدون پوشش داخلي ، شافت از جنس SS ، ويرينگ از جنس SS، پروانه از نوع SINGLE ،داراي مکانيکال سيل از نوع SINGLE و داراي سنسور دما و رطوبتپمپ گريز از مرکز خشک به سايز اسمي 250-40</t>
  </si>
  <si>
    <t>پمپ گريز از مرکز خشک به سايز اسمي 315-40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</si>
  <si>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160-50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</si>
  <si>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200-50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</si>
  <si>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250-50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</si>
  <si>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315-50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</si>
  <si>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125-65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</si>
  <si>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160-65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</si>
  <si>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200-65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</si>
  <si>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250-65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</si>
  <si>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315-65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</si>
  <si>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160-80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</si>
  <si>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200-80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</si>
  <si>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250-80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</si>
  <si>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315-80 با جنس پروانه GG25 ، جنس پوسته GG25 بدون پوشش داخلي ، شافت از جنس SS ، ويرينگ از جنس SS، پروانه از نوع SINGLE ،داراي مکانيکال سيل از نوع SINGLE و داراي سنسور دما و رطوبت</t>
  </si>
  <si>
    <t xml:space="preserve"> پمپ گريز از مرکز خشک به سايز اسمي 400-80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</si>
  <si>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160-100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</si>
  <si>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200-100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</si>
  <si>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250-100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</si>
  <si>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315-100 با جنس پروانه GG25 ، جنس پوسته GG25 بدون پوشش داخلي ، شافت از جنس SS ، ويرينگ از جنس SS، پروانه از نوع SINGLE ،داراي مکانيکال سيل از نوع SINGLE و داراي سنسور دما و رطوبت</t>
  </si>
  <si>
    <t xml:space="preserve">پمپ گريز از مرکز خشک به سايز اسمي 400-100 با جنس پروانه GG25 ، جنس پوسته GG25 بدون پوشش داخلي ، شافت از جنس SS ، ويرينگ از جنس SS، پروانه از نوع SINGLE ،داراي مکانيکال سيل از نوع SINGLE و داراي سنسور دما و رطوبت </t>
  </si>
  <si>
    <t>پمپ گريز از مرکز خشک به سايز اسمي 200-125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</si>
  <si>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250-125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</si>
  <si>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315-125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</si>
  <si>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400-125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</si>
  <si>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200-150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</si>
  <si>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250-150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</si>
  <si>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315-150 با جنس پروانه GG25 ، جنس پوسته GG25 بدون پوشش داخلي ، شافت از جنس SS ، ويرينگ از جنس SS، پروانه از نوع SINGLE ،داراي مکانيکال سيل از نوع SINGLE و داراي سنسور دما و رطوبت</t>
  </si>
  <si>
    <t>پمپ گريز از مرکز خشک به سايز اسمي 400-150 با جنس پروانه GG25 ، جنس پوسته GG25 بدون پوشش داخلي ، شافت از جنس SS ، ويرينگ از جنس SS، پروانه از نوع SINGLE ،داراي مکانيکال سيل از نوع SINGLE و داراي سنسور دما و رطوبت</t>
  </si>
  <si>
    <t xml:space="preserve">پمپ گريز از مرکز خشک به سايز اسمي 315-200 مجهز به پروانه های از نوع تک پره، جریان آزاد و بسته چند پره با قابلیت پمپاژ سیال تا 5 درصد مواد معلق جامد، مجهز به سیل مکانیکی ، همراه با محفظه پمپ حلزونی، صفحه سایشی و رینگ سایشی محفظه پمپ ازجنس چدن ومحوراز جنس فولاد آلیاژی 1.4021 می باشند. </t>
  </si>
  <si>
    <t xml:space="preserve">پمپ گريز از مرکز خشک به سايز اسمي 400-200 مجهز به پروانه های از نوع تک پره، جریان آزاد و بسته چند پره با قابلیت پمپاژ سیال تا 5 درصد مواد معلق جامد، مجهز به سیل مکانیکی ، همراه با محفظه پمپ حلزونی، صفحه سایشی و رینگ سایشی محفظه پمپ ازجنس چدن ومحوراز جنس فولاد آلیاژی 1.4021 می باشند. </t>
  </si>
  <si>
    <t xml:space="preserve">پمپ گريز از مرکز خشک به سايز اسمي 500-200 مجهز به پروانه های از نوع تک پره، جریان آزاد و بسته چند پره با قابلیت پمپاژ سیال تا 5 درصد مواد معلق جامد، مجهز به سیل مکانیکی ، همراه با محفظه پمپ حلزونی، صفحه سایشی و رینگ سایشی محفظه پمپ ازجنس چدن ومحوراز جنس فولاد آلیاژی 1.4021 می باشند. </t>
  </si>
  <si>
    <t xml:space="preserve">پمپ گريز از مرکز خشک به سايز اسمي 315-250 مجهز به پروانه های از نوع تک پره، جریان آزاد و بسته چند پره با قابلیت پمپاژ سیال تا 5 درصد مواد معلق جامد، مجهز به سیل مکانیکی ، همراه با محفظه پمپ حلزونی، صفحه سایشی و رینگ سایشی محفظه پمپ ازجنس چدن ومحوراز جنس فولاد آلیاژی 1.4021 می باشند. </t>
  </si>
  <si>
    <t xml:space="preserve">پمپ گريز از مرکز خشک به سايز اسمي 400-250 مجهز به پروانه های از نوع تک پره، جریان آزاد و بسته چند پره با قابلیت پمپاژ سیال تا 5 درصد مواد معلق جامد، مجهز به سیل مکانیکی ، همراه با محفظه پمپ حلزونی، صفحه سایشی و رینگ سایشی محفظه پمپ ازجنس چدن ومحوراز جنس فولاد آلیاژی 1.4021 می باشند. </t>
  </si>
  <si>
    <t xml:space="preserve">پمپ گريز از مرکز خشک به سايز اسمي 500-250 مجهز به پروانه های از نوع تک پره، جریان آزاد و بسته چند پره با قابلیت پمپاژ سیال تا 5 درصد مواد معلق جامد، مجهز به سیل مکانیکی ، همراه با محفظه پمپ حلزونی، صفحه سایشی و رینگ سایشی محفظه پمپ ازجنس چدن ومحوراز جنس فولاد آلیاژی 1.4021 می باشند. </t>
  </si>
  <si>
    <t xml:space="preserve">پمپ گريز از مرکز خشک به سايز اسمي 630-250 مجهز به پروانه های از نوع تک پره، جریان آزاد و بسته چند پره با قابلیت پمپاژ سیال تا 5 درصد مواد معلق جامد، مجهز به سیل مکانیکی ، همراه با محفظه پمپ حلزونی، صفحه سایشی و رینگ سایشی محفظه پمپ ازجنس چدن ومحوراز جنس فولاد آلیاژی 1.4021 می باشند. </t>
  </si>
  <si>
    <t xml:space="preserve">پمپ گريز از مرکز خشک به سايز اسمي 400-300 مجهز به پروانه های از نوع تک پره، جریان آزاد و بسته چند پره با قابلیت پمپاژ سیال تا 5 درصد مواد معلق جامد، مجهز به سیل مکانیکی ، همراه با محفظه پمپ حلزونی، صفحه سایشی و رینگ سایشی محفظه پمپ ازجنس چدن ومحوراز جنس فولاد آلیاژی 1.4021 می باشند. </t>
  </si>
  <si>
    <t xml:space="preserve">پمپ گريز از مرکز خشک به سايز اسمي 500-300 مجهز به پروانه های از نوع تک پره، جریان آزاد و بسته چند پره با قابلیت پمپاژ سیال تا 5 درصد مواد معلق جامد، مجهز به سیل مکانیکی ، همراه با محفظه پمپ حلزونی، صفحه سایشی و رینگ سایشی محفظه پمپ ازجنس چدن ومحوراز جنس فولاد آلیاژی 1.4021 می باشند. </t>
  </si>
  <si>
    <t xml:space="preserve">پمپ گريز از مرکز خشک به سايز اسمي 630-300 مجهز به پروانه های از نوع تک پره، جریان آزاد و بسته چند پره با قابلیت پمپاژ سیال تا 5 درصد مواد معلق جامد، مجهز به سیل مکانیکی ، همراه با محفظه پمپ حلزونی، صفحه سایشی و رینگ سایشی محفظه پمپ ازجنس چدن ومحوراز جنس فولاد آلیاژی 1.4021 می باشند. </t>
  </si>
  <si>
    <t xml:space="preserve">پمپ گريز از مرکز خشک به سايز اسمي 400-350 مجهز به پروانه های از نوع تک پره، جریان آزاد و بسته چند پره با قابلیت پمپاژ سیال تا 5 درصد مواد معلق جامد، مجهز به سیل مکانیکی ، همراه با محفظه پمپ حلزونی، صفحه سایشی و رینگ سایشی محفظه پمپ ازجنس چدن ومحوراز جنس فولاد آلیاژی 1.4021 می باشند. </t>
  </si>
  <si>
    <t xml:space="preserve">پمپ گريز از مرکز خشک به سايز اسمي 500-350 مجهز به پروانه های از نوع تک پره، جریان آزاد و بسته چند پره با قابلیت پمپاژ سیال تا 5 درصد مواد معلق جامد، مجهز به سیل مکانیکی ، همراه با محفظه پمپ حلزونی، صفحه سایشی و رینگ سایشی محفظه پمپ ازجنس چدن ومحوراز جنس فولاد آلیاژی 1.4021 می باشند. </t>
  </si>
  <si>
    <t xml:space="preserve">پمپ گريز از مرکز خشک به سايز اسمي 630-350 مجهز به پروانه های از نوع تک پره، جریان آزاد و بسته چند پره با قابلیت پمپاژ سیال تا 5 درصد مواد معلق جامد، مجهز به سیل مکانیکی ، همراه با محفظه پمپ حلزونی، صفحه سایشی و رینگ سایشی محفظه پمپ ازجنس چدن ومحوراز جنس فولاد آلیاژی 1.4021 می باشند. </t>
  </si>
  <si>
    <t xml:space="preserve">پمپ گريز از مرکز خشک به سايز اسمي 500-400 مجهز به پروانه های از نوع تک پره، جریان آزاد و بسته چند پره با قابلیت پمپاژ سیال تا 5 درصد مواد معلق جامد، مجهز به سیل مکانیکی ، همراه با محفظه پمپ حلزونی، صفحه سایشی و رینگ سایشی محفظه پمپ ازجنس چدن ومحوراز جنس فولاد آلیاژی 1.4021 می باشند. </t>
  </si>
  <si>
    <t xml:space="preserve">پمپ گريز از مرکز خشک به سايز اسمي 630-400 مجهز به پروانه های از نوع تک پره، جریان آزاد و بسته چند پره با قابلیت پمپاژ سیال تا 5 درصد مواد معلق جامد، مجهز به سیل مکانیکی ، همراه با محفظه پمپ حلزونی، صفحه سایشی و رینگ سایشی محفظه پمپ ازجنس چدن ومحوراز جنس فولاد آلیاژی 1.4021 می باشند. </t>
  </si>
  <si>
    <t xml:space="preserve">پمپ گريز از مرکز خشک به سايز اسمي 630-500 مجهز به پروانه های از نوع تک پره، جریان آزاد و بسته چند پره با قابلیت پمپاژ سیال تا 5 درصد مواد معلق جامد، مجهز به سیل مکانیکی ، همراه با محفظه پمپ حلزونی، صفحه سایشی و رینگ سایشی محفظه پمپ ازجنس چدن ومحوراز جنس فولاد آلیاژی 1.4021 می باشند. </t>
  </si>
  <si>
    <t xml:space="preserve">پمپ گريز از مرکز خشک به سايز اسمي 520-600 مجهز به پروانه های از نوع تک پره، جریان آزاد و بسته چند پره با قابلیت پمپاژ سیال تا 5 درصد مواد معلق جامد، مجهز به سیل مکانیکی ، همراه با محفظه پمپ حلزونی، صفحه سایشی و رینگ سایشی محفظه پمپ ازجنس چدن ومحوراز جنس فولاد آلیاژی 1.4021 می باشند. </t>
  </si>
  <si>
    <t xml:space="preserve"> پمپ گريز از مرکز خشک به سايز اسمي 700-600 مجهز به پروانه های از نوع تک پره، جریان آزاد و بسته چند پره با قابلیت پمپاژ سیال تا 5 درصد مواد معلق جامد، مجهز به سیل مکانیکی ، همراه با محفظه پمپ حلزونی، صفحه سایشی و رینگ سایشی محفظه پمپ ازجنس چدن ومحوراز جنس فولاد آلیاژی 1.4021 می باشند. </t>
  </si>
  <si>
    <t xml:space="preserve">پمپ گريز از مرکز خشک به سايز اسمي 900-700 مجهز به پروانه های از نوع تک پره، جریان آزاد و بسته چند پره با قابلیت پمپاژ سیال تا 5 درصد مواد معلق جامد، مجهز به سیل مکانیکی ، همراه با محفظه پمپ حلزونی، صفحه سایشی و رینگ سایشی محفظه پمپ ازجنس چدن ومحوراز جنس فولاد آلیاژی 1.4021 می باشند. </t>
  </si>
  <si>
    <t>پمپ طبقاتي با قطر خروجی تا 32 ميليمتر افقي و  با جنس پروانه GG25 ، جنس پوسته GG25 بدون پوشش داخلي ، شافت از جنس CK45 ، ويرينگ از جنس SS، پروانه از نوع CLOSED ،با الکتروموتور 4 قطب ازنوع قفسه سنجابي، 3 فاز، پنجاه هرتز داراي کلاس حرارتي F،داراي مکانيکال سيل از نوع SINGLE مي باشد. اين رديف ها شامل شاسي،لرزه گير زير دستگاه،کوپلينگ، فلنج هاي مقابل اضافي، واشر آب بندي و پيچ و مهره</t>
  </si>
  <si>
    <t>پمپ طبقاتي با قطر خروجی تا 40 ميليمتر افقي و  با جنس پروانه GG25 ، جنس پوسته GG25 بدون پوشش داخلي ، شافت از جنس CK45 ، ويرينگ از جنس SS، پروانه از نوع CLOSED ،با الکتروموتور 4 قطب ازنوع قفسه سنجابي، 3 فاز، پنجاه هرتز داراي کلاس حرارتي F،داراي مکانيکال سيل از نوع SINGLE مي باشد. اين رديف ها شامل شاسي،لرزه گير زير دستگاه،کوپلينگ، فلنج هاي مقابل اضافي، واشر آب بندي و پيچ و مهره</t>
  </si>
  <si>
    <t>پمپ طبقاتي با قطر خروجی تا 50 ميليمتر افقي و  با جنس پروانه GG25 ، جنس پوسته GG25 بدون پوشش داخلي ، شافت از جنس CK45 ، ويرينگ از جنس SS، پروانه از نوع CLOSED ،با الکتروموتور 4 قطب ازنوع قفسه سنجابي، 3 فاز، پنجاه هرتز داراي کلاس حرارتي F،داراي مکانيکال سيل از نوع SINGLE مي باشد. اين رديف ها شامل شاسي،لرزه گير زير دستگاه،کوپلينگ، فلنج هاي مقابل اضافي، واشر آب بندي و پيچ و مهره</t>
  </si>
  <si>
    <t>پمپ طبقاتي با قطر خروجی تا 65 ميليمتر فقي و  با جنس پروانه GG25 ، جنس پوسته GG25 بدون پوشش داخلي ، شافت از جنس CK45 ، ويرينگ از جنس SS، پروانه از نوع CLOSED ،با الکتروموتور 4 قطب ازنوع قفسه سنجابي، 3 فاز، پنجاه هرتز داراي کلاس حرارتي F،داراي مکانيکال سيل از نوع SINGLE مي باشد. اين رديف ها شامل شاسي،لرزه گير زير دستگاه،کوپلينگ، فلنج هاي مقابل اضافي، واشر آب بندي و پيچ و مهره</t>
  </si>
  <si>
    <t>پمپ طبقاتي با قطر خروجی تا 80 ميليمتر فقي و  با جنس پروانه GG25 ، جنس پوسته GG25 بدون پوشش داخلي ، شافت از جنس CK45 ، ويرينگ از جنس SS، پروانه از نوع CLOSED ،با الکتروموتور 4 قطب ازنوع قفسه سنجابي، 3 فاز، پنجاه هرتز داراي کلاس حرارتي F،داراي مکانيکال سيل از نوع SINGLE مي باشد. اين رديف ها شامل شاسي،لرزه گير زير دستگاه،کوپلينگ، فلنج هاي مقابل اضافي، واشر آب بندي و پيچ و مهره</t>
  </si>
  <si>
    <t>پمپ طبقاتي با قطر خروجی تا 100 ميليمتر فقي و  با جنس پروانه GG25 ، جنس پوسته GG25 بدون پوشش داخلي ، شافت از جنس CK45 ، ويرينگ از جنس SS، پروانه از نوع CLOSED ،با الکتروموتور 4 قطب ازنوع قفسه سنجابي، 3 فاز، پنجاه هرتز داراي کلاس حرارتي F،داراي مکانيکال سيل از نوع SINGLE مي باشد. اين رديف ها شامل شاسي،لرزه گير زير دستگاه،کوپلينگ، فلنج هاي مقابل اضافي، واشر آب بندي و پيچ و مهره</t>
  </si>
  <si>
    <t>پمپ طبقاتي با قطر خروجی تا 125 ميليمتر فقي و  با جنس پروانه GG25 ، جنس پوسته GG25 بدون پوشش داخلي ، شافت از جنس CK45 ، ويرينگ از جنس SS، پروانه از نوع CLOSED ،با الکتروموتور 4 قطب ازنوع قفسه سنجابي، 3 فاز، پنجاه هرتز داراي کلاس حرارتي F،داراي مکانيکال سيل از نوع SINGLE مي باشد. اين رديف ها شامل شاسي،لرزه گير زير دستگاه،کوپلينگ، فلنج هاي مقابل اضافي، واشر آب بندي و پيچ و مهره</t>
  </si>
  <si>
    <t>پمپ طبقاتي با قطر خروجی تا 150 ميليمتر فقي و  با جنس پروانه GG25 ، جنس پوسته GG25 بدون پوشش داخلي ، شافت از جنس CK45 ، ويرينگ از جنس SS، پروانه از نوع CLOSED ،با الکتروموتور 4 قطب ازنوع قفسه سنجابي، 3 فاز، پنجاه هرتز داراي کلاس حرارتي F،داراي مکانيکال سيل از نوع SINGLE مي باشد. اين رديف ها شامل شاسي،لرزه گير زير دستگاه،کوپلينگ، فلنج هاي مقابل اضافي، واشر آب بندي و پيچ و مهره</t>
  </si>
  <si>
    <t>32281101</t>
  </si>
  <si>
    <t xml:space="preserve">الکتروپمپ ملخی با قطر رانش 600 و توان تا 55 کیلووات مستغرق و با جنس پروانه GG25 ، جنس پوسته GG25 بدون پوشش داخلی ، شافت از جنس SS ، ویرینگ از جنس SS، پروانه از نوع CLOSED ،با الکتروموتور 4 قطب ازنوع قفسه سنجابی، 3 فاز، پنجاه هرتز دارای کلاس حرارتی F،دارای مکانیکال سیل از نوع SINGLE </t>
  </si>
  <si>
    <t>32281102</t>
  </si>
  <si>
    <t>پمپ ملخی با قطر رانش 250 میلیمتر با جنس پروانه GG25 ، جنس پوسته GG25 بدون پوشش داخلی ، شافت از جنس SS ، ویرینگ از جنس SS، پروانه از نوع CLOSED دارای مکانیکال سیل از نوع SINGLE</t>
  </si>
  <si>
    <t>32281103</t>
  </si>
  <si>
    <t xml:space="preserve">پمپ ملخی با قطر رانش 300 میلیمتر با جنس پروانه GG25 ، جنس پوسته GG25 بدون پوشش داخلی ، شافت از جنس SS ، ویرینگ از جنس SS، پروانه از نوع CLOSED دارای مکانیکال سیل از نوع SINGLE </t>
  </si>
  <si>
    <t>32281104</t>
  </si>
  <si>
    <t xml:space="preserve">پمپ ملخی با قطر رانش 350 میلیمتر با جنس پروانه GG25 ، جنس پوسته GG25 بدون پوشش داخلی ، شافت از جنس SS ، ویرینگ از جنس SS، پروانه از نوع CLOSED دارای مکانیکال سیل از نوع SINGLE </t>
  </si>
  <si>
    <t>32281105</t>
  </si>
  <si>
    <t xml:space="preserve">پمپ ملخی با قطر رانش 400 میلیمتر با جنس پروانه GG25 ، جنس پوسته GG25 بدون پوشش داخلی ، شافت از جنس SS ، ویرینگ از جنس SS، پروانه از نوع CLOSED دارای مکانیکال سیل از نوع SINGLE </t>
  </si>
  <si>
    <t>32281106</t>
  </si>
  <si>
    <t xml:space="preserve">پمپ ملخی با قطر رانش 450 میلیمتر با جنس پروانه GG25 ، جنس پوسته GG25 بدون پوشش داخلی ، شافت از جنس SS ، ویرینگ از جنس SS، پروانه از نوع CLOSED دارای مکانیکال سیل از نوع SINGLE </t>
  </si>
  <si>
    <t>32281107</t>
  </si>
  <si>
    <t xml:space="preserve">پمپ ملخی با قطر رانش 500 میلیمتر با جنس پروانه GG25 ، جنس پوسته GG25 بدون پوشش داخلی ، شافت از جنس SS ، ویرینگ از جنس SS، پروانه از نوع CLOSED دارای مکانیکال سیل از نوع SINGLE </t>
  </si>
  <si>
    <t>32281108</t>
  </si>
  <si>
    <t xml:space="preserve">پمپ ملخی با قطر رانش 550 میلیمتر با جنس پروانه GG25 ، جنس پوسته GG25 بدون پوشش داخلی ، شافت از جنس SS ، ویرینگ از جنس SS، پروانه از نوع CLOSED دارای مکانیکال سیل از نوع SINGLE </t>
  </si>
  <si>
    <t>32281109</t>
  </si>
  <si>
    <t xml:space="preserve">پمپ ملخی با قطر رانش 600 میلیمتر با جنس پروانه GG25 ، جنس پوسته GG25 بدون پوشش داخلی ، شافت از جنس SS ، ویرینگ از جنس SS، پروانه از نوع CLOSED دارای مکانیکال سیل از نوع SINGLE </t>
  </si>
  <si>
    <t>32281110</t>
  </si>
  <si>
    <t xml:space="preserve">پمپ ملخی با قطر رانش 700 میلیمتر با جنس پروانه GG25 ، جنس پوسته GG25 بدون پوشش داخلی ، شافت از جنس SS ، ویرینگ از جنس SS، پروانه از نوع CLOSED دارای مکانیکال سیل از نوع SINGLE </t>
  </si>
  <si>
    <t>32281111</t>
  </si>
  <si>
    <t xml:space="preserve">پمپ ملخی با قطر رانش 800 میلیمتر با جنس پروانه GG25 ، جنس پوسته GG25 بدون پوشش داخلی ، شافت از جنس SS ، ویرینگ از جنس SS، پروانه از نوع CLOSED دارای مکانیکال سیل از نوع SINGLE </t>
  </si>
  <si>
    <t>32281112</t>
  </si>
  <si>
    <t xml:space="preserve">پمپ ملخی با قطر رانش 900 میلیمتر با جنس پروانه GG25 ، جنس پوسته GG25 بدون پوشش داخلی ، شافت از جنس SS ، ویرینگ از جنس SS، پروانه از نوع CLOSED دارای مکانیکال سیل از نوع SINGLE </t>
  </si>
  <si>
    <t>32281113</t>
  </si>
  <si>
    <t xml:space="preserve">پمپ ملخی با قطر رانش 1000 میلیمتر با جنس پروانه GG25 ، جنس پوسته GG25 بدون پوشش داخلی ، شافت از جنس SS ، ویرینگ از جنس SS، پروانه از نوع CLOSED دارای مکانیکال سیل از نوع SINGLE </t>
  </si>
  <si>
    <t>32281201</t>
  </si>
  <si>
    <t>اوتوکوپلینگ الکتروپمپ مستغرق DN50 از جنس چدن و دارای زنجیر از جنس SS304  جهت گذاشت و برداشت پمپ ها</t>
  </si>
  <si>
    <t>32281202</t>
  </si>
  <si>
    <t>اوتوکوپلینگ الکتروپمپ مستغرق DN65 از جنس چدن و دارای زنجیر از جنس SS304  جهت گذاشت و برداشت پمپ ها</t>
  </si>
  <si>
    <t>32281203</t>
  </si>
  <si>
    <t>اوتوکوپلینگ الکتروپمپ مستغرق DN80 از جنس چدن و دارای زنجیر از جنس SS304  جهت گذاشت و برداشت پمپ ها</t>
  </si>
  <si>
    <t>32281204</t>
  </si>
  <si>
    <t>اوتوکوپلینگ الکتروپمپ مستغرق DN100 از جنس چدن و دارای زنجیر از جنس SS304  جهت گذاشت و برداشت پمپ ها</t>
  </si>
  <si>
    <t>32281205</t>
  </si>
  <si>
    <t>اوتوکوپلینگ الکتروپمپ مستغرق DN125 از جنس چدن و دارای زنجیر از جنس SS304  جهت گذاشت و برداشت پمپ ها</t>
  </si>
  <si>
    <t>32281206</t>
  </si>
  <si>
    <t>اوتوکوپلینگ الکتروپمپ مستغرق DN150 از جنس چدن و دارای زنجیر از جنس SS304  جهت گذاشت و برداشت پمپ ها</t>
  </si>
  <si>
    <t>32281207</t>
  </si>
  <si>
    <t>اوتوکوپلینگ الکتروپمپ مستغرق DN200 از جنس چدن و دارای زنجیر از جنس SS304  جهت گذاشت و برداشت پمپ ها</t>
  </si>
  <si>
    <t>32281208</t>
  </si>
  <si>
    <t>اوتوکوپلینگ الکتروپمپ مستغرق DN250 از جنس چدن و دارای زنجیر از جنس SS304  جهت گذاشت و برداشت پمپ ها</t>
  </si>
  <si>
    <t>32281209</t>
  </si>
  <si>
    <t>اوتوکوپلینگ الکتروپمپ مستغرق DN300 از جنس چدن و دارای زنجیر از جنس SS304  جهت گذاشت و برداشت پمپ ها</t>
  </si>
  <si>
    <t>32281210</t>
  </si>
  <si>
    <t>اوتوکوپلینگ الکتروپمپ مستغرق DN350 از جنس چدن و دارای زنجیر از جنس SS304  جهت گذاشت و برداشت پمپ ها</t>
  </si>
  <si>
    <t>32281211</t>
  </si>
  <si>
    <t>اوتوکوپلینگ الکتروپمپ مستغرقDN400 از جنس چدن و دارای زنجیر از جنس SS304  جهت گذاشت و برداشت پمپ ها</t>
  </si>
  <si>
    <t>32281212</t>
  </si>
  <si>
    <t>اوتوکوپلینگ الکتروپمپ مستغرق DN450 از جنس چدن و دارای زنجیر از جنس SS304  جهت گذاشت و برداشت پمپ ها</t>
  </si>
  <si>
    <t>32281213</t>
  </si>
  <si>
    <t>اوتوکوپلینگ الکتروپمپ مستغرق DN500 از جنس چدن و دارای زنجیر از جنس SS304  جهت گذاشت و برداشت پمپ ها</t>
  </si>
  <si>
    <t>32281301</t>
  </si>
  <si>
    <t xml:space="preserve">پمپ دیافراگمی به ظرفیت تا 20 لیتر در ساعت و فشار تا 3 بار دیافراگمی مجهز به محرک موتوری با مکانیسم برگشت فنری، با امکان تنظیم طول کورس بصورت دستی در دامنه 10 تا 100 درصد ، همراه با شیر یکطرفه توپی تکی فنری و یا شیر توپی دوبل، نازل تزریق با کلگی از جنس PVC و دیافراگم از جنس PTFE می باشند. </t>
  </si>
  <si>
    <t>32281302</t>
  </si>
  <si>
    <t xml:space="preserve">پمپ دیافراگمی به ظرفیت از20 لیتر تا 50 در ساعت و فشار تا 3 بار دیافراگمی مجهز به محرک موتوری با مکانیسم برگشت فنری، با امکان تنظیم طول کورس بصورت دستی در دامنه 10 تا 100 درصد ، همراه با شیر یکطرفه توپی تکی فنری و یا شیر توپی دوبل، نازل تزریق با کلگی از جنس PVC و دیافراگم از جنس PTFE می باشند. </t>
  </si>
  <si>
    <t>32281303</t>
  </si>
  <si>
    <t xml:space="preserve">پمپ دیافراگمی به ظرفیت از 50 لیتر تا 100 در ساعت و فشار تا 3 بار دیافراگمی مجهز به محرک موتوری با مکانیسم برگشت فنری، با امکان تنظیم طول کورس بصورت دستی در دامنه 10 تا 100 درصد ، همراه با شیر یکطرفه توپی تکی فنری و یا شیر توپی دوبل، نازل تزریق با کلگی از جنس PVC و دیافراگم از جنس PTFE می باشند. </t>
  </si>
  <si>
    <t>32281304</t>
  </si>
  <si>
    <t xml:space="preserve">پمپ دیافراگمی به ظرفیت از 100 لیتر تا 200 در ساعت و فشار تا 3 بار دیافراگمی مجهز به محرک موتوری با مکانیسم برگشت فنری، با امکان تنظیم طول کورس بصورت دستی در دامنه 10 تا 100 درصد ، همراه با شیر یکطرفه توپی تکی فنری و یا شیر توپی دوبل، نازل تزریق با کلگی از جنس PVC و دیافراگم از جنس PTFE می باشند. </t>
  </si>
  <si>
    <t>32281305</t>
  </si>
  <si>
    <t xml:space="preserve">پمپ دیافراگمی به ظرفیت از 200 لیتر تا 500 در ساعت و فشار تا 3 بار دیافراگمی مجهز به محرک موتوری با مکانیسم برگشت فنری، با امکان تنظیم طول کورس بصورت دستی در دامنه 10 تا 100 درصد ، همراه با شیر یکطرفه توپی تکی فنری و یا شیر توپی دوبل، نازل تزریق با کلگی از جنس PVC و دیافراگم از جنس PTFE می باشند. </t>
  </si>
  <si>
    <t>32281306</t>
  </si>
  <si>
    <t xml:space="preserve">پمپ دیافراگمی به ظرفیت از 500 لیتر تا 750 در ساعت و فشار تا 3 بار دیافراگمی مجهز به محرک موتوری با مکانیسم برگشت فنری، با امکان تنظیم طول کورس بصورت دستی در دامنه 10 تا 100 درصد ، همراه با شیر یکطرفه توپی تکی فنری و یا شیر توپی دوبل، نازل تزریق با کلگی از جنس PVC و دیافراگم از جنس PTFE می باشند. </t>
  </si>
  <si>
    <t>32281307</t>
  </si>
  <si>
    <t>پمپ دیافراگمی به ظرفیت از 750 لیتر تا 1000 در ساعت و فشار تا 3  دیافراگمی مجهز به محرک موتوری با مکانیسم برگشت فنری، با امکان تنظیم طول کورس بصورت دستی در دامنه 10 تا 100 درصد ، همراه با شیر یکطرفه توپی تکی فنری و یا شیر توپی دوبل، نازل تزریق با کلگی از جنس PVC و دیافراگم از جنس PTFE می باشند. بار</t>
  </si>
  <si>
    <t>32281401</t>
  </si>
  <si>
    <t>پمپ جابجایی مثبت به ظرفیت تا 0.25 متر مکعب در ساعت دارای بدنه و روتور از جنس فولاد ضد زنگ SS 316 ، استاتور  از جنس NBR یا Perbunan،دارای مکانیکال سیل از نوع Single و با فشار حداکثر 6 بار</t>
  </si>
  <si>
    <t>32281501</t>
  </si>
  <si>
    <t>پمپ جابجایی مثبت به ظرفیت تا 05 متر مکعب در ساعت دارای بدنه و روتور از جنس فولاد ضد زنگ SS 316 ، استاتور  از جنس NBR یا Perbunan،دارای مکانیکال سیل از نوع Single و با فشار حداکثر 6 بار</t>
  </si>
  <si>
    <t>32281502</t>
  </si>
  <si>
    <t>پمپ جابجایی مثبت به ظرفیت تا 1 متر مکعب در ساعت دارای بدنه و روتور از جنس فولاد ضد زنگ SS 316 ، استاتور  از جنس NBR یا Perbunan،دارای مکانیکال سیل از نوع Single و با فشار حداکثر 6 بار</t>
  </si>
  <si>
    <t>32281503</t>
  </si>
  <si>
    <t>پمپ جابجایی مثبت به ظرفیت تا 2 متر مکعب در ساعت دارای بدنه و روتور از جنس فولاد ضد زنگ SS 316 ، استاتور  از جنس NBR یا Perbunan،دارای مکانیکال سیل از نوع Single و با فشار حداکثر 6 بار</t>
  </si>
  <si>
    <t>32281504</t>
  </si>
  <si>
    <t>پمپ جابجایی مثبت به ظرفیت تا 5 متر مکعب در ساعت دارای بدنه و روتور از جنس فولاد ضد زنگ SS 316 ، استاتور  از جنس NBR یا Perbunan،دارای مکانیکال سیل از نوع Single و با فشار حداکثر 6 بار</t>
  </si>
  <si>
    <t>32281505</t>
  </si>
  <si>
    <t>پمپ جابجایی مثبت به ظرفیت تا 10 متر مکعب در ساعت دارای بدنه و روتور از جنس فولاد ضد زنگ SS 316 ، استاتور  از جنس NBR یا Perbunan،دارای مکانیکال سیل از نوع Single و با فشار حداکثر 6 بار</t>
  </si>
  <si>
    <t>32281506</t>
  </si>
  <si>
    <t>پمپ جابجایی مثبت به ظرفیت تا 20 متر مکعب در ساعت دارای بدنه و روتور از جنس فولاد ضد زنگ SS 316 ، استاتور  از جنس NBR یا Perbunan،دارای مکانیکال سیل از نوع Single و با فشار حداکثر 6 بار</t>
  </si>
  <si>
    <t>32281507</t>
  </si>
  <si>
    <t>پمپ جابجایی مثبت به ظرفیت تا 35 متر مکعب در ساعت دارای بدنه و روتور از جنس فولاد ضد زنگ SS 316 ، استاتور  از جنس NBR یا Perbunan،دارای مکانیکال سیل از نوع Single و با فشار حداکثر 6 بار</t>
  </si>
  <si>
    <t>32281508</t>
  </si>
  <si>
    <t>پمپ جابجایی مثبت به ظرفیت تا 50 متر مکعب در ساعت دارای بدنه و روتور از جنس فولاد ضد زنگ SS 316 ، استاتور  از جنس NBR یا Perbunan،دارای مکانیکال سیل از نوع Single و با فشار حداکثر 6 بار</t>
  </si>
  <si>
    <t>32281601</t>
  </si>
  <si>
    <t xml:space="preserve">پمپ دومکشه به سايز اسمي 210-80 دارای محفظه حلزونی و پروانه از جنس چدن GG-25 ، محور از جنس فولاد CK 45 و رینگ های سایشی از جنس چدن GGZ-20 </t>
  </si>
  <si>
    <t>32281602</t>
  </si>
  <si>
    <t xml:space="preserve">پمپ دومکشه به سايز اسمي 270-80  دارای محفظه حلزونی و پروانه از جنس چدن GG-25 ، محور از جنس فولاد CK 45 و رینگ های سایشی از جنس چدن GGZ-20 </t>
  </si>
  <si>
    <t>32281603</t>
  </si>
  <si>
    <t xml:space="preserve">پمپ دومکشه به سايز اسمي 370-80 دارای محفظه حلزونی و پروانه از جنس چدن GG-25 ، محور از جنس فولاد CK 45 و رینگ های سایشی از جنس چدن GGZ-20 </t>
  </si>
  <si>
    <t>32281604</t>
  </si>
  <si>
    <t xml:space="preserve">پمپ دومکشه به سايز اسمي 250-100 دارای محفظه حلزونی و پروانه از جنس چدن GG-25 ، محور از جنس فولاد CK 45 و رینگ های سایشی از جنس چدن GGZ-20 </t>
  </si>
  <si>
    <t>32281605</t>
  </si>
  <si>
    <t xml:space="preserve">پمپ دومکشه به سايز اسمي 310-100 دارای محفظه حلزونی و پروانه از جنس چدن GG-25 ، محور از جنس فولاد CK 45 و رینگ های سایشی از جنس چدن GGZ-20 </t>
  </si>
  <si>
    <t>32281606</t>
  </si>
  <si>
    <t xml:space="preserve">پمپ دومکشه به سايز اسمي 375-100 دارای محفظه حلزونی و پروانه از جنس چدن GG-25 ، محور از جنس فولاد CK 45 و رینگ های سایشی از جنس چدن GGZ-20 </t>
  </si>
  <si>
    <t>32281607</t>
  </si>
  <si>
    <t xml:space="preserve">پمپ دومکشه به سايز اسمي 230-125 دارای محفظه حلزونی و پروانه از جنس چدن GG-25 ، محور از جنس فولاد CK 45 و رینگ های سایشی از جنس چدن GGZ-20 </t>
  </si>
  <si>
    <t>32281608</t>
  </si>
  <si>
    <t xml:space="preserve">پمپ دومکشه به سايز اسمي 290-125 دارای محفظه حلزونی و پروانه از جنس چدن GG-25 ، محور از جنس فولاد CK 45 و رینگ های سایشی از جنس چدن GGZ-20 </t>
  </si>
  <si>
    <t>32281609</t>
  </si>
  <si>
    <t xml:space="preserve">پمپ دومکشه به سايز اسمي 365-125 دارای محفظه حلزونی و پروانه از جنس چدن GG-25 ، محور از جنس فولاد CK 45 و رینگ های سایشی از جنس چدن GGZ-20 </t>
  </si>
  <si>
    <t>32281610</t>
  </si>
  <si>
    <t xml:space="preserve">پمپ دومکشه به سايز اسمي 500-125 دارای محفظه حلزونی و پروانه از جنس چدن GG-25 ، محور از جنس فولاد CK 45 و رینگ های سایشی از جنس چدن GGZ-20 </t>
  </si>
  <si>
    <t>32281611</t>
  </si>
  <si>
    <t xml:space="preserve">پمپ دومکشه به سايز اسمي 290-150 دارای محفظه حلزونی و پروانه از جنس چدن GG-25 ، محور از جنس فولاد CK 45 و رینگ های سایشی از جنس چدن GGZ-20 </t>
  </si>
  <si>
    <t>32281612</t>
  </si>
  <si>
    <t xml:space="preserve">پمپ دومکشه به سايز اسمي 360-150 دارای محفظه حلزونی و پروانه از جنس چدن GG-25 ، محور از جنس فولاد CK 45 و رینگ های سایشی از جنس چدن GGZ-20 </t>
  </si>
  <si>
    <t>32281613</t>
  </si>
  <si>
    <t xml:space="preserve">پمپ دومکشه به سايز اسمي 460-150 دارای محفظه حلزونی و پروانه از جنس چدن GG-25 ، محور از جنس فولاد CK 45 و رینگ های سایشی از جنس چدن GGZ-20 </t>
  </si>
  <si>
    <t>32281614</t>
  </si>
  <si>
    <t xml:space="preserve">پمپ دومکشه به سايز اسمي 605-150 دارای محفظه حلزونی و پروانه از جنس چدن GG-25 ، محور از جنس فولاد CK 45 و رینگ های سایشی از جنس چدن GGZ-20 </t>
  </si>
  <si>
    <t>32281615</t>
  </si>
  <si>
    <t xml:space="preserve">پمپ دومکشه به سايز اسمي 320-200 دارای محفظه حلزونی و پروانه از جنس چدن GG-25 ، محور از جنس فولاد CK 45 و رینگ های سایشی از جنس چدن GGZ-20 </t>
  </si>
  <si>
    <t>32281616</t>
  </si>
  <si>
    <t xml:space="preserve">پمپ دومکشه به سايز اسمي 420-200 دارای محفظه حلزونی و پروانه از جنس چدن GG-25 ، محور از جنس فولاد CK 45 و رینگ های سایشی از جنس چدن GGZ-20 </t>
  </si>
  <si>
    <t>32281617</t>
  </si>
  <si>
    <t xml:space="preserve">پمپ دومکشه به سايز اسمي 520-200 دارای محفظه حلزونی و پروانه از جنس چدن GG-25 ، محور از جنس فولاد CK 45 و رینگ های سایشی از جنس چدن GGZ-20 </t>
  </si>
  <si>
    <t>32281618</t>
  </si>
  <si>
    <t xml:space="preserve">پمپ دومکشه به سايز اسمي 670-200 دارای محفظه حلزونی و پروانه از جنس چدن GG-25 ، محور از جنس فولاد CK 45 و رینگ های سایشی از جنس چدن GGZ-20 </t>
  </si>
  <si>
    <t>32281619</t>
  </si>
  <si>
    <t xml:space="preserve">پمپ دومکشه به سايز اسمي 370-250 دارای محفظه حلزونی و پروانه از جنس چدن GG-25 ، محور از جنس فولاد CK 45 و رینگ های سایشی از جنس چدن GGZ-20 </t>
  </si>
  <si>
    <t>32281620</t>
  </si>
  <si>
    <t xml:space="preserve">پمپ دومکشه به سايز اسمي 480-250 دارای محفظه حلزونی و پروانه از جنس چدن GG-25 ، محور از جنس فولاد CK 45 و رینگ های سایشی از جنس چدن GGZ-20 </t>
  </si>
  <si>
    <t>32281621</t>
  </si>
  <si>
    <t xml:space="preserve">پمپ دومکشه به سايز اسمي 600-250 دارای محفظه حلزونی و پروانه از جنس چدن GG-25 ، محور از جنس فولاد CK 45 و رینگ های سایشی از جنس چدن GGZ-20 </t>
  </si>
  <si>
    <t>32281622</t>
  </si>
  <si>
    <t xml:space="preserve">پمپ دومکشه به سايز اسمي 370-253 دارای محفظه حلزونی و پروانه از جنس چدن GG-25 ، محور از جنس فولاد CK 45 و رینگ های سایشی از جنس چدن GGZ-20 </t>
  </si>
  <si>
    <t>32281623</t>
  </si>
  <si>
    <t xml:space="preserve">پمپ دومکشه به سايز اسمي 300-300 دارای محفظه حلزونی و پروانه از جنس چدن GG-25 ، محور از جنس فولاد CK 45 و رینگ های سایشی از جنس چدن GGZ-20 </t>
  </si>
  <si>
    <t>32281624</t>
  </si>
  <si>
    <t xml:space="preserve">پمپ دومکشه به سايز اسمي 435-300 دارای محفظه حلزونی و پروانه از جنس چدن GG-25 ، محور از جنس فولاد CK 45 و رینگ های سایشی از جنس چدن GGZ-20 </t>
  </si>
  <si>
    <t>32281625</t>
  </si>
  <si>
    <t xml:space="preserve">پمپ دومکشه به سايز اسمي 560-300 دارای محفظه حلزونی و پروانه از جنس چدن GG-25 ، محور از جنس فولاد CK 45 و رینگ های سایشی از جنس چدن GGZ-20 </t>
  </si>
  <si>
    <t>32281626</t>
  </si>
  <si>
    <t xml:space="preserve">پمپ دومکشه به سايز اسمي 700-300 دارای محفظه حلزونی و پروانه از جنس چدن GG-25 ، محور از جنس فولاد CK 45 و رینگ های سایشی از جنس چدن GGZ-20 </t>
  </si>
  <si>
    <t>32281627</t>
  </si>
  <si>
    <t xml:space="preserve">پمپ دومکشه به سايز اسمي 430-350 دارای محفظه حلزونی و پروانه از جنس چدن GG-25 ، محور از جنس فولاد CK 45 و رینگ های سایشی از جنس چدن GGZ-20 </t>
  </si>
  <si>
    <t>32281628</t>
  </si>
  <si>
    <t xml:space="preserve">پمپ دومکشه به سايز اسمي 510-350 دارای محفظه حلزونی و پروانه از جنس چدن GG-25 ، محور از جنس فولاد CK 45 و رینگ های سایشی از جنس چدن GGZ-20 </t>
  </si>
  <si>
    <t>32281629</t>
  </si>
  <si>
    <t xml:space="preserve">پمپ دومکشه به سايز اسمي 630-350 دارای محفظه حلزونی و پروانه از جنس چدن GG-25 ، محور از جنس فولاد CK 45 و رینگ های سایشی از جنس چدن GGZ-20 </t>
  </si>
  <si>
    <t>32281701</t>
  </si>
  <si>
    <t>پمپ شناور به سايز اسمي 152 چهارطبقه  دارای بدنه از جنس چدن و پروانه از جنس برنز از نوع چند کاناله و شعاعی و یا جریان مختلط و محور از جنس فولاد CK 45 و مجهز به آب بند مکانیکی</t>
  </si>
  <si>
    <t>32281702</t>
  </si>
  <si>
    <t>پمپ شناور به سايز اسمي 193 دو طبقه دارای بدنه از جنس چدن و پروانه از جنس برنز از نوع چند کاناله و شعاعی و یا جریان مختلط و محور از جنس فولاد CK 45 و مجهز به آب بند مکانیکی</t>
  </si>
  <si>
    <t>32281703</t>
  </si>
  <si>
    <t>پمپ شناور به سايز اسمي 233 دو طبقه دارای بدنه از جنس چدن و پروانه از جنس برنز از نوع چند کاناله و شعاعی و یا جریان مختلط و محور از جنس فولاد CK 45 و مجهز به آب بند مکانیکی</t>
  </si>
  <si>
    <t>32281704</t>
  </si>
  <si>
    <t>پمپ شناور به سايز اسمي 271 دو طبقه   دارای بدنه از جنس چدن و پروانه از جنس برنز از نوع چند کاناله و شعاعی و یا جریان مختلط و محور از جنس فولاد CK 45 و مجهز به آب بند مکانیکی</t>
  </si>
  <si>
    <t>32281705</t>
  </si>
  <si>
    <t>پمپ شناور به سايز اسمي 293 دو طبقه   دارای بدنه از جنس چدن و پروانه از جنس برنز از نوع چند کاناله و شعاعی و یا جریان مختلط و محور از جنس فولاد CK 45 و مجهز به آب بند مکانیکی</t>
  </si>
  <si>
    <t>32281706</t>
  </si>
  <si>
    <t>پمپ شناور به سايز اسمي 345 دو طبقه   دارای بدنه از جنس چدن و پروانه از جنس برنز از نوع چند کاناله و شعاعی و یا جریان مختلط و محور از جنس فولاد CK 45 و مجهز به آب بند مکانیکی</t>
  </si>
  <si>
    <t>32281707</t>
  </si>
  <si>
    <t>پمپ شناور به سايز اسمي 374 دو طبقه   دارای بدنه از جنس چدن و پروانه از جنس برنز از نوع چند کاناله و شعاعی و یا جریان مختلط و محور از جنس فولاد CK 45 و مجهز به آب بند مکانیکی</t>
  </si>
  <si>
    <t>32281708</t>
  </si>
  <si>
    <t xml:space="preserve">پمپ شناور به سايز اسمي 384 دو طبقه  پ دارای بدنه از جنس چدن و پروانه از جنس برنز از نوع چند کاناله و شعاعی و یا جریان مختلط و محور از جنس فولاد CK 45 و مجهز به آب بند مکانیکی </t>
  </si>
  <si>
    <t>32281709</t>
  </si>
  <si>
    <t>پمپ شناور به سايز اسمي 425 يک طبقه دارای بدنه از جنس چدن و پروانه از جنس برنز از نوع چند کاناله و شعاعی و یا جریان مختلط و محور از جنس فولاد CK 45 و مجهز به آب بند مکانیکی</t>
  </si>
  <si>
    <t>32281710</t>
  </si>
  <si>
    <t>پمپ شناور به سايز اسمي 435 يک طبقه دارای بدنه از جنس چدن و پروانه از جنس برنز از نوع چند کاناله و شعاعی و یا جریان مختلط و محور از جنس فولاد CK 45 و مجهز به آب بند مکانیکی</t>
  </si>
  <si>
    <t>32281711</t>
  </si>
  <si>
    <t>پمپ شناور به سايز اسمي 466 يک طبقه دارای بدنه از جنس چدن و پروانه از جنس برنز از نوع چند کاناله و شعاعی و یا جریان مختلط و محور از جنس فولاد CK 45 و مجهز به آب بند مکانیکی</t>
  </si>
  <si>
    <t>32281712</t>
  </si>
  <si>
    <t>پمپ شناور به سايز اسمي 486 يک طبقه دارای بدنه از جنس چدن و پروانه از جنس برنز از نوع چند کاناله و شعاعی و یا جریان مختلط و محور از جنس فولاد CK 45 و مجهز به آب بند مکانیکی</t>
  </si>
  <si>
    <t>32281822</t>
  </si>
  <si>
    <t xml:space="preserve">ERT با حداکثر فشار 83 بار حداکثر دبی 39 مترمکعب بر ساعت از جنس داپلکس_x000D_
</t>
  </si>
  <si>
    <t>32281823</t>
  </si>
  <si>
    <t xml:space="preserve">ERT با حداکثر فشار 83 بار حداکثر دبی 52 مترمکعب بر ساعت از جنس داپلکس_x000D_
</t>
  </si>
  <si>
    <t>32281824</t>
  </si>
  <si>
    <t xml:space="preserve">ERT با حداکثر فشار 83 بار حداکثر دبی 78 مترمکعب بر ساعت از جنس داپلکس_x000D_
</t>
  </si>
  <si>
    <t>32281825</t>
  </si>
  <si>
    <t xml:space="preserve">ERT با حداکثر فشار 83 بار حداکثر دبی 104 مترمکعب بر ساعت از جنس داپلکس_x000D_
</t>
  </si>
  <si>
    <t>32281826</t>
  </si>
  <si>
    <t xml:space="preserve">ERT با حداکثر فشار 83 بار حداکثر دبی 117 مترمکعب بر ساعت از جنس داپلکس_x000D_
</t>
  </si>
  <si>
    <t>32281827</t>
  </si>
  <si>
    <t xml:space="preserve">ERT با حداکثر فشار 83 بار حداکثر دبی 156 مترمکعب بر ساعت از جنس داپلکس_x000D_
</t>
  </si>
  <si>
    <t>32281828</t>
  </si>
  <si>
    <t xml:space="preserve">ERT با حداکثر فشار 83 بار حداکثر دبی 169 مترمکعب بر ساعت از جنس داپلکس_x000D_
</t>
  </si>
  <si>
    <t>32281829</t>
  </si>
  <si>
    <t xml:space="preserve">ERT با حداکثر فشار 83 بار حداکثر دبی 208 مترمکعب بر ساعت از جنس داپلکس_x000D_
</t>
  </si>
  <si>
    <t>32281830</t>
  </si>
  <si>
    <t xml:space="preserve">ERT با حداکثر فشار 83 بار حداکثر دبی 234 مترمکعب بر ساعت از جنس داپلکس_x000D_
</t>
  </si>
  <si>
    <t>32281831</t>
  </si>
  <si>
    <t xml:space="preserve">ERT با حداکثر فشار 83 بار حداکثر دبی 325 مترمکعب بر ساعت از جنس داپلکس_x000D_
</t>
  </si>
  <si>
    <t>32281832</t>
  </si>
  <si>
    <t xml:space="preserve">ERT با حداکثر فشار 83 بار حداکثر دبی 455 مترمکعب بر ساعت از جنس داپلکس_x000D_
</t>
  </si>
  <si>
    <t>32281901</t>
  </si>
  <si>
    <t xml:space="preserve">"پمپ_x000D_
 فشارقوی با حداکثر دبی 9 متر مکعب برساعت حداکثر فشار 22 بار از جنس استیل (32wkl-10)316."_x000D_
</t>
  </si>
  <si>
    <t>32281902</t>
  </si>
  <si>
    <t xml:space="preserve">"پمپ_x000D_
 فشارقوی با حداکثر دبی حدود  9 متر مکعب برساعت حداکثر فشار 103 بار از جنس استیل_x000D_
(40-16طبقه)  316."_x000D_
</t>
  </si>
  <si>
    <t>32281903</t>
  </si>
  <si>
    <t>"پمپ
 فشارقوی با حداکثر دبی حدود 12 متر مکعب برساعت حداکثر فشار 28.4 بار از جنس    316."
استیل
50-14</t>
  </si>
  <si>
    <t>32281904</t>
  </si>
  <si>
    <t xml:space="preserve">پمپ فشارقوی با حداکثر دبی حدود 17 متر مکعب برساعت حداکثر فشار 69 بار از جنس استیل316.-10_x000D_
_x000D_-65
</t>
  </si>
  <si>
    <t>32281905</t>
  </si>
  <si>
    <t>_x000D_
پمپ فشارقوی با حداکثر دبی حدود  20 متر مکعب برساعت حداکثر فشار 26 بار از جنس استیل 316._x000D_
80-2</t>
  </si>
  <si>
    <t>32281906</t>
  </si>
  <si>
    <t>_x000D_
پمپ فشارقوی با حداکثر دبی حدود 24 متر مکعب برساعت حداکثر فشار 28.9 بار از جنس استیل 316._x000D_
65-8</t>
  </si>
  <si>
    <t>32281907</t>
  </si>
  <si>
    <t xml:space="preserve">_x000D_
پمپ فشارقوی با حداکثر دبی حدود  25 متر مکعب برساعت حداکثر فشار 11.8 بار از جنس استیل316 -50-10
</t>
  </si>
  <si>
    <t>32281908</t>
  </si>
  <si>
    <t>_x000D_
پمپ فشارقوی با حداکثر دبی  حدود 36 متر مکعب برساعت حداکثر فشار 35 بار از جنس استیل 316.
65-11</t>
  </si>
  <si>
    <t>32281909</t>
  </si>
  <si>
    <t>پمپ فشارقوی با حداکثر دبی 40 متر مکعب برساعت حداکثر فشار 19.6 بار از جنس استیل 316._x000D_
80-3</t>
  </si>
  <si>
    <t>32281910</t>
  </si>
  <si>
    <t xml:space="preserve">پمپ فشارقوی با حداکثر دبی 45 متر مکعب برساعت حداکثر فشار 22 بار از جنس استیل 316._x000D_
</t>
  </si>
  <si>
    <t>32281911</t>
  </si>
  <si>
    <t xml:space="preserve">پمپ فشارقوی با حداکثر دبی 49 متر مکعب برساعت حداکثر فشار 24.9 بار از جنس استیل  316._x000D_
</t>
  </si>
  <si>
    <t>32281912</t>
  </si>
  <si>
    <t>پمپ فشارقوی با حداکثر دبی 80 متر مکعب برساعت حداکثر فشار 24.9 بار از جنس استیل  100-8
316</t>
  </si>
  <si>
    <t>32281913</t>
  </si>
  <si>
    <t xml:space="preserve">پمپ فشارقوی با حداکثر دبی حدود 200 متر مکعب برساعت حداکثر فشار 26.2 بار از جنس استیل 316._x000D_
</t>
  </si>
  <si>
    <t>32281914</t>
  </si>
  <si>
    <t xml:space="preserve">پمپ فشارقوی با حداکثر دبی  حدود 300 متر مکعب برساعت حداکثر فشار 39.2 بار از جنس استیل 316._x000D_
</t>
  </si>
  <si>
    <t>32281915</t>
  </si>
  <si>
    <t xml:space="preserve">پمپ فشارقوی با حداکثر دبی حدود 400 متر مکعب برساعت حداکثر فشار 44.1 بار از جنس استیل 316._x000D_
</t>
  </si>
  <si>
    <t>32281916</t>
  </si>
  <si>
    <t xml:space="preserve">پمپ فشارقوی با حداکثر دبی حدود 440 متر مکعب برساعت حداکثر فشار 30.2 بار از جنس استیل 316._x000D_
</t>
  </si>
  <si>
    <t>32281917</t>
  </si>
  <si>
    <t xml:space="preserve">پمپ فشارقوی با حداکثر دبی  حدود 500 متر مکعب برساعت حداکثر فشار 58.8 بار از جنس استیل 316._x000D_
</t>
  </si>
  <si>
    <t>32281918</t>
  </si>
  <si>
    <t xml:space="preserve">پمپ فشارقوی با حداکثر دبی حدود 800 متر مکعب برساعت حداکثر فشار 39.2 بار از جنس استیل  316._x000D_
</t>
  </si>
  <si>
    <t>32281919</t>
  </si>
  <si>
    <t xml:space="preserve">پمپ فشارقوی با حداکثر دبی حدود 900 متر مکعب برساعت حداکثر فشار 88.2 بار از جنس استیل 316._x000D_
</t>
  </si>
  <si>
    <t>32281920</t>
  </si>
  <si>
    <t xml:space="preserve">پمپ فشارقوی با حداکثر دبی حدود 1500 متر مکعب برساعت حداکثر فشار 12.75 بار از جنس استیل 316._x000D_
</t>
  </si>
  <si>
    <t>فهرست 1401</t>
  </si>
  <si>
    <t>طول گستر</t>
  </si>
  <si>
    <t>سه ماهه چهارم- فهرست 1401</t>
  </si>
  <si>
    <t>واحد</t>
  </si>
  <si>
    <t>چهارم 1400</t>
  </si>
  <si>
    <t>رشد به فهرست</t>
  </si>
  <si>
    <t>رشد به خودش</t>
  </si>
  <si>
    <t>سه ماههه چهارم 1401 نهایی</t>
  </si>
  <si>
    <t>32320101</t>
  </si>
  <si>
    <t xml:space="preserve">همزن مستغرق افق نصب دور کند با توان الکتریکال 0/75 کیلووات با جنس پروانه پلیمری ،دارای 2 پره ، شافت از جنس SS ،با الکتروموتور 4 قطب ازنوع قفسه سنجابی، 3 فاز، پنجاه هرتز دارای کلاس حرارتی F،دارای مکانیکال سیل از نوع SINGLE و دارای سنسور دما </t>
  </si>
  <si>
    <t>خارج از رنج تولید</t>
  </si>
  <si>
    <t>32320102</t>
  </si>
  <si>
    <t xml:space="preserve">همزن مستغرق افق نصب دور کند با توان الکتریکال 1/1 کیلووات با جنس پروانه پلیمری ،دارای 2 پره ، شافت از جنس SS ،با الکتروموتور 4 قطب ازنوع قفسه سنجابی، 3 فاز، پنجاه هرتز دارای کلاس حرارتی F،دارای مکانیکال سیل از نوع SINGLE و دارای سنسور دما </t>
  </si>
  <si>
    <t>32320103</t>
  </si>
  <si>
    <t xml:space="preserve">همزن مستغرق افق نصب دور کند با توان الکتریکال 1/5 کیلووات با جنس پروانه پلیمری ،دارای 2 پره ، شافت از جنس SS ،با الکتروموتور 4 قطب ازنوع قفسه سنجابی، 3 فاز، پنجاه هرتز دارای کلاس حرارتی F،دارای مکانیکال سیل از نوع SINGLE و دارای سنسور دما </t>
  </si>
  <si>
    <t>32320104</t>
  </si>
  <si>
    <t xml:space="preserve">همزن مستغرق افق نصب دور کند با توان الکتریکال 2/2 کیلووات با جنس پروانه پلیمری ،دارای 2 پره ، شافت از جنس SS ،با الکتروموتور 4 قطب ازنوع قفسه سنجابی، 3 فاز، پنجاه هرتز دارای کلاس حرارتی F،دارای مکانیکال سیل از نوع SINGLE و دارای سنسور دما </t>
  </si>
  <si>
    <t>32320105</t>
  </si>
  <si>
    <t xml:space="preserve">همزن مستغرق افق نصب دور کند با توان الکتریکال 3 کیلووات با جنس پروانه پلیمری ،دارای 2 پره ، شافت از جنس SS ،با الکتروموتور 4 قطب ازنوع قفسه سنجابی، 3 فاز، پنجاه هرتز دارای کلاس حرارتی F،دارای مکانیکال سیل از نوع SINGLE و دارای سنسور دما </t>
  </si>
  <si>
    <t>32320106</t>
  </si>
  <si>
    <t xml:space="preserve">همزن مستغرق افق نصب دور کند با توان الکتریکال 4 کیلووات با جنس پروانه پلیمری ،دارای 2 پره ، شافت از جنس SS ،با الکتروموتور 4 قطب ازنوع قفسه سنجابی، 3 فاز، پنجاه هرتز دارای کلاس حرارتی F،دارای مکانیکال سیل از نوع SINGLE و دارای سنسور دما </t>
  </si>
  <si>
    <t>32320107</t>
  </si>
  <si>
    <t xml:space="preserve">همزن مستغرق افق نصب دور کند با توان الکتریکال 5/5 کیلووات با جنس پروانه پلیمری ،دارای 2 پره ، شافت از جنس SS ،با الکتروموتور 4 قطب ازنوع قفسه سنجابی، 3 فاز، پنجاه هرتز دارای کلاس حرارتی F،دارای مکانیکال سیل از نوع SINGLE و دارای سنسور دما </t>
  </si>
  <si>
    <t>32320108</t>
  </si>
  <si>
    <t xml:space="preserve">همزن مستغرق افق نصب دور کند با توان الکتریکال 7/5 کیلووات با جنس پروانه پلیمری ،دارای 2 پره ، شافت از جنس SS ،با الکتروموتور 4 قطب ازنوع قفسه سنجابی، 3 فاز، پنجاه هرتز دارای کلاس حرارتی F،دارای مکانیکال سیل از نوع SINGLE و دارای سنسور دما </t>
  </si>
  <si>
    <t>32320109</t>
  </si>
  <si>
    <t xml:space="preserve">همزن مستغرق افق نصب دور کند با توان الکتریکال 9 کیلووات با جنس پروانه پلیمری ،دارای 2 پره ، شافت از جنس SS ،با الکتروموتور 4 قطب ازنوع قفسه سنجابی، 3 فاز، پنجاه هرتز دارای کلاس حرارتی F،دارای مکانیکال سیل از نوع SINGLE و دارای سنسور دما </t>
  </si>
  <si>
    <t>غیر قابل تولید</t>
  </si>
  <si>
    <t>32320110</t>
  </si>
  <si>
    <t xml:space="preserve">همزن مستغرق افق نصب دور کند با توان الکتریکال 11 کیلووات با جنس پروانه پلیمری ،دارای 2 پره ، شافت از جنس SS ،با الکتروموتور 4 قطب ازنوع قفسه سنجابی، 3 فاز، پنجاه هرتز دارای کلاس حرارتی F،دارای مکانیکال سیل از نوع SINGLE و دارای سنسور دما </t>
  </si>
  <si>
    <t>32320111</t>
  </si>
  <si>
    <t xml:space="preserve">همزن مستغرق افق نصب دور کند با توان الکتریکال 15 کیلووات با جنس پروانه پلیمری ،دارای 2 پره ، شافت از جنس SS ،با الکتروموتور 4 قطب ازنوع قفسه سنجابی، 3 فاز، پنجاه هرتز دارای کلاس حرارتی F،دارای مکانیکال سیل از نوع SINGLE و دارای سنسور دما </t>
  </si>
  <si>
    <t>32320112</t>
  </si>
  <si>
    <t xml:space="preserve">همزن مستغرق افق نصب دور کند با توان الکتریکال 18/5 کیلووات با جنس پروانه پلیمری ،دارای 2 پره ، شافت از جنس SS ،با الکتروموتور 4 قطب ازنوع قفسه سنجابی، 3 فاز، پنجاه هرتز دارای کلاس حرارتی F،دارای مکانیکال سیل از نوع SINGLE و دارای سنسور دما </t>
  </si>
  <si>
    <t>32320113</t>
  </si>
  <si>
    <t xml:space="preserve">همزن مستغرق افق نصب دور کند با توان الکتریکال 22 کیلووات با جنس پروانه پلیمری ،دارای 2 پره ، شافت از جنس SS ،با الکتروموتور 4 قطب ازنوع قفسه سنجابی، 3 فاز، پنجاه هرتز دارای کلاس حرارتی F،دارای مکانیکال سیل از نوع SINGLE و دارای سنسور دما </t>
  </si>
  <si>
    <t>32320114</t>
  </si>
  <si>
    <t xml:space="preserve">همزن مستغرق افق نصب دور کند با توان الکتریکال 30 کیلووات با جنس پروانه پلیمری ،دارای 2 پره ، شافت از جنس SS ،با الکتروموتور 4 قطب ازنوع قفسه سنجابی، 3 فاز، پنجاه هرتز دارای کلاس حرارتی F،دارای مکانیکال سیل از نوع SINGLE و دارای سنسور دما  </t>
  </si>
  <si>
    <t>32320115</t>
  </si>
  <si>
    <t>همزن مستغرق افق نصب دور متوسط با توان الکتریکال 0/75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</si>
  <si>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32320116</t>
  </si>
  <si>
    <t>همزن مستغرق افق نصب دور متوسط با توان الکتریکال 1/1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</si>
  <si>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32320117</t>
  </si>
  <si>
    <t>همزن مستغرق افق نصب دور متوسط با توان الکتریکال 1/5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</si>
  <si>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32320118</t>
  </si>
  <si>
    <t>همزن مستغرق افق نصب دور متوسط با توان الکتریکال 2/2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</si>
  <si>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32320119</t>
  </si>
  <si>
    <t>همزن مستغرق افق نصب دور متوسط با توان الکتریکال 3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</si>
  <si>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32320120</t>
  </si>
  <si>
    <t>همزن مستغرق افق نصب دور متوسط با توان الکتریکال 4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</si>
  <si>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32320121</t>
  </si>
  <si>
    <t>همزن مستغرق افق نصب دور متوسط با توان الکتریکال 5/5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</si>
  <si>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32320122</t>
  </si>
  <si>
    <t>همزن مستغرق افق نصب دور متوسط با توان الکتریکال 7/5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</si>
  <si>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32320123</t>
  </si>
  <si>
    <t>همزن مستغرق افق نصب دور متوسط با توان الکتریکال 9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</si>
  <si>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32320124</t>
  </si>
  <si>
    <t>همزن مستغرق افق نصب دور متوسط با توان الکتریکال 11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</si>
  <si>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32320125</t>
  </si>
  <si>
    <t>همزن مستغرق افق نصب دور متوسط با توان الکتریکال 15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</si>
  <si>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32320126</t>
  </si>
  <si>
    <t>همزن مستغرق افق نصب دور متوسط با توان الکتریکال 18/5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</si>
  <si>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32320127</t>
  </si>
  <si>
    <t>همزن مستغرق افق نصب دور متوسط با توان الکتریکال 22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</si>
  <si>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32320129</t>
  </si>
  <si>
    <t>همزن مستغرق افق نصب دور تند با توان الکتریکال 0/75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</si>
  <si>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32320130</t>
  </si>
  <si>
    <t>همزن مستغرق افق نصب دور تند با توان الکتریکال 1/1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</si>
  <si>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32320131</t>
  </si>
  <si>
    <t>همزن مستغرق افق نصب دور تند با توان الکتریکال 1/5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</si>
  <si>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32320132</t>
  </si>
  <si>
    <t>همزن مستغرق افق نصب دور تند با توان الکتریکال 2/2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</si>
  <si>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32320133</t>
  </si>
  <si>
    <t>همزن مستغرق افق نصب دور تند با توان الکتریکال 3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</si>
  <si>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32320134</t>
  </si>
  <si>
    <t>همزن مستغرق افق نصب دور تند با توان الکتریکال 4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</si>
  <si>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32320135</t>
  </si>
  <si>
    <t>همزن مستغرق افق نصب دور تند با توان الکتریکال 5/5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</si>
  <si>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32320136</t>
  </si>
  <si>
    <t>همزن مستغرق افق نصب دور تند با توان الکتریکال 7/5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</si>
  <si>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32320137</t>
  </si>
  <si>
    <t>همزن مستغرق افق نصب دور تند با توان الکتریکال 9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</si>
  <si>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32320138</t>
  </si>
  <si>
    <t>همزن مستغرق افق نصب دور تند با توان الکتریکال 11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</si>
  <si>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32320139</t>
  </si>
  <si>
    <t>همزن مستغرق افق نصب دور تند با توان الکتریکال 15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</si>
  <si>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32320140</t>
  </si>
  <si>
    <t>همزن مستغرق افق نصب دور تند با توان الکتریکال 18/5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</si>
  <si>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32320141</t>
  </si>
  <si>
    <t>همزن مستغرق افق نصب دور تند با توان الکتریکال 22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</si>
  <si>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32320142</t>
  </si>
  <si>
    <t>همزن مستغرق افق نصب دور تند با توان الکتریکال 30 کیلووات با جنس پروانه GG25 ،دارای 2 پره ، شافت از جنس SS ،با الکتروموتور 4 قطب ازنوع قفسه سنجابی، 3 فاز، پنجاه هرتز دارای کلاس حرارتی F،دارای مکانیکال سیل از نوع SINGLE و دارای سنسور دما و رطوبت</t>
  </si>
  <si>
    <t>32320201</t>
  </si>
  <si>
    <t>درفت تیوب جهت هاضم بی هوازی تا حجم 800 متر مکعب</t>
  </si>
  <si>
    <t>32320202</t>
  </si>
  <si>
    <t>درفت تیوب جهت هاضم بی هوازی از حجم 800 متر مکعب تا حجم 1500 متر مکعب</t>
  </si>
  <si>
    <t>32320203</t>
  </si>
  <si>
    <t>درفت تیوب جهت هاضم بی هوازی از حجم 1500 متر مکعب تا حجم 2100 متر مکعب</t>
  </si>
  <si>
    <t>32320204</t>
  </si>
  <si>
    <t>درفت تیوب جهت هاضم بی هوازی از حجم 2100 متر مکعب تا حجم 4500 متر مکعب</t>
  </si>
  <si>
    <t>32320205</t>
  </si>
  <si>
    <t>درفت تیوب جهت هاضم بی هوازی از حجم 4500 متر مکعب تا حجم 6500 متر مکعب</t>
  </si>
  <si>
    <t>32320206</t>
  </si>
  <si>
    <t>درفت تیوب جهت هاضم بی هوازی از حجم 6500 متر مکعب تا حجم 9200 متر مکعب</t>
  </si>
  <si>
    <t>32320207</t>
  </si>
  <si>
    <t>درفت تیوب جهت هاضم بی هوازی از حجم 9200 متر مکعب تا حجم 12000 متر مکعب</t>
  </si>
  <si>
    <t>رشد</t>
  </si>
  <si>
    <t>سه ماهه چهارم 1401 نهایی</t>
  </si>
  <si>
    <t>32330101</t>
  </si>
  <si>
    <t xml:space="preserve">آشغالگیر مکانیکی درشت‌دانه از نوع باراسکرین جهت نصب در کانال به عرض 60 سانتی‌متر و ارتفاع 80 سانتی‌متربا فاصله باز بین میله‌ها50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t>
  </si>
  <si>
    <t>32330102</t>
  </si>
  <si>
    <t xml:space="preserve">آشغالگیر مکانیکی درشت‌دانه از نوع باراسکرین جهت نصب در کانال به عرض 80 سانتی‌مترو ارتفاع تا100 سانتی‌متربا فاصله باز بین میله‌ها50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t>
  </si>
  <si>
    <t>32330103</t>
  </si>
  <si>
    <t>آشغالگیر مکانیکی درشت‌دانه از نوع باراسکرین جهت نصب در کانال به عرض 100 سانتی‌مترو ارتفاع تا 120 سانتی‌متربا فاصله باز بین میله‌ها50 میلیمتر از جنس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AISI-304_x000D_</t>
  </si>
  <si>
    <t>32330104</t>
  </si>
  <si>
    <t>آشغالگیر مکانیکی درشت‌دانه از نوع باراسکرین جهت نصب در کانال به عرض 120 سانتی‌مترو ارتفاع تا 130 سانتی‌متربا فاصله باز بین میله‌ها50 میلیمتر از جنس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AISI-304_x000D_</t>
  </si>
  <si>
    <t>32330105</t>
  </si>
  <si>
    <t xml:space="preserve">آشغالگیر مکانیکی درشت‌دانه از نوع باراسکرین جهت نصب در کانال به عرض 140سانتی‌مترو ارتفاع تا 140 سانتی‌متربا فاصله باز بین میله‌ها50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t>
  </si>
  <si>
    <t>32330106</t>
  </si>
  <si>
    <t xml:space="preserve">آشغالگیر مکانیکی درشت‌دانه از نوع باراسکرین جهت نصب در کانال به عرض 160 سانتی‌مترو ارتفاع تا 160 سانتی‌متربا فاصله باز بین میله‌ها50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</si>
  <si>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32330107</t>
  </si>
  <si>
    <t xml:space="preserve">آشغالگیر مکانیکی درشت‌دانه از نوع باراسکرین جهت نصب در کانال به عرض 180 سانتی‌مترو ارتفاع تا 180 سانتی‌متربا فاصله باز بین میله‌ها50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</si>
  <si>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32330108</t>
  </si>
  <si>
    <t xml:space="preserve">آشغالگیر مکانیکی درشت‌دانه از نوع باراسکرین جهت نصب در کانال به عرض 200سانتی‌مترو ارتفاع تا 200 سانتی‌متربا فاصله باز بین میله‌ها50 میلیمتر از جنس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AISI-304_x000D_
</t>
  </si>
  <si>
    <t>32330109</t>
  </si>
  <si>
    <t xml:space="preserve">آشغالگیر مکانیکی درشت‌دانه از نوع باراسکرین جهت نصب در کانال به عرض 60 سانتی‌مترو ارتفاع تا80 سانتی‌متربا فاصله باز بین میله‌ها15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</si>
  <si>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32330110</t>
  </si>
  <si>
    <t xml:space="preserve">آشغالگیر مکانیکی درشت‌دانه از نوع باراسکرین جهت نصب در کانال به عرض 80 سانتی‌مترو ارتفاع تا100 سانتی‌متربا فاصله باز بین میله‌ها15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</si>
  <si>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32330111</t>
  </si>
  <si>
    <t xml:space="preserve">آشغالگیر مکانیکی درشت‌دانه از نوع باراسکرین جهت نصب در کانال به عرض 100 سانتی‌مترو ارتفاع تا 120 سانتی‌متربا فاصله باز بین میله‌ها15 میلیمتر از جنس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AISI-304_x000D_
</t>
  </si>
  <si>
    <t>32330112</t>
  </si>
  <si>
    <t xml:space="preserve">آشغالگیر مکانیکی درشت‌دانه از نوع باراسکرین جهت نصب در کانال به عرض 120 سانتی‌مترو ارتفاع تا 130 سانتی‌متربا فاصله باز بین میله‌ها15 میلیمتر از جنس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AISI-304_x000D_
</t>
  </si>
  <si>
    <t>32330113</t>
  </si>
  <si>
    <t xml:space="preserve">آشغالگیر مکانیکی درشت‌دانه از نوع باراسکرین جهت نصب در کانال به عرض 140سانتی‌مترو ارتفاع تا 140 سانتی‌متربا فاصله باز بین میله‌ها15 میلیمتر از جنس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AISI-304_x000D_
</t>
  </si>
  <si>
    <t>32330114</t>
  </si>
  <si>
    <t xml:space="preserve">آشغالگیر مکانیکی درشت‌دانه از نوع باراسکرین جهت نصب در کانال به عرض 160 سانتی‌مترو ارتفاع تا 160 سانتی‌متربا فاصله باز بین میله‌ها15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</si>
  <si>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32330115</t>
  </si>
  <si>
    <t xml:space="preserve">آشغالگیر مکانیکی درشت‌دانه از نوع باراسکرین جهت نصب در کانال به عرض 180 سانتی‌مترو ارتفاع تا 180 سانتی‌متربا فاصله باز بین میله‌ها15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</si>
  <si>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32330116</t>
  </si>
  <si>
    <t xml:space="preserve">آشغالگیر مکانیکی درشت‌دانه از نوع باراسکرین جهت نصب در کانال به عرض 200سانتی‌مترو ارتفاع تا 200 سانتی‌متربا فاصله باز بین میله‌ها15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</si>
  <si>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32330117</t>
  </si>
  <si>
    <t xml:space="preserve">آشغالگیر مکانیکی درشت‌دانه از نوع باراسکرین جهت نصب در کانال به عرض 60 سانتی‌مترو ارتفاع تا80 سانتی‌متربا فاصله باز بین میله‌ها10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</si>
  <si>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32330118</t>
  </si>
  <si>
    <t xml:space="preserve">آشغالگیر مکانیکی درشت‌دانه از نوع باراسکرین جهت نصب در کانال به عرض 80 سانتی‌مترو ارتفاع تا100 سانتی‌متربا فاصله باز بین میله‌ها10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</si>
  <si>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32330119</t>
  </si>
  <si>
    <t xml:space="preserve">آشغالگیر مکانیکی درشت‌دانه از نوع باراسکرین جهت نصب در کانال به عرض 100 سانتی‌مترو ارتفاع تا 120 سانتی‌متربا فاصله باز بین میله‌ها10 میلیمتر از جنس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AISI-304_x000D_
</t>
  </si>
  <si>
    <t>32330120</t>
  </si>
  <si>
    <t xml:space="preserve">آشغالگیر مکانیکی درشت‌دانه از نوع باراسکرین جهت نصب در کانال به عرض 120 سانتی‌مترو ارتفاع تا 130 سانتی‌متربا فاصله باز بین میله‌ها10 میلیمتر از جنس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AISI-304_x000D_
</t>
  </si>
  <si>
    <t>32330121</t>
  </si>
  <si>
    <t xml:space="preserve">آشغالگیر مکانیکی درشت‌دانه از نوع باراسکرین جهت نصب در کانال به عرض 140سانتی‌مترو ارتفاع تا 140 سانتی‌متربا فاصله باز بین میله‌ها10 میلیمتر از جنس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AISI-304_x000D_
</t>
  </si>
  <si>
    <t>32330122</t>
  </si>
  <si>
    <t xml:space="preserve">آشغالگیر مکانیکی درشت‌دانه از نوع باراسکرین جهت نصب در کانال به عرض 160 سانتی‌مترو ارتفاع تا 160 سانتی‌متربا فاصله باز بین میله‌ها10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</si>
  <si>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32330123</t>
  </si>
  <si>
    <t xml:space="preserve">آشغالگیر مکانیکی درشت‌دانه از نوع باراسکرین جهت نصب در کانال به عرض 180 سانتی‌مترو ارتفاع تا 180 سانتی‌متربا فاصله باز بین میله‌ها10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</si>
  <si>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32330124</t>
  </si>
  <si>
    <t xml:space="preserve">آشغالگیر مکانیکی درشت‌دانه از نوع باراسکرین جهت نصب در کانال به عرض 200سانتی‌مترو ارتفاع تا 200 سانتی‌متربا فاصله باز بین میله‌ها10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</si>
  <si>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32330125</t>
  </si>
  <si>
    <t xml:space="preserve">آشغالگیر مکانیکی ریزدانه از نوع باراسکرین جهت نصب در کانال به عرض 60 سانتی‌مترو ارتفاع تا80 سانتی‌متربا فاصله باز بین میله‌ها 6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</si>
  <si>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32330126</t>
  </si>
  <si>
    <t xml:space="preserve">آشغالگیر مکانیکی ریزدانه از نوع باراسکرین جهت نصب در کانال به عرض 80 سانتی‌مترو ارتفاع تا100 سانتی‌متربا فاصله باز بین میله‌ها 6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</si>
  <si>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32330127</t>
  </si>
  <si>
    <t xml:space="preserve">آشغالگیر مکانیکی ریزدانه از نوع باراسکرین جهت نصب در کانال به عرض 100 سانتی‌مترو ارتفاع تا 120 سانتی‌متربا فاصله باز بین میله‌ها 6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</si>
  <si>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32330128</t>
  </si>
  <si>
    <t xml:space="preserve">آشغالگیر مکانیکی ریزدانه از نوع باراسکرین جهت نصب در کانال به عرض 120 سانتی‌مترو ارتفاع تا 130 سانتی‌متربا فاصله باز بین میله‌ها 6 میلیمتر از جنس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.AISI-304_x000D_
</t>
  </si>
  <si>
    <t>32330129</t>
  </si>
  <si>
    <t xml:space="preserve">آشغالگیر مکانیکی ریزدانه از نوع باراسکرین جهت نصب در کانال به عرض 140سانتی‌مترو ارتفاع تا 140 سانتی‌متربا فاصله باز بین میله‌ها 6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</si>
  <si>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32330130</t>
  </si>
  <si>
    <t xml:space="preserve">آشغالگیر مکانیکی ریزدانه از نوع باراسکرین جهت نصب در کانال به عرض 160 سانتی‌مترو ارتفاع تا 160 سانتی‌متربا فاصله باز بین میله‌ها 6 میلیمتر از جنس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AISI-304 _x000D_
</t>
  </si>
  <si>
    <t>32330131</t>
  </si>
  <si>
    <t xml:space="preserve">آشغالگیر مکانیکی ریزدانه از نوع باراسکرین جهت نصب در کانال به عرض 180 سانتی‌مترو ارتفاع تا 180 سانتی‌متربا فاصله باز بین میله‌ها 6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</si>
  <si>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32330132</t>
  </si>
  <si>
    <t xml:space="preserve">آشغالگیر مکانیکی ریزدانه از نوع باراسکرین جهت نصب در کانال به عرض 200سانتی‌مترو ارتفاع تا 200 سانتی‌متربا فاصله باز بین میله‌ها 6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</si>
  <si>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32330133</t>
  </si>
  <si>
    <t xml:space="preserve">آشغالگیر مکانیکی ریزدانهاز نوع باراسکرین جهت نصب در کانال به عرض 60 سانتی‌مترو ارتفاع 80 سانتی‌متربا فاصله باز بین میله‌ها 4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</si>
  <si>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32330134</t>
  </si>
  <si>
    <t xml:space="preserve">آشغالگیر مکانیکی ریزدانه از نوع باراسکرین جهت نصب در کانال به عرض 80 سانتی‌مترو ارتفاع تا100 سانتی‌متربا فاصله باز بین میله‌ها4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</si>
  <si>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32330135</t>
  </si>
  <si>
    <t xml:space="preserve">آشغالگیر مکانیکی ریزدانه از نوع باراسکرین جهت نصب در کانال به عرض 100 سانتی‌مترو ارتفاع تا 120 سانتی‌متربا فاصله باز بین میله‌ها4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</si>
  <si>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32330136</t>
  </si>
  <si>
    <t xml:space="preserve">آشغالگیر مکانیکی ریزدانه از نوع باراسکرین جهت نصب در کانال به عرض 120 سانتی‌مترو ارتفاع تا 130 سانتی‌متربا فاصله باز بین میله‌ها4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</si>
  <si>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32330137</t>
  </si>
  <si>
    <t xml:space="preserve">آشغالگیر مکانیکی ریزدانه از نوع باراسکرین جهت نصب در کانال به عرض 140سانتی‌مترو ارتفاع تا 140 سانتی‌متربا فاصله باز بین میله‌ها4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</si>
  <si>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32330138</t>
  </si>
  <si>
    <t xml:space="preserve">آشغالگیر مکانیکی ریزدانه از نوع باراسکرین جهت نصب در کانال به عرض 160 سانتی‌مترو ارتفاع تا 160 سانتی‌متربا فاصله باز بین میله‌ها4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</si>
  <si>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32330139</t>
  </si>
  <si>
    <t xml:space="preserve">آشغالگیر مکانیکی ریزدانه از نوع باراسکرین جهت نصب در کانال به عرض 180 سانتی‌مترو ارتفاع تا 180 سانتی‌متربا فاصله باز بین میله‌ها4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</si>
  <si>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32330140</t>
  </si>
  <si>
    <t xml:space="preserve">آشغالگیر مکانیکی ریزدانه از نوع باراسکرین جهت نصب در کانال به عرض 200 سانتی‌مترو ارتفاع تا 200 سانتی‌متربا فاصله باز بین میله‌ها4 میلیمتر از جنس AISI-304 دارای بدنه تیغه ها و چنگک همگی از جنس AISI304  می باشد.ضخامت بدنه برابر با 5 میلیمتر می باشد.آشغالگیرهای مکانیکی موضوع ردیف گروه 1 می بایست دارای پاک کننده خودکار جهت تخلیه آشغال های جمع آوری شده  به محل تخلیه _x000D_
</t>
  </si>
  <si>
    <t>32330209</t>
  </si>
  <si>
    <t xml:space="preserve">آشغالگیر مکانیکی درشت‌دانه از نوع استپ اسکرین جهت نصب در کانال به عرض 60 سانتی‌مترو ارتفاع 80 سانتی‌متربا فاصله باز بین میله‌ها10میلیمتر از جنس AISI-304 ضخامت بدنه برابر با 5 میلیمتر می باشد. آشغالگیرهای مکانیکی موضوع ردیف گروه 2 می بایست دارای پاک کننده خودکار جهت تخلیه آشغال های جمع آوری شده دستگاه به محل تخلیه _x000D_
</t>
  </si>
  <si>
    <t>32330210</t>
  </si>
  <si>
    <t xml:space="preserve">آشغالگیر مکانیکی درشت‌دانه از نوع استپ اسکرین جهت نصب در کانال به عرض 80 سانتی‌مترو ارتفاع تا100 سانتی‌متربا فاصله باز بین میله‌ها10 میلیمتر از جنس AISI-304 ضخامت بدنه برابر با 5 میلیمتر می باشد. آشغالگیرهای مکانیکی موضوع ردیف گروه 2 می بایست دارای پاک کننده خودکار جهت تخلیه آشغال های جمع آوری شده دستگاه به محل تخلیه _x000D_
</t>
  </si>
  <si>
    <t>32330211</t>
  </si>
  <si>
    <t xml:space="preserve">آشغالگیر مکانیکی درشت‌دانه از نوع استپ اسکرین جهت نصب در کانال به عرض 100 سانتی‌مترو ارتفاع تا 120 سانتی‌متربا فاصله باز بین میله‌ها10 میلیمتر از جنس AISI-304 ضخامت بدنه برابر با 5 میلیمتر می باشد. آشغالگیرهای مکانیکی موضوع ردیف گروه 2 می بایست دارای پاک کننده خودکار جهت تخلیه آشغال های جمع آوری شده دستگاه به محل تخلیه </t>
  </si>
  <si>
    <t>32330212</t>
  </si>
  <si>
    <t xml:space="preserve">آشغالگیر مکانیکی درشت‌دانه از نوع استپ اسکرین جهت نصب در کانال به عرض 120 سانتی‌مترو ارتفاع تا 130 سانتی‌متربا فاصله باز بین میله‌ها10 میلیمتر از جنس AISI-304 ضخامت بدنه برابر با 5 میلیمتر می باشد. آشغالگیرهای مکانیکی موضوع ردیف گروه 2 می بایست دارای پاک کننده خودکار جهت تخلیه آشغال های جمع آوری شده دستگاه به محل تخلیه </t>
  </si>
  <si>
    <t>32330213</t>
  </si>
  <si>
    <t xml:space="preserve">آشغالگیر مکانیکی درشت‌دانه از نوع استپ اسکرین جهت نصب در کانال به عرض 140سانتی‌مترو ارتفاع تا 140 سانتی‌متربا فاصله باز بین میله‌ها10 میلیمتر از جنس AISI-304 ضخامت بدنه برابر با 5 میلیمتر می باشد. آشغالگیرهای مکانیکی موضوع ردیف گروه 2 می بایست دارای پاک کننده خودکار جهت تخلیه آشغال های جمع آوری شده دستگاه به محل تخلیه _x000D_
</t>
  </si>
  <si>
    <t>32330214</t>
  </si>
  <si>
    <t xml:space="preserve">آشغالگیر مکانیکی درشت‌دانه از نوع استپ اسکرین جهت نصب در کانال به عرض 160سانتی‌مترو ارتفاع تا 160 سانتی‌متربا فاصله باز بین میله‌ها10 میلیمتر از جنس AISI-304 ضخامت بدنه برابر با 5 میلیمتر می باشد. آشغالگیرهای مکانیکی موضوع ردیف گروه 2 می بایست دارای پاک کننده خودکار جهت تخلیه آشغال های جمع آوری شده دستگاه به محل تخلیه _x000D_
</t>
  </si>
  <si>
    <t>32330215</t>
  </si>
  <si>
    <t xml:space="preserve">آشغالگیر مکانیکی درشت‌دانه از نوع استپ اسکرین جهت نصب در کانال به عرض 180 سانتی‌مترو ارتفاع تا 180 سانتی‌متربا فاصله باز بین میله‌ها10 میلیمتر از جنس AISI-304 ضخامت بدنه برابر با 5 میلیمتر می باشد. آشغالگیرهای مکانیکی موضوع ردیف گروه 2 می بایست دارای پاک کننده خودکار جهت تخلیه آشغال های جمع آوری شده دستگاه به محل تخلیه _x000D_
</t>
  </si>
  <si>
    <t>32330216</t>
  </si>
  <si>
    <t xml:space="preserve">آشغالگیر مکانیکی درشت‌دانه از نوع استپ اسکرین جهت نصب در کانال به عرض 200 سانتی‌مترو ارتفاع تا 200 سانتی‌متربا فاصله باز بین میله‌ها10 میلیمتر از جنس AISI-304 ضخامت بدنه برابر با 5 میلیمتر می باشد. آشغالگیرهای مکانیکی موضوع ردیف گروه 2 می بایست دارای پاک کننده خودکار جهت تخلیه آشغال های جمع آوری شده دستگاه به محل تخلیه _x000D_
</t>
  </si>
  <si>
    <t>32330217</t>
  </si>
  <si>
    <t xml:space="preserve">آشغالگیر مکانیکی ریزدانه از نوع استپ اسکرین جهت نصب در کانال به عرض 60 سانتی‌مترو ارتفاع 80 سانتی‌متربا فاصله باز بین میله‌ها 6 میلیمتر از جنس AISI-304 ضخامت بدنه برابر با 5 میلیمتر می باشد. آشغالگیرهای مکانیکی موضوع ردیف گروه 2 می بایست دارای پاک کننده خودکار جهت تخلیه آشغال های جمع آوری شده دستگاه به محل تخلیه _x000D_
</t>
  </si>
  <si>
    <t>32330218</t>
  </si>
  <si>
    <t xml:space="preserve">آشغالگیر مکانیکی ریزدانه از نوع استپ اسکرین جهت نصب در کانال به عرض 80 سانتی‌مترو ارتفاع تا100 سانتی‌متربا فاصله باز بین میله‌ها 6 میلیمتر از جنس AISI-304 ضخامت بدنه برابر با 5 میلیمتر می باشد. آشغالگیرهای مکانیکی موضوع ردیف گروه 2 می بایست دارای پاک کننده خودکار جهت تخلیه آشغال های جمع آوری شده دستگاه به محل تخلیه _x000D_
</t>
  </si>
  <si>
    <t>32330219</t>
  </si>
  <si>
    <t xml:space="preserve">آشغالگیر مکانیکی ریزدانه از نوع استپ اسکرین جهت نصب در کانال به عرض 100 سانتی‌مترو ارتفاع تا 120 سانتی‌متربا فاصله باز بین میله‌ها 6 میلیمتر از جنس AISI-304 ضخامت بدنه برابر با 5 میلیمتر می باشد. آشغالگیرهای مکانیکی موضوع ردیف گروه 2 می بایست دارای پاک کننده خودکار جهت تخلیه آشغال های جمع آوری شده دستگاه به محل تخلیه _x000D_
</t>
  </si>
  <si>
    <t>32330220</t>
  </si>
  <si>
    <t xml:space="preserve">آشغالگیر مکانیکی ریزدانه از نوع استپ اسکرین جهت نصب در کانال به عرض 120 سانتی‌مترو ارتفاع تا 130 سانتی‌متربا فاصله باز بین میله‌ها 6 میلیمتر از جنس AISI-304 ضخامت بدنه برابر با 5 میلیمتر می باشد. آشغالگیرهای مکانیکی موضوع ردیف گروه 2 می بایست دارای پاک کننده خودکار جهت تخلیه آشغال های جمع آوری شده دستگاه به محل تخلیه _x000D_
</t>
  </si>
  <si>
    <t>32330221</t>
  </si>
  <si>
    <t xml:space="preserve">آشغالگیر مکانیکی ریزدانه از نوع استپ اسکرین جهت نصب در کانال به عرض 140سانتی‌مترو ارتفاع تا 140 سانتی‌متربا فاصله باز بین میله‌ها 6 میلیمتر از جنس AISI-304 ضخامت بدنه برابر با 5 میلیمتر می باشد.آشغالگیرهای مکانیکی موضوع ردیف گروه 2 می بایست دارای پاک کننده خودکار جهت تخلیه آشغال های جمع آوری شده دستگاه به محل تخلیه _x000D_
</t>
  </si>
  <si>
    <t>32330222</t>
  </si>
  <si>
    <t xml:space="preserve">آشغالگیر مکانیکی ریزدانه از نوع استپ اسکرین جهت نصب در کانال به عرض 160 سانتی‌مترو ارتفاع تا 160 سانتی‌متربا فاصله باز بین میله‌ها 6 میلیمتر از جنس AISI-304 ضخامت بدنه برابر با 5 میلیمتر می باشد.آشغالگیرهای مکانیکی موضوع ردیف گروه 2 می بایست دارای پاک کننده خودکار جهت تخلیه آشغال های جمع آوری شده دستگاه به محل تخلیه _x000D_
</t>
  </si>
  <si>
    <t>32330223</t>
  </si>
  <si>
    <t xml:space="preserve">آشغالگیر مکانیکی ریزدانه از نوع استپ اسکرین جهت نصب در کانال به عرض 180 سانتی‌مترو ارتفاع تا 180 سانتی‌متربا فاصله باز بین میله‌ها 6 میلیمتر از جنس AISI-304 ضخامت بدنه برابر با 5 میلیمتر می باشد.آشغالگیرهای مکانیکی موضوع ردیف گروه 2 می بایست دارای پاک کننده خودکار جهت تخلیه آشغال های جمع آوری شده دستگاه به محل تخلیه _x000D_
</t>
  </si>
  <si>
    <t>32330224</t>
  </si>
  <si>
    <t xml:space="preserve">آشغالگیر مکانیکی ریزدانه از نوع استپ اسکرین جهت نصب در کانال به عرض 200سانتی‌مترو ارتفاع تا 200 سانتی‌متربا فاصله باز بین میله‌ها 6 میلیمتر از جنس AISI-304 ضخامت بدنه برابر با 5 میلیمتر می باشد.آشغالگیرهای مکانیکی موضوع ردیف گروه 2 می بایست دارای پاک کننده خودکار جهت تخلیه آشغال های جمع آوری شده دستگاه به محل تخلیه _x000D_
</t>
  </si>
  <si>
    <t>32330225</t>
  </si>
  <si>
    <t xml:space="preserve">آشغالگیر مکانیکی ریزدانه از نوع استپ اسکرین جهت نصب در کانال به عرض 60 سانتی‌مترو ارتفاع 80 سانتی‌متربا فاصله باز بین میله‌ها 3 میلیمتر از جنس AISI-304 ضخامت بدنه برابر با 5 میلیمتر می باشد.آشغالگیرهای مکانیکی موضوع ردیف گروه 2 می بایست دارای پاک کننده خودکار جهت تخلیه آشغال های جمع آوری شده دستگاه به محل تخلیه _x000D_
</t>
  </si>
  <si>
    <t>32330226</t>
  </si>
  <si>
    <t xml:space="preserve">آشغالگیر مکانیکی ریزدانه از نوع استپ اسکرین جهت نصب در کانال به عرض 80 سانتی‌مترو ارتفاع تا100 سانتی‌متربا فاصله باز بین میله‌ها 3  میلیمتر از جنس AISI-304 ضخامت بدنه برابر با 5 میلیمتر می باشد.آشغالگیرهای مکانیکی موضوع ردیف گروه 2 می بایست دارای پاک کننده خودکار جهت تخلیه آشغال های جمع آوری شده دستگاه به محل تخلیه _x000D_
</t>
  </si>
  <si>
    <t>32330227</t>
  </si>
  <si>
    <t xml:space="preserve">آشغالگیر مکانیکی ریزدانه از نوع استپ اسکرین جهت نصب در کانال به عرض 100 سانتی‌مترو ارتفاع تا 120 سانتی‌متربا فاصله باز بین میله‌ها 3  میلیمتر از جنس AISI-304 ضخامت بدنه برابر با 5 میلیمتر می باشد.آشغالگیرهای مکانیکی موضوع ردیف گروه 2 می بایست دارای پاک کننده خودکار جهت تخلیه آشغال های جمع آوری شده دستگاه به محل تخلیه _x000D_
</t>
  </si>
  <si>
    <t>32330228</t>
  </si>
  <si>
    <t xml:space="preserve">آشغالگیر مکانیکی ریزدانه از نوع استپ اسکرین جهت نصب در کانال به عرض 120 سانتی‌مترو ارتفاع تا 130 سانتی‌متربا فاصله باز بین میله‌ها 3  میلیمتر از جنس AISI-304 ضخامت بدنه برابر با 5 میلیمتر می باشد.آشغالگیرهای مکانیکی موضوع ردیف گروه 2 می بایست دارای پاک کننده خودکار جهت تخلیه آشغال های جمع آوری شده دستگاه به محل تخلیه _x000D_
</t>
  </si>
  <si>
    <t>32330229</t>
  </si>
  <si>
    <t xml:space="preserve">آشغالگیر مکانیکی ریزدانه از نوع استپ اسکرین جهت نصب در کانال به عرض 140سانتی‌مترو ارتفاع تا 140 سانتی‌متربا فاصله باز بین میله‌ها 3  میلیمتر از جنس AISI-304 ضخامت بدنه برابر با 5 میلیمتر می باشد.آشغالگیرهای مکانیکی موضوع ردیف گروه 2 می بایست دارای پاک کننده خودکار جهت تخلیه آشغال های جمع آوری شده دستگاه به محل تخلیه _x000D_
</t>
  </si>
  <si>
    <t>32330230</t>
  </si>
  <si>
    <t xml:space="preserve">آشغالگیر مکانیکی ریزدانه از نوع استپ اسکرین جهت نصب در کانال به عرض 160 سانتی‌مترو ارتفاع تا 160 سانتی‌متربا فاصله باز بین میله‌ها 3  میلیمتر از جنس AISI-304 ضخامت بدنه برابر با 5 میلیمتر می باشد.آشغالگیرهای مکانیکی موضوع ردیف گروه 2 می بایست دارای پاک کننده خودکار جهت تخلیه آشغال های جمع آوری شده دستگاه به محل تخلیه _x000D_
</t>
  </si>
  <si>
    <t>32330231</t>
  </si>
  <si>
    <t xml:space="preserve">آشغالگیر مکانیکی ریزدانه از نوع استپ اسکرین جهت نصب در کانال به عرض 180 سانتی‌مترو ارتفاع تا 180 سانتی‌متربا فاصله باز بین میله‌ها 3  میلیمتر از جنس AISI-304 ضخامت بدنه برابر با 5 میلیمتر می باشد.آشغالگیرهای مکانیکی موضوع ردیف گروه 2 می بایست دارای پاک کننده خودکار جهت تخلیه آشغال های جمع آوری شده دستگاه به محل تخلیه _x000D_
</t>
  </si>
  <si>
    <t>32330232</t>
  </si>
  <si>
    <t xml:space="preserve">آشغالگیر مکانیکی ریزدانه از نوع استپ اسکرین جهت نصب در کانال به عرض 200سانتی‌مترو ارتفاع تا 200 سانتی‌متربا فاصله باز بین میله‌ها 3  میلیمتر از جنس AISI-304 ضخامت بدنه برابر با 5 میلیمتر می باشد.آشغالگیرهای مکانیکی موضوع ردیف گروه 2 می بایست دارای پاک کننده خودکار جهت تخلیه آشغال های جمع آوری شده دستگاه به محل تخلیه _x000D_
</t>
  </si>
  <si>
    <t>32330233</t>
  </si>
  <si>
    <t xml:space="preserve">آشغالگیر مکانیکی ریزدانه از نوع استپ اسکرین جهت نصب در کانال به عرض 60 سانتی‌مترو ارتفاع 80 سانتی‌متربا فاصله باز بین میله‌ها 2 میلیمتر از جنس AISI-304 ضخامت بدنه برابر با 5 میلیمتر می باشد.آشغالگیرهای مکانیکی موضوع ردیف گروه 2 می بایست دارای پاک کننده خودکار جهت تخلیه آشغال های جمع آوری شده دستگاه به محل تخلیه _x000D_
</t>
  </si>
  <si>
    <t>32330234</t>
  </si>
  <si>
    <t xml:space="preserve">آشغالگیر مکانیکی ریزدانه از نوع استپ اسکرین جهت نصب در کانال به عرض 80 سانتی‌مترو ارتفاع تا100 سانتی‌متربا فاصله باز بین میله‌ها 2 میلیمتر از جنس AISI-304 ضخامت بدنه برابر با 5 میلیمتر می باشد.آشغالگیرهای مکانیکی موضوع ردیف گروه 2 می بایست دارای پاک کننده خودکار جهت تخلیه آشغال های جمع آوری شده دستگاه به محل تخلیه _x000D_
</t>
  </si>
  <si>
    <t>32330235</t>
  </si>
  <si>
    <t xml:space="preserve">آشغالگیر مکانیکی ریزدانه از نوع استپ اسکرین جهت نصب در کانال به عرض 100 سانتی‌مترو ارتفاع تا 120 سانتی‌متربا فاصله باز بین میله‌ها 2 میلیمتر از جنس AISI-304 ضخامت بدنه برابر با 5 میلیمتر می باشد.آشغالگیرهای مکانیکی موضوع ردیف گروه 2 می بایست دارای پاک کننده خودکار جهت تخلیه آشغال های جمع آوری شده دستگاه به محل تخلیه _x000D_
</t>
  </si>
  <si>
    <t>32330236</t>
  </si>
  <si>
    <t xml:space="preserve">آشغالگیر مکانیکی ریزدانه از نوع استپ اسکرین جهت نصب در کانال به عرض 120 سانتی‌مترو ارتفاع تا 130 سانتی‌متربا فاصله باز بین میله‌ها 2 میلیمتر از جنس AISI-304 ضخامت بدنه برابر با 5 میلیمتر می باشد.آشغالگیرهای مکانیکی موضوع ردیف گروه 2 می بایست دارای پاک کننده خودکار جهت تخلیه آشغال های جمع آوری شده دستگاه به محل تخلیه _x000D_
</t>
  </si>
  <si>
    <t>32330237</t>
  </si>
  <si>
    <t xml:space="preserve">آشغالگیر مکانیکی ریزدانه از نوع استپ اسکرین جهت نصب در کانال به عرض 140سانتی‌مترو ارتفاع تا 140 سانتی‌متربا فاصله باز بین میله‌ها 2 میلیمتر از جنس AISI-304 ضخامت بدنه برابر با 5 میلیمتر می باشد.آشغالگیرهای مکانیکی موضوع ردیف گروه 2 می بایست دارای پاک کننده خودکار جهت تخلیه آشغال های جمع آوری شده دستگاه به محل تخلیه _x000D_
</t>
  </si>
  <si>
    <t>32330238</t>
  </si>
  <si>
    <t xml:space="preserve">آشغالگیر مکانیکی ریزدانه از نوع استپ اسکرین جهت نصب در کانال به عرض 160 سانتی‌مترو ارتفاع تا 160 سانتی‌متربا فاصله باز بین میله‌ها 2 میلیمتر از جنس AISI-304 ضخامت بدنه برابر با 5 میلیمتر می باشد.آشغالگیرهای مکانیکی موضوع ردیف گروه 2 می بایست دارای پاک کننده خودکار جهت تخلیه آشغال های جمع آوری شده دستگاه به محل تخلیه _x000D_
</t>
  </si>
  <si>
    <t>32330239</t>
  </si>
  <si>
    <t xml:space="preserve">آشغالگیر مکانیکی ریزدانه از نوع استپ اسکرین جهت نصب در کانال به عرض 180 سانتی‌مترو ارتفاع تا 180 سانتی‌متربا فاصله باز بین میله‌ها 2 میلیمتر از جنس AISI-304 ضخامت بدنه برابر با 5 میلیمتر می باشد.آشغالگیرهای مکانیکی موضوع ردیف گروه 2 می بایست دارای پاک کننده خودکار جهت تخلیه آشغال های جمع آوری شده دستگاه به محل تخلیه _x000D_
</t>
  </si>
  <si>
    <t>32330240</t>
  </si>
  <si>
    <t xml:space="preserve">آشغالگیر مکانیکی ریزدانه از نوع استپ اسکرین جهت نصب در کانال به عرض 200سانتی‌مترو ارتفاع تا 200 سانتی‌متربا فاصله باز بین میله‌ها 2 میلیمتر از جنس AISI-304 ضخامت بدنه برابر با 5 میلیمتر می باشد.آشغالگیرهای مکانیکی موضوع ردیف گروه 2 می بایست دارای پاک کننده خودکار جهت تخلیه آشغال های جمع آوری شده دستگاه به محل تخلیه _x000D_
</t>
  </si>
  <si>
    <t>32330301</t>
  </si>
  <si>
    <t xml:space="preserve">آشغالگیر مکانیکی درشت‌دانه از نوع بلت‌اسکرین همراه با چنگک جهت نصب در کانال به عرض 60 سانتی‌مترو ارتفاع 80 سانتی‌متربا فاصله باز بین میله‌ها15میلیمتر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</si>
  <si>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32330302</t>
  </si>
  <si>
    <t xml:space="preserve">آشغالگیر مکانیکی درشت‌دانه از نوع بلت‌اسکرین همراه با چنگک جهت نصب در کانال به عرض 80 سانتی‌مترو ارتفاع تا100 سانتی‌متربا فاصله باز بین میله‌ها15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</si>
  <si>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32330303</t>
  </si>
  <si>
    <t xml:space="preserve">آشغالگیر مکانیکی درشت‌دانه از نوع بلت‌اسکرین همراه با چنگک جهت نصب در کانال به عرض 100 سانتی‌مترو ارتفاع تا 120 سانتی‌متربا فاصله باز بین میله‌ها15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</si>
  <si>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32330304</t>
  </si>
  <si>
    <t xml:space="preserve">آشغالگیر مکانیکی درشت‌دانه از نوع بلت‌اسکرین همراه با چنگک جهت نصب در کانال به عرض 120 سانتی‌مترو ارتفاع تا 130 سانتی‌متربا فاصله باز بین میله‌ها15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</si>
  <si>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32330305</t>
  </si>
  <si>
    <t xml:space="preserve">آشغالگیر مکانیکی درشت‌دانه از نوع بلت‌اسکرین همراه با چنگک جهت نصب در کانال به عرض 140سانتی‌مترو ارتفاع تا 140 سانتی‌متربا فاصله باز بین میله‌ها15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</si>
  <si>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32330306</t>
  </si>
  <si>
    <t xml:space="preserve">آشغالگیر مکانیکی درشت‌دانه از نوع بلت‌اسکرین همراه با چنگک جهت نصب در کانال به عرض 160 سانتی‌مترو ارتفاع تا 160 سانتی‌متربا فاصله باز بین میله‌ها15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</si>
  <si>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32330307</t>
  </si>
  <si>
    <t xml:space="preserve">آشغالگیر مکانیکی درشت‌دانه از نوع بلت‌اسکرین همراه با چنگک جهت نصب در کانال به عرض 180 سانتی‌مترو ارتفاع تا 180 سانتی‌متربا فاصله باز بین میله‌ها15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</si>
  <si>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32330308</t>
  </si>
  <si>
    <t xml:space="preserve">آشغالگیر مکانیکی درشت‌دانه از نوع بلت‌اسکرین همراه با چنگک جهت نصب در کانال به عرض 200سانتی‌مترو ارتفاع تا 200 سانتی‌متربا فاصله باز بین میله‌ها15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</si>
  <si>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32330309</t>
  </si>
  <si>
    <t xml:space="preserve">آشغالگیر مکانیکی درشت‌دانه از نوع بلت‌اسکرین همراه با چنگک جهت نصب در کانال به عرض 60 سانتی‌مترو ارتفاع 80 سانتی‌متربا فاصله باز بین میله‌ها10میلیمتر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</si>
  <si>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32330310</t>
  </si>
  <si>
    <t xml:space="preserve">آشغالگیر مکانیکی درشت‌دانه از نوع بلت‌اسکرین همراه با چنگک جهت نصب در کانال به عرض 80 سانتی‌مترو ارتفاع تا100 سانتی‌متربا فاصله باز بین میله‌ها10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</si>
  <si>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32330311</t>
  </si>
  <si>
    <t xml:space="preserve">آشغالگیر مکانیکی درشت‌دانه از نوع بلت‌اسکرین همراه با چنگک جهت نصب در کانال به عرض 100 سانتی‌مترو ارتفاع تا 120 سانتی‌متربا فاصله باز بین میله‌ها10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</si>
  <si>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32330312</t>
  </si>
  <si>
    <t xml:space="preserve">آشغالگیر مکانیکی درشت‌دانه از نوع بلت‌اسکرین همراه با چنگک جهت نصب در کانال به عرض 120 سانتی‌مترو ارتفاع تا 130 سانتی‌متربا فاصله باز بین میله‌ها10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</si>
  <si>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32330313</t>
  </si>
  <si>
    <t xml:space="preserve">آشغالگیر مکانیکی درشت‌دانه از نوع بلت‌اسکرین همراه با چنگک جهت نصب در کانال به عرض 140سانتی‌مترو ارتفاع تا 140 سانتی‌متربا فاصله باز بین میله‌ها10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</si>
  <si>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32330314</t>
  </si>
  <si>
    <t xml:space="preserve">آشغالگیر مکانیکی درشت‌دانه از نوع بلت‌اسکرین همراه با چنگک جهت نصب در کانال به عرض 160 سانتی‌مترو ارتفاع تا 160 سانتی‌متربا فاصله باز بین میله‌ها10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</si>
  <si>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32330315</t>
  </si>
  <si>
    <t xml:space="preserve">آشغالگیر مکانیکی درشت‌دانه از نوع بلت‌اسکرین همراه با چنگک جهت نصب در کانال به عرض 180 سانتی‌مترو ارتفاع تا 180 سانتی‌متربا فاصله باز بین میله‌ها10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</si>
  <si>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32330316</t>
  </si>
  <si>
    <t xml:space="preserve">آشغالگیر مکانیکی درشت‌دانه از نوع بلت‌اسکرین همراه با چنگک جهت نصب در کانال به عرض 200سانتی‌مترو ارتفاع تا 200 سانتی‌متربا فاصله باز بین میله‌ها10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</si>
  <si>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32330317</t>
  </si>
  <si>
    <t xml:space="preserve">آشغالگیر مکانیکی ریزدانه از نوع بلت‌اسکرین همراه با چنگک جهت نصب در کانال به عرض 60 سانتی‌مترو ارتفاع 80 سانتی‌متربا فاصله باز بین میله‌ها 6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</si>
  <si>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32330318</t>
  </si>
  <si>
    <t xml:space="preserve">آشغالگیر مکانیکی ریزدانه از نوع بلت‌اسکرین همراه با چنگک جهت نصب در کانال به عرض 80 سانتی‌مترو ارتفاع تا100 سانتی‌متربا فاصله باز بین میله‌ها 6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</si>
  <si>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32330319</t>
  </si>
  <si>
    <t xml:space="preserve">آشغالگیر مکانیکی ریزدانه از نوع بلت‌اسکرین همراه با چنگک جهت نصب در کانال به عرض 100‌سانتی‌متر و ارتفاع تا 120 سانتی‌متر با فاصله باز بین میله‌ها 6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</si>
  <si>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32330320</t>
  </si>
  <si>
    <t xml:space="preserve">آشغالگیر مکانیکی ریزدانه از نوع بلت‌اسکرین همراه با چنگک جهت نصب در کانال به عرض 120‌سانتی‌متر و ارتفاع تا 130 سانتی‌متر با فاصله باز بین میله‌ها 6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</si>
  <si>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32330321</t>
  </si>
  <si>
    <t xml:space="preserve">آشغالگیر مکانیکی ریزدانه از نوع بلت‌اسکرین همراه با چنگک جهت نصب در کانال به عرض 140سانتی‌متر و ارتفاع تا 140 سانتی‌متربا فاصله باز بین میله‌ها 6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</si>
  <si>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32330322</t>
  </si>
  <si>
    <t xml:space="preserve">آشغالگیر مکانیکی ریزدانه از نوع بلت‌اسکرین همراه با چنگک جهت نصب در کانال به عرض 160‌سانتی‌متر و ارتفاع تا 160 سانتی‌متربا فاصله باز بین میله‌ها 6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</si>
  <si>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32330323</t>
  </si>
  <si>
    <t xml:space="preserve">آشغالگیر مکانیکی ریزدانه از نوع بلت‌اسکرین همراه با چنگک جهت نصب در کانال به عرض 180سانتی‌متر و ارتفاع تا 180 سانتی‌متربا فاصله باز بین میله‌ها 6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</si>
  <si>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32330324</t>
  </si>
  <si>
    <t xml:space="preserve">آشغالگیر مکانیکی ریزدانه از نوع بلت‌اسکرین همراه با چنگک جهت نصب در کانال به عرض 200سانتی‌متر و ارتفاع تا 200 سانتی‌متربا فاصله باز بین میله‌ها 6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</si>
  <si>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32330325</t>
  </si>
  <si>
    <t xml:space="preserve">آشغالگیر مکانیکی ریزدانه از نوع بلت‌اسکرین همراه با چنگک جهت نصب در کانال به عرض 60 سانتی‌مترو ارتفاع 80 سانتی‌متربا فاصله باز بین میله‌ها 3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</si>
  <si>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32330326</t>
  </si>
  <si>
    <t xml:space="preserve">آشغالگیر مکانیکی ریزدانه از نوع بلت‌اسکرین همراه با چنگک جهت نصب در کانال به عرض 80 سانتی‌متر و ارتفاع تا100 سانتی‌متربا فاصله باز بین میله‌ها 3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</si>
  <si>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32330327</t>
  </si>
  <si>
    <t xml:space="preserve">آشغالگیر مکانیکی ریزدانه از نوع بلت‌اسکرین همراه با چنگک جهت نصب در کانال به عرض 100 سانتی‌متر و ارتفاع تا 120 سانتی‌متربا فاصله باز بین میله‌ها 3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</si>
  <si>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32330328</t>
  </si>
  <si>
    <t xml:space="preserve">آشغالگیر مکانیکی ریزدانه از نوع بلت‌اسکرین همراه با چنگک جهت نصب در کانال به عرض 120 سانتی‌متر و ارتفاع تا 130 سانتی‌متربا فاصله باز بین میله‌ها 3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</si>
  <si>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32330329</t>
  </si>
  <si>
    <t xml:space="preserve">آشغالگیر مکانیکی ریزدانه از نوع بلت‌اسکرین همراه با چنگک جهت نصب در کانال به عرض 140سانتی‌متر و ارتفاع تا 140 سانتی‌متربا فاصله باز بین میله‌ها 3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</si>
  <si>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32330330</t>
  </si>
  <si>
    <t xml:space="preserve">آشغالگیر مکانیکی ریزدانه از نوع بلت‌اسکرین همراه با چنگک جهت نصب در کانال به عرض 160 سانتی‌متر و ارتفاع تا 160 سانتی‌متربا فاصله باز بین میله‌ها 3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</si>
  <si>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32330331</t>
  </si>
  <si>
    <t xml:space="preserve">آشغالگیر مکانیکی ریزدانه از نوع بلت‌اسکرین همراه با چنگک جهت نصب در کانال به عرض 180 سانتی‌متر و ارتفاع تا 180 سانتی‌متربا فاصله باز بین میله‌ها 3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</si>
  <si>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32330332</t>
  </si>
  <si>
    <t xml:space="preserve">آشغالگیر مکانیکی ریزدانه از نوع بلت‌اسکرین همراه با چنگک جهت نصب در کانال به عرض 200سانتی‌متر و ارتفاع تا 200 سانتی‌متربا فاصله باز بین میله‌ها 3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</si>
  <si>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32330333</t>
  </si>
  <si>
    <t xml:space="preserve">آشغالگیر مکانیکی ریزدانه از نوع بلت‌اسکرین همراه با چنگک جهت نصب در کانال به عرض 60 سانتی‌متر و ارتفاع 80 سانتی‌متربا فاصله باز بین میله‌ها 2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</si>
  <si>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32330334</t>
  </si>
  <si>
    <t xml:space="preserve">آشغالگیر مکانیکی ریزدانه از نوع بلت‌اسکرین همراه با چنگک جهت نصب در کانال به عرض 80 سانتی‌متر و ارتفاع تا100 سانتی‌متربا فاصله باز بین میله‌ها 2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</si>
  <si>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32330335</t>
  </si>
  <si>
    <t xml:space="preserve">آشغالگیر مکانیکی ریزدانه از نوع بلت‌اسکرین همراه با چنگک جهت نصب در کانال به عرض 100 سانتی‌متر و ارتفاع تا 120 سانتی‌متربا فاصله باز بین میله‌ها 2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</si>
  <si>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32330336</t>
  </si>
  <si>
    <t xml:space="preserve">آشغالگیر مکانیکی ریزدانه از نوع بلت‌اسکرین همراه با چنگک جهت نصب در کانال به عرض 120 سانتی‌متر و ارتفاع تا 130 سانتی‌متربا فاصله باز بین میله‌ها 2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</si>
  <si>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32330337</t>
  </si>
  <si>
    <t xml:space="preserve">آشغالگیر مکانیکی ریزدانه از نوع بلت‌اسکرین همراه با چنگک جهت نصب در کانال به عرض 140سانتی‌متر و ارتفاع تا 140 سانتی‌متربا فاصله باز بین میله‌ها 2 میلیمتر از جنس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تخلیهAISI-304_x000D_
</t>
  </si>
  <si>
    <t>32330338</t>
  </si>
  <si>
    <t xml:space="preserve">آشغالگیر مکانیکی ریزدانه از نوع بلت‌اسکرین همراه با چنگک جهت نصب در کانال به عرض 160 سانتی‌متر و ارتفاع تا 160 سانتی‌متربا فاصله باز بین میله‌ها 2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</si>
  <si>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32330339</t>
  </si>
  <si>
    <t xml:space="preserve">آشغالگیر مکانیکی ریزدانه از نوع بلت‌اسکرین همراه با چنگک جهت نصب در کانال به عرض 180 سانتی‌متر و ارتفاع تا 180 سانتی‌متربا فاصله باز بین میله‌ها 2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</si>
  <si>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32330340</t>
  </si>
  <si>
    <t xml:space="preserve">آشغالگیر مکانیکی ریزدانه از نوع بلت‌اسکرین همراه با چنگک جهت نصب در کانال به عرض 200سانتی‌متر و ارتفاع تا 200 سانتی‌متربا فاصله باز بین میله‌ها 2 میلیمتر از جنس AISI-304 دارای بدنه از جنس AISI304   و تیغه ها از جنس پلی اکسامتیلن (POM) می باشد.ضخامت بدنه برابر با 5 میلیمتر می باشد.آشغالگیرهای مکانیکی موضوع ردیف گروه 3 می بایست دارای پاک کننده خودکار جهت تخلیه آشغال های جمع آوری شده دستگاه به محل تخلیه_x000D_
</t>
  </si>
  <si>
    <t>32330401</t>
  </si>
  <si>
    <t xml:space="preserve">اسکروکامپکتور به ظرفیت ورودی تا 2 متر مکعب در ساعت از نوع اسکرو دارای شفت  از جنس فولادی با پوشش اپوکسی و بدنه از فولاد گالوانیزه گرم(HOT DEEP GALVANIZED)  به ضخامت 4 میلیمتر و به طول تقریبی 3 متر و دارای یک ورودی آشغال با توانایی کاهش حجم آشغال تا 50 درصد_x000D_
</t>
  </si>
  <si>
    <t>32330402</t>
  </si>
  <si>
    <t xml:space="preserve">اسکروکامپکتور به ظرفیت ورودی تا 4 مترمکعب در ساعت از نوع اسکرو دارای شفت  از جنس فولادی با پوشش اپوکسی و بدنه از فولاد گالوانیزه گرم(HOT DEEP GALVANIZED)  به ضخامت 4 میلیمتر و به طول تقریبی 3 متر و دارای یک ورودی آشغال با توانایی کاهش حجم آشغال تا 50 درصد_x000D_
</t>
  </si>
  <si>
    <t>32330403</t>
  </si>
  <si>
    <t xml:space="preserve">اسکروکامپکتور به ظرفیت ورودی تا 8 متر مکعب در ساعت از نوع اسکرو دارای شفت  از جنس فولادی با پوشش اپوکسی و بدنه از فولاد گالوانیزه گرم(HOT DEEP GALVANIZED)  به ضخامت 4 میلیمتر و به طول تقریبی 3 متر و دارای یک ورودی آشغال با توانایی کاهش حجم آشغال تا 50 درصد_x000D_
</t>
  </si>
  <si>
    <t>32330404</t>
  </si>
  <si>
    <t xml:space="preserve">اسکروکامپکتور به ظرفیت ورودی تا 10 متر مکعب در ساعت از نوع اسکرو دارای شفت  از جنس فولادی با پوشش اپوکسی و بدنه از فولاد گالوانیزه گرم(HOT DEEP GALVANIZED)  به ضخامت 4 میلیمتر و به طول تقریبی 3 متر و دارای یک ورودی آشغال با توانایی کاهش حجم آشغال تا 50 درصد_x000D_
</t>
  </si>
  <si>
    <t>32330501</t>
  </si>
  <si>
    <t xml:space="preserve">کلاسیفایر به ظرفیت تا 10 متر مکعب در ساعت اسکرو دارای شفت از جنس فولادی با پوشش اپوکسی و بدنه از فولاد گالوانیزه گرم(HOT DEEP GALVANIZED) به ضخامت 4 میلیمتر و دارای نرخ جداسازی حداقل 90 درصد برای اجسام بزرگتر از 200 میکرون_x000D_
</t>
  </si>
  <si>
    <t>32330502</t>
  </si>
  <si>
    <t xml:space="preserve">کلاسیفایر به ظرفیت تا  20 متر مکعب در ساعت ااسکرو دارای شفت از جنس فولادی با پوشش اپوکسی و بدنه از فولاد گالوانیزه گرم(HOT DEEP GALVANIZED) به ضخامت 4 میلیمتر و دارای نرخ جداسازی حداقل 90 درصد برای اجسام بزرگتر از 200 میکرون_x000D_
</t>
  </si>
  <si>
    <t>32330503</t>
  </si>
  <si>
    <t xml:space="preserve">کلاسیفایر به ظرفیت تا 40 متر مکعب در ساعت اسکرو دارای شفت از جنس فولادی با پوشش اپوکسی و بدنه از فولاد گالوانیزه گرم(HOT DEEP GALVANIZED) به ضخامت 4 میلیمتر و دارای نرخ جداسازی حداقل 90 درصد برای اجسام بزرگتر از 200 میکرون_x000D_
</t>
  </si>
  <si>
    <t>32330504</t>
  </si>
  <si>
    <t xml:space="preserve">کلاسیفایر به ظرفیت تا60 متر مکعب در ساعت اسکرو دارای شفت از جنس فولادی با پوشش اپوکسی و بدنه از فولاد گالوانیزه گرم(HOT DEEP GALVANIZED) به ضخامت 4 میلیمتر و دارای نرخ جداسازی حداقل 90 درصد برای اجسام بزرگتر از 200 میکرون_x000D_
</t>
  </si>
  <si>
    <t>وکیوم پارس</t>
  </si>
  <si>
    <t>قیمت نهایی سه ماهه چهارم 1402</t>
  </si>
  <si>
    <t xml:space="preserve">بلوئرهوادهي از نوع جابجايي مثبت با توان الکتريکال تا 3/5 کيلووات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</si>
  <si>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از 4 کيلووات تا 5/5 کيلووات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</si>
  <si>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از 5/7 کيلووات تا 9کيلووات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</si>
  <si>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از 9 کيلووات تا 11 کيلووات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</si>
  <si>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15 کيلووات 18/5 کيلووات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</si>
  <si>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22 کيلووات و حداکثر دور 1500 دور در دقيقه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</si>
  <si>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30 کيلووات و حداکثر دور 1500 دور در دقيقه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</si>
  <si>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37 کيلووات و حداکثر دور 1500 دور در دقيقه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</si>
  <si>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بلوئرهوادهي از نوع جابجايي مثبت با توان الکتريکال 45 کيلووات و حداکثر دور 1500 دور در دقيقه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</si>
  <si>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55 کيلووات و حداکثر دور 1500 دور در دقيقه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</si>
  <si>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75 کيلووات و حداکثر دور 1500 دور در دقيقه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</si>
  <si>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90 کيلووات و حداکثر دور 1500 دور در دقيقه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</si>
  <si>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110 کيلووات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</si>
  <si>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132 کيلووات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</si>
  <si>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160 کيلووات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</si>
  <si>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200 کيلووات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</si>
  <si>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250 کيلووات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</si>
  <si>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315 کيلووات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</si>
  <si>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355 کيلووات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</si>
  <si>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22 کيلووات و حداکثر دور 2500 دور در دقيقه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</si>
  <si>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30 کيلووات و حداکثر دور 2500 دور در دقيقه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</si>
  <si>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37 کيلووات و حداکثر دور 2500 دور در دقيقه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</si>
  <si>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45 کيلووات و حداکثر دور 2500 دور در دقيقه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</si>
  <si>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55 کيلووات و حداکثر دور 2500 دور در دقيقه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</si>
  <si>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75 کيلووات و حداکثر دور 2500 دور در دقيقه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</si>
  <si>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90 کيلووات و حداکثر دور 2500 دور در دقيقه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</si>
  <si>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22 کيلووات و حداکثر دور 4000 دور در دقيقه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</si>
  <si>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30 کيلووات و حداکثر دور 4000 دور در دقيقه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</si>
  <si>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37 کيلووات و حداکثر دور 4000 دور در دقيقه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</si>
  <si>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جابجايي مثبت با توان الکتريکال 45 کيلووات و حداکثر دور 4000 دور در دقيقه بيس فريم کوپلينگها(نحوه اتصال با پولي و تسمه مناسب)، فيلتر ورودي(intake filter silencer)، منيفلد همراه شير يکطرفه، شير اطمينان فشار(pressure safety relief valve) ، اتصال قابل انعطاف مناسب جهت اتصال به خط خروجي(flexible sleeve) و شير راه اندازي(start unloading valve)  و اکتروموتور از نوع 4 قطب ازنوع قفسه سنجابي، 3 فاز، پنجاه هرتز داراي کلاس حرارتي F  و IP 54 </t>
  </si>
  <si>
    <t xml:space="preserve">بلوئرهوادهي از نوع توربو بلوئر با توان الکتريکال 22 کيلووات نازل ورودي، بلويرتوربو، بيرينگ ها ي هوايي (air bearing) ، سيسم خنک کننده، الکتروموتور استاتور، شير يک طرفه خروجي، شير اطمينان فشار(pressure safety relieve valve) ،فيلترهاي ورودي، درايو و سيستم کنترل و راه اندازي فيلترهاي هارمونيک به همراه کابينت </t>
  </si>
  <si>
    <t xml:space="preserve">بلوئرهوادهي از نوع توربو بلوئر با توان الکتريکال 30 کيلووات نازل ورودي، بلويرتوربو، بيرينگ ها ي هوايي (air bearing) ، سيسم خنک کننده، الکتروموتور استاتور، شير يک طرفه خروجي، شير اطمينان فشار(pressure safety relieve valve) ،فيلترهاي ورودي، درايو و سيستم کنترل و راه اندازي فيلترهاي هارمونيک به همراه کابينت </t>
  </si>
  <si>
    <t xml:space="preserve">بلوئرهوادهي از نوع توربو بلوئر با توان الکتريکال 37 کيلووات نازل ورودي، بلويرتوربو، بيرينگ ها ي هوايي (air bearing) ، سيسم خنک کننده، الکتروموتور استاتور، شير يک طرفه خروجي، شير اطمينان فشار(pressure safety relieve valve) ،فيلترهاي ورودي، درايو و سيستم کنترل و راه اندازي فيلترهاي هارمونيک به همراه کابينت </t>
  </si>
  <si>
    <t xml:space="preserve">بلوئرهوادهي از نوع توربو بلوئر با توان الکتريکال 45 کيلووات نازل ورودي، بلويرتوربو، بيرينگ ها ي هوايي (air bearing) ، سيسم خنک کننده، الکتروموتور استاتور، شير يک طرفه خروجي، شير اطمينان فشار(pressure safety relieve valve) ،فيلترهاي ورودي، درايو و سيستم کنترل و راه اندازي فيلترهاي هارمونيک به همراه کابينت </t>
  </si>
  <si>
    <t xml:space="preserve">بلوئرهوادهي از نوع توربو بلوئر با توان الکتريکال 55 کيلووات نازل ورودي، بلويرتوربو، بيرينگ ها ي هوايي (air bearing) ، سيسم خنک کننده، الکتروموتور استاتور، شير يک طرفه خروجي، شير اطمينان فشار(pressure safety relieve valve) ،فيلترهاي ورودي، درايو و سيستم کنترل و راه اندازي فيلترهاي هارمونيک به همراه کابينت </t>
  </si>
  <si>
    <t xml:space="preserve">بلوئرهوادهي از نوع توربو بلوئر با توان الکتريکال 75 کيلووات نازل ورودي، بلويرتوربو، بيرينگ ها ي هوايي (air bearing) ، سيسم خنک کننده، الکتروموتور استاتور، شير يک طرفه خروجي، شير اطمينان فشار(pressure safety relieve valve) ،فيلترهاي ورودي، درايو و سيستم کنترل و راه اندازي فيلترهاي هارمونيک به همراه کابينت </t>
  </si>
  <si>
    <t xml:space="preserve">بلوئرهوادهي از نوع توربو بلوئر با توان الکتريکال 90 کيلووات نازل ورودي، بلويرتوربو، بيرينگ ها ي هوايي (air bearing) ، سيسم خنک کننده، الکتروموتور استاتور، شير يک طرفه خروجي، شير اطمينان فشار(pressure safety relieve valve) ،فيلترهاي ورودي، درايو و سيستم کنترل و راه اندازي فيلترهاي هارمونيک به همراه کابينت </t>
  </si>
  <si>
    <t xml:space="preserve">بلوئرهوادهي از نوع توربو بلوئر با توان الکتريکال 110 کيلووات نازل ورودي، بلويرتوربو، بيرينگ ها ي هوايي (air bearing) ، سيسم خنک کننده، الکتروموتور استاتور، شير يک طرفه خروجي، شير اطمينان فشار(pressure safety relieve valve) ،فيلترهاي ورودي، درايو و سيستم کنترل و راه اندازي فيلترهاي هارمونيک به همراه کابينت </t>
  </si>
  <si>
    <t xml:space="preserve">بلوئرهوادهي از نوع توربو بلوئر با توان الکتريکال 132کيلووات نازل ورودي، بلويرتوربو، بيرينگ ها ي هوايي (air bearing) ، سيسم خنک کننده، الکتروموتور استاتور، شير يک طرفه خروجي، شير اطمينان فشار(pressure safety relieve valve) ،فيلترهاي ورودي، درايو و سيستم کنترل و راه اندازي فيلترهاي هارمونيک به همراه کابينت </t>
  </si>
  <si>
    <t xml:space="preserve">بلوئرهوادهي از نوع توربو بلوئر با توان الکتريکال 160 کيلووات نازل ورودي، بلويرتوربو، بيرينگ ها ي هوايي (air bearing) ، سيسم خنک کننده، الکتروموتور استاتور، شير يک طرفه خروجي، شير اطمينان فشار(pressure safety relieve valve) ،فيلترهاي ورودي، درايو و سيستم کنترل و راه اندازي فيلترهاي هارمونيک به همراه کابينت </t>
  </si>
  <si>
    <t xml:space="preserve">بلوئرهوادهي از نوع توربو بلوئر با توان الکتريکال 200 کيلووات نازل ورودي، بلويرتوربو، بيرينگ ها ي هوايي (air bearing) ، سيسم خنک کننده، الکتروموتور استاتور، شير يک طرفه خروجي، شير اطمينان فشار(pressure safety relieve valve) ،فيلترهاي ورودي، درايو و سيستم کنترل و راه اندازي فيلترهاي هارمونيک به همراه کابينت </t>
  </si>
  <si>
    <t xml:space="preserve">بلوئرهوادهي از نوع توربو بلوئر با توان الکتريکال 250 کيلووات نازل ورودي، بلويرتوربو، بيرينگ ها ي هوايي (air bearing) ، سيسم خنک کننده، الکتروموتور استاتور، شير يک طرفه خروجي، شير اطمينان فشار(pressure safety relieve valve) ،فيلترهاي ورودي، درايو و سيستم کنترل و راه اندازي فيلترهاي هارمونيک به همراه کابينت </t>
  </si>
  <si>
    <t xml:space="preserve">بلوئرهوادهي از نوع توربو بلوئر با توان الکتريکال 315 کيلووات نازل ورودي، بلويرتوربو، بيرينگ ها ي هوايي (air bearing) ، سيسم خنک کننده، الکتروموتور استاتور، شير يک طرفه خروجي، شير اطمينان فشار(pressure safety relieve valve) ،فيلترهاي ورودي، درايو و سيستم کنترل و راه اندازي فيلترهاي هارمونيک به همراه کابينت </t>
  </si>
  <si>
    <t xml:space="preserve">بلوئرهوادهي از نوع توربو بلوئر با توان الکتريکال 355 کيلووات نازل ورودي، بلويرتوربو، بيرينگ ها ي هوايي (air bearing) ، سيسم خنک کننده، الکتروموتور استاتور، شير يک طرفه خروجي، شير اطمينان فشار(pressure safety relieve valve) ،فيلترهاي ورودي، درايو و سيستم کنترل و راه اندازي فيلترهاي هارمونيک به همراه کابينت </t>
  </si>
  <si>
    <t>سه ماهه چهارم 1400- فهرست</t>
  </si>
  <si>
    <t>سه ماهه چهارم 1401- تایید</t>
  </si>
  <si>
    <t>32340301</t>
  </si>
  <si>
    <t>هواده سطحی دورتند با توان الکتریکال 3 کیلووات پره از جنس فایبرگلاس  الکتروموتور گیربکس  شاسی استقرار با قابلیت تنظیم ارتفاع استغراق پروانه غلاف انتقال نیرو و بیرینگها</t>
  </si>
  <si>
    <t>32340302</t>
  </si>
  <si>
    <t>هواده سطحی دورتند با توان الکتریکال 4 کیلووات پره از جنس فایبرگلاس  الکتروموتور گیربکس  شاسی استقرار با قابلیت تنظیم ارتفاع استغراق پروانه غلاف انتقال نیرو و بیرینگها</t>
  </si>
  <si>
    <t>32340303</t>
  </si>
  <si>
    <t>هواده سطحی دورتند با توان الکتریکال 5/5 کیلووات پره از جنس فایبرگلاس  الکتروموتور گیربکس  شاسی استقرار با قابلیت تنظیم ارتفاع استغراق پروانه غلاف انتقال نیرو و بیرینگها</t>
  </si>
  <si>
    <t>32340304</t>
  </si>
  <si>
    <t>هواده سطحی دورتند با توان الکتریکال 5/7 کیلووات پره از جنس فایبرگلاس  الکتروموتور گیربکس  شاسی استقرار با قابلیت تنظیم ارتفاع استغراق پروانه غلاف انتقال نیرو و بیرینگها</t>
  </si>
  <si>
    <t>32340305</t>
  </si>
  <si>
    <t>هواده سطحی دورتند با توان الکتریکال 11 کیلووات پره از جنس فایبرگلاس  الکتروموتور گیربکس  شاسی استقرار با قابلیت تنظیم ارتفاع استغراق پروانه غلاف انتقال نیرو و بیرینگها</t>
  </si>
  <si>
    <t>32340306</t>
  </si>
  <si>
    <t>هواده سطحی دورتند با توان الکتریکال 15 کیلووات پره از جنس فایبرگلاس  الکتروموتور گیربکس  شاسی استقرار با قابلیت تنظیم ارتفاع استغراق پروانه غلاف انتقال نیرو و بیرینگها</t>
  </si>
  <si>
    <t>32340307</t>
  </si>
  <si>
    <t>هواده سطحی دورتند با توان الکتریکال 18/5 کیلووات پره از جنس فایبرگلاس  الکتروموتور گیربکس  شاسی استقرار با قابلیت تنظیم ارتفاع استغراق پروانه غلاف انتقال نیرو و بیرینگها</t>
  </si>
  <si>
    <t>32340308</t>
  </si>
  <si>
    <t>هواده سطحی دورتند با توان الکتریکال 22 کیلووات پره از جنس فایبرگلاس  الکتروموتور گیربکس  شاسی استقرار با قابلیت تنظیم ارتفاع استغراق پروانه غلاف انتقال نیرو و بیرینگها</t>
  </si>
  <si>
    <t>32340309</t>
  </si>
  <si>
    <t>هواده سطحی دورتند با توان الکتریکال 30 کیلووات پره از جنس فایبرگلاس  الکتروموتور گیربکس  شاسی استقرار با قابلیت تنظیم ارتفاع استغراق پروانه غلاف انتقال نیرو و بیرینگها</t>
  </si>
  <si>
    <t>32340310</t>
  </si>
  <si>
    <t>هواده سطحی دورتند با توان الکتریکال 37 کیلووات پره از جنس فایبرگلاس  الکتروموتور گیربکس  شاسی استقرار با قابلیت تنظیم ارتفاع استغراق پروانه غلاف انتقال نیرو و بیرینگها</t>
  </si>
  <si>
    <t>32340311</t>
  </si>
  <si>
    <t>هواده سطحی دورتند با توان الکتریکال 45 کیلووات پره از جنس فایبرگلاس  الکتروموتور گیربکس  شاسی استقرار با قابلیت تنظیم ارتفاع استغراق پروانه غلاف انتقال نیرو و بیرینگها</t>
  </si>
  <si>
    <t>32340312</t>
  </si>
  <si>
    <t>هواده سطحی دورتند با توان الکتریکال 55 کیلووات پره از جنس فایبرگلاس  الکتروموتور گیربکس  شاسی استقرار با قابلیت تنظیم ارتفاع استغراق پروانه غلاف انتقال نیرو و بیرینگها</t>
  </si>
  <si>
    <t>32340313</t>
  </si>
  <si>
    <t>هواده سطحی دورتند با توان الکتریکال 75 کیلووات پره از جنس فایبرگلاس  الکتروموتور گیربکس  شاسی استقرار با قابلیت تنظیم ارتفاع استغراق پروانه غلاف انتقال نیرو و بیرینگها</t>
  </si>
  <si>
    <t>32340314</t>
  </si>
  <si>
    <t>هواده سطحی دورتند با توان الکتریکال 90 کیلووات پره از جنس فایبرگلاس  الکتروموتور گیربکس  شاسی استقرار با قابلیت تنظیم ارتفاع استغراق پروانه غلاف انتقال نیرو و بیرینگها</t>
  </si>
  <si>
    <t>32340401</t>
  </si>
  <si>
    <t>هواده سطحی دور کند با توان الکتریکال 3 کیلووات پره از جنس فایبرگلاس  الکتروموتور گیربکس  شاسی استقرار با قابلیت تنظیم ارتفاع استغراق پروانه غلاف انتقال نیرو و بیرینگها</t>
  </si>
  <si>
    <t>32340402</t>
  </si>
  <si>
    <t>هواده سطحی دور کند با توان الکتریکال 4 کیلووات پره از جنس فایبرگلاس  الکتروموتور گیربکس  شاسی استقرار با قابلیت تنظیم ارتفاع استغراق پروانه غلاف انتقال نیرو و بیرینگها</t>
  </si>
  <si>
    <t>32340403</t>
  </si>
  <si>
    <t>هواده سطحی دور کند با توان الکتریکال 5/5 کیلووات پره از جنس فایبرگلاس  الکتروموتور گیربکس  شاسی استقرار با قابلیت تنظیم ارتفاع استغراق پروانه غلاف انتقال نیرو و بیرینگها</t>
  </si>
  <si>
    <t>32340404</t>
  </si>
  <si>
    <t>هواده سطحی دور کند با توان الکتریکال 5/7 کیلووات پره از جنس فایبرگلاس  الکتروموتور گیربکس  شاسی استقرار با قابلیت تنظیم ارتفاع استغراق پروانه غلاف انتقال نیرو و بیرینگها</t>
  </si>
  <si>
    <t>32340405</t>
  </si>
  <si>
    <t>هواده سطحی دور کند با توان الکتریکال 11 کیلووات پره از جنس فایبرگلاس  الکتروموتور گیربکس  شاسی استقرار با قابلیت تنظیم ارتفاع استغراق پروانه غلاف انتقال نیرو و بیرینگها</t>
  </si>
  <si>
    <t>32340406</t>
  </si>
  <si>
    <t>هواده سطحی دور کند با توان الکتریکال 15 کیلووات پره از جنس فایبرگلاس  الکتروموتور گیربکس  شاسی استقرار با قابلیت تنظیم ارتفاع استغراق پروانه غلاف انتقال نیرو و بیرینگها</t>
  </si>
  <si>
    <t>32340408</t>
  </si>
  <si>
    <t>هواده سطحی دور کند با توان الکتریکال 18/5 کیلووات پره از جنس فایبرگلاس  الکتروموتور گیربکس  شاسی استقرار با قابلیت تنظیم ارتفاع استغراق پروانه غلاف انتقال نیرو و بیرینگها</t>
  </si>
  <si>
    <t>32340409</t>
  </si>
  <si>
    <t>هواده سطحی دور کند با توان الکتریکال 22 کیلووات پره از جنس فایبرگلاس  الکتروموتور گیربکس  شاسی استقرار با قابلیت تنظیم ارتفاع استغراق پروانه غلاف انتقال نیرو و بیرینگها</t>
  </si>
  <si>
    <t>32340410</t>
  </si>
  <si>
    <t>هواده سطحی دور کند با توان الکتریکال 30 کیلووات پره از جنس فایبرگلاس  الکتروموتور گیربکس  شاسی استقرار با قابلیت تنظیم ارتفاع استغراق پروانه غلاف انتقال نیرو و بیرینگها</t>
  </si>
  <si>
    <t>32340411</t>
  </si>
  <si>
    <t>هواده سطحی دور کند با توان الکتریکال 37 کیلووات پره از جنس فایبرگلاس  الکتروموتور گیربکس  شاسی استقرار با قابلیت تنظیم ارتفاع استغراق پروانه غلاف انتقال نیرو و بیرینگها
هواده سطحی دور کند با توان الکتریکال 37 کیلووات پره از جنس فایبرگلاس  الکتروموتور گیربکس  شاسی استقرار با قابلیت تنظیم ارتفاع استغراق پروانه غلاف انتقال نیرو و بیرینگها</t>
  </si>
  <si>
    <t>32340412</t>
  </si>
  <si>
    <t>هواده سطحی دور کند با توان الکتریکال 45 کیلووات پره از جنس فایبرگلاس  الکتروموتور گیربکس  شاسی استقرار با قابلیت تنظیم ارتفاع استغراق پروانه غلاف انتقال نیرو و بیرینگها</t>
  </si>
  <si>
    <t>32340413</t>
  </si>
  <si>
    <t>هواده سطحی دور کند با توان الکتریکال 55 کیلووات پره از جنس فایبرگلاس  الکتروموتور گیربکس  شاسی استقرار با قابلیت تنظیم ارتفاع استغراق پروانه غلاف انتقال نیرو و بیرینگها</t>
  </si>
  <si>
    <t>32340414</t>
  </si>
  <si>
    <t>هواده سطحی دور کند با توان الکتریکال 75 کیلووات پره از جنس فایبرگلاس  الکتروموتور گیربکس  شاسی استقرار با قابلیت تنظیم ارتفاع استغراق پروانه غلاف انتقال نیرو و بیرینگها</t>
  </si>
  <si>
    <t>32340415</t>
  </si>
  <si>
    <t>هواده سطحی دور کند با توان الکتریکال 90 کیلووات پره از جنس فایبرگلاس  الکتروموتور گیربکس  شاسی استقرار با قابلیت تنظیم ارتفاع استغراق پروانه غلاف انتقال نیرو و بیرینگها</t>
  </si>
  <si>
    <t>32340501</t>
  </si>
  <si>
    <t>هواده ایرجت (اسپیراتور) با توان الکتریکال 0/55 کیلووات</t>
  </si>
  <si>
    <t>32340502</t>
  </si>
  <si>
    <t>هواده ایرجت (اسپیراتور) با توان الکتریکال 0/75 کیلووات</t>
  </si>
  <si>
    <t>32340503</t>
  </si>
  <si>
    <t>هواده ایرجت (اسپیراتور) با توان الکتریکال 0/92 کیلووات</t>
  </si>
  <si>
    <t>32340504</t>
  </si>
  <si>
    <t>هواده ایرجت (اسپیراتور) با توان الکتریکال 1/1 کیلووات</t>
  </si>
  <si>
    <t>32340505</t>
  </si>
  <si>
    <t>هواده ایرجت (اسپیراتور) با توان الکتریکال 5/1 کیلووات</t>
  </si>
  <si>
    <t>32340506</t>
  </si>
  <si>
    <t>هواده ایرجت (اسپیراتور) با توان الکتریکال 1/85 کیلووات</t>
  </si>
  <si>
    <t>32340507</t>
  </si>
  <si>
    <t>هواده ایرجت (اسپیراتور) با توان الکتریکال 2/2 کیلووات</t>
  </si>
  <si>
    <t>32340508</t>
  </si>
  <si>
    <t>هواده ایرجت (اسپیراتور) با توان الکتریکال 3 کیلووات</t>
  </si>
  <si>
    <t>32340509</t>
  </si>
  <si>
    <t>هواده ایرجت (اسپیراتور) با توان الکتریکال 4 کیلووات</t>
  </si>
  <si>
    <t>32340510</t>
  </si>
  <si>
    <t>هواده ایرجت (اسپیراتور) با توان الکتریکال 5/5 کیلووات</t>
  </si>
  <si>
    <t>32340511</t>
  </si>
  <si>
    <t>هواده ایرجت (اسپیراتور) با توان الکتریکال 5/7 کیلووات</t>
  </si>
  <si>
    <t>32340512</t>
  </si>
  <si>
    <t>هواده ایرجت (اسپیراتور) با توان الکتریکال 9 کیلووات</t>
  </si>
  <si>
    <t>32340513</t>
  </si>
  <si>
    <t xml:space="preserve">هواده ایرجت (اسپیراتور) با توان الکتریکال 11 کیلووات_x000D_
</t>
  </si>
  <si>
    <t>32340514</t>
  </si>
  <si>
    <t xml:space="preserve">هواده ایرجت (اسپیراتور) با توان الکتریکال 15 کیلووات_x000D_
</t>
  </si>
  <si>
    <t>32340515</t>
  </si>
  <si>
    <t>هواده ایرجت (اسپیراتور) با توان الکتریکال 18/5 کیلووات</t>
  </si>
  <si>
    <t>32340601</t>
  </si>
  <si>
    <t>کمپرسور پیستونی تک سیلندر با توان 1 اسب بخار و حجم مخزن 10 لیتر مخزن از جنس فولادی با پوشش اپوکسی گیج فشار خروجی به همراه شیر خروجی و شیر یک  طرفه و شاسی استقرار</t>
  </si>
  <si>
    <t>32340602</t>
  </si>
  <si>
    <t>کمپرسور پیستونی تک سیلندر با توان 1 اسب بخار و حجم مخزن 25 لیتر مخزن از جنس فولادی با پوشش اپوکسی گیج فشار خروجی به همراه شیر خروجی و شیر یک  طرفه و شاسی استقرار</t>
  </si>
  <si>
    <t>32340603</t>
  </si>
  <si>
    <t>کمپرسور پیستونی تک سیلندر با توان 1 اسب بخار و حجم مخزن 50 لیتر مخزن از جنس فولادی با پوشش اپوکسی گیج فشار خروجی به همراه شیر خروجی و شیر یک  طرفه و شاسی استقرار</t>
  </si>
  <si>
    <t>32340604</t>
  </si>
  <si>
    <t>کمپرسور پیستونی تک سیلندر با توان 2 اسب بخار و حجم مخزن 25 لیتر مخزن از جنس فولادی با پوشش اپوکسی گیج فشار خروجی به همراه شیر خروجی و شیر یک  طرفه و شاسی استقرار</t>
  </si>
  <si>
    <t>32340605</t>
  </si>
  <si>
    <t>کمپرسور پیستونی تک سیلندر با توان 2 اسب بخار و حجم مخزن 50 لیتر مخزن از جنس فولادی با پوشش اپوکسی گیج فشار خروجی به همراه شیر خروجی و شیر یک  طرفه و شاسی استقرار</t>
  </si>
  <si>
    <t>32340606</t>
  </si>
  <si>
    <t xml:space="preserve">کمپرسور پیستونی تک سیلندر با توان 2 اسب بخار و حجم مخزن 80 لیتر مخزن از جنس فولادی با پوشش اپوکسی گیج فشار خروجی به همراه شیر خروجی و شیر یک  طرفه و شاسی استقرار_x000D_
</t>
  </si>
  <si>
    <t>32340607</t>
  </si>
  <si>
    <t>کمپرسور پیستونی تک سیلندر با توان 2 اسب بخار و حجم مخزن 100 لیتر مخزن از جنس فولادی با پوشش اپوکسی گیج فشار خروجی به همراه شیر خروجی و شیر یک  طرفه و شاسی استقرار</t>
  </si>
  <si>
    <t>32340608</t>
  </si>
  <si>
    <t>کمپرسور پیستونی تک سیلندر با توان 2 اسب بخار و حجم مخزن 150 لیتر مخزن از جنس فولادی با پوشش اپوکسی گیج فشار خروجی به همراه شیر خروجی و شیر یک  طرفه و شاسی استقرار</t>
  </si>
  <si>
    <t>32340609</t>
  </si>
  <si>
    <t xml:space="preserve">کمپرسور پیستونی دو سیلندر با توان 2 اسب بخار و حجم مخزن 150 لیتر مخزن از جنس فولادی با پوشش اپوکسی گیج فشار خروجی به همراه شیر خروجی و شیر یک  طرفه و شاسی استقرار_x000D_
</t>
  </si>
  <si>
    <t>32340610</t>
  </si>
  <si>
    <t>کمپرسور پیستونی دو سیلندر با توان 2 اسب بخار و حجم مخزن 200 لیتر مخزن از جنس فولادی با پوشش اپوکسی گیج فشار خروجی به همراه شیر خروجی و شیر یک  طرفه و شاسی استقرار</t>
  </si>
  <si>
    <t>32340611</t>
  </si>
  <si>
    <t xml:space="preserve">کمپرسور پیستونی دو سیلندر با توان 2 اسب بخار و حجم مخزن 250 لیتر مخزن از جنس فولادی با پوشش اپوکسی گیج فشار خروجی به همراه شیر خروجی و شیر یک  طرفه و شاسی استقرار_x000D_
</t>
  </si>
  <si>
    <t>32340612</t>
  </si>
  <si>
    <t>کمپرسور پیستونی دو سیلندر با توان 3 اسب بخار و حجم مخزن 250 لیتر مخزن از جنس فولادی با پوشش اپوکسی گیج فشار خروجی به همراه شیر خروجی و شیر یک  طرفه و شاسی استقرار</t>
  </si>
  <si>
    <t>32340613</t>
  </si>
  <si>
    <t xml:space="preserve">کمپرسور پیستونی دو سیلندر با توان 3 اسب بخار و حجم مخزن 350 لیتر مخزن از جنس فولادی با پوشش اپوکسی گیج فشار خروجی به همراه شیر خروجی و شیر یک  طرفه و شاسی استقرار_x000D_
</t>
  </si>
  <si>
    <t>32340614</t>
  </si>
  <si>
    <t>کمپرسور پیستونی دو سیلندر با توان 3 اسب بخار و حجم مخزن 500 لیتر مخزن از جنس فولادی با پوشش اپوکسی گیج فشار خروجی به همراه شیر خروجی و شیر یک  طرفه و شاسی استقرار</t>
  </si>
  <si>
    <t>32340615</t>
  </si>
  <si>
    <t>کمپرسور پیستونی سه سیلندر با توان 5/5 اسب بخار و حجم مخزن 500 لیتر مخزن از جنس فولادی با پوشش اپوکسی گیج فشار خروجی به همراه شیر خروجی و شیر یک  طرفه و شاسی استقرار</t>
  </si>
  <si>
    <t>32340616</t>
  </si>
  <si>
    <t xml:space="preserve">کمپرسور پیستونی سه سیلندر با توان 5/5 اسب بخار و حجم مخزن 750 لیتر مخزن از جنس فولادی با پوشش اپوکسی گیج فشار خروجی به همراه شیر خروجی و شیر یک  طرفه و شاسی استقرار_x000D_
</t>
  </si>
  <si>
    <t>32340617</t>
  </si>
  <si>
    <t>کمپرسور پیستونی سه سیلندر با توان 5/7 اسب بخار و حجم مخزن 750لیتر مخزن از جنس فولادی با پوشش اپوکسی گیج فشار خروجی به همراه شیر خروجی و شیر یک  طرفه و شاسی استقرار</t>
  </si>
  <si>
    <t>32340618</t>
  </si>
  <si>
    <t xml:space="preserve">کمپرسور پیستونی سه سیلندر با توان 5/7 اسب بخار و حجم مخزن 1000 لیتر مخزن از جنس فولادی با پوشش اپوکسی گیج فشار خروجی به همراه شیر خروجی و شیر یک  طرفه و شاسی استقرار_x000D_
</t>
  </si>
  <si>
    <t>32340619</t>
  </si>
  <si>
    <t>کمپرسور پیستونی سه سیلندر با توان 10 اسب بخار و حجم مخزن 750لیتر مخزن از جنس فولادی با پوشش اپوکسی گیج فشار خروجی به همراه شیر خروجی و شیر یک  طرفه و شاسی استقرار</t>
  </si>
  <si>
    <t>32340620</t>
  </si>
  <si>
    <t>کمپرسور پیستونی سه سیلندر با توان 10 اسب بخار و حجم مخزن 1000 لیتر مخزن از جنس فولادی با پوشش اپوکسی گیج فشار خروجی به همراه شیر خروجی و شیر یک  طرفه و شاسی استقرار</t>
  </si>
  <si>
    <t>32340701</t>
  </si>
  <si>
    <t xml:space="preserve">فیلتر غبارگیر سایز 25_x000D_
</t>
  </si>
  <si>
    <t>32340702</t>
  </si>
  <si>
    <t>فیلتر غبارگیر سایز 40</t>
  </si>
  <si>
    <t>32340703</t>
  </si>
  <si>
    <t>فیلتر غبارگیر سایز 50</t>
  </si>
  <si>
    <t>32340704</t>
  </si>
  <si>
    <t>فیلتر غبارگیر سایز 65</t>
  </si>
  <si>
    <t>32340705</t>
  </si>
  <si>
    <t>فیلتر غبارگیر سایز 80</t>
  </si>
  <si>
    <t>32340706</t>
  </si>
  <si>
    <t xml:space="preserve">فیلتر غبارگیر سایز 100_x000D_
</t>
  </si>
  <si>
    <t>32340707</t>
  </si>
  <si>
    <t xml:space="preserve">فیلتر غبارگیر سایز 150_x000D_
</t>
  </si>
  <si>
    <t>32340708</t>
  </si>
  <si>
    <t xml:space="preserve">فیلتر غبارگیر سایز 200_x000D_
</t>
  </si>
  <si>
    <t>32340801</t>
  </si>
  <si>
    <t xml:space="preserve">تله‌آبگیر سایز 25_x000D_
</t>
  </si>
  <si>
    <t>32340802</t>
  </si>
  <si>
    <t xml:space="preserve">تله‌آبگیر سایز 40_x000D_
</t>
  </si>
  <si>
    <t>32340803</t>
  </si>
  <si>
    <t xml:space="preserve">تله‌آبگیر سایز 50_x000D_
</t>
  </si>
  <si>
    <t>32340804</t>
  </si>
  <si>
    <t xml:space="preserve">تله‌آبگیر سایز 65_x000D_
</t>
  </si>
  <si>
    <t>32340805</t>
  </si>
  <si>
    <t xml:space="preserve">تله‌آبگیر سایز 80_x000D_
</t>
  </si>
  <si>
    <t>32340806</t>
  </si>
  <si>
    <t xml:space="preserve">تله‌آبگیر سایز 100_x000D_
</t>
  </si>
  <si>
    <t>32340807</t>
  </si>
  <si>
    <t xml:space="preserve">تله‌آبگیر سایز 150_x000D_
</t>
  </si>
  <si>
    <t>32340808</t>
  </si>
  <si>
    <t xml:space="preserve">تله‌آبگیر سایز 200_x000D_
</t>
  </si>
  <si>
    <t>32340901</t>
  </si>
  <si>
    <t xml:space="preserve">میکروفیلتر سایز 1/4 اینچ_x000D_
</t>
  </si>
  <si>
    <t>32340902</t>
  </si>
  <si>
    <t xml:space="preserve">میکروفیلتر سایز 1/2 اینچ_x000D_
</t>
  </si>
  <si>
    <t>32340903</t>
  </si>
  <si>
    <t xml:space="preserve">میکروفیلتر سایز 3/4 اینچ_x000D_
</t>
  </si>
  <si>
    <t>32340904</t>
  </si>
  <si>
    <t xml:space="preserve">میکروفیلتر سایز 1 اینچ_x000D_
</t>
  </si>
  <si>
    <t>32340905</t>
  </si>
  <si>
    <t xml:space="preserve">میکروفیلتر سایز 1/2 1 اینچ_x000D_
</t>
  </si>
  <si>
    <t>32340906</t>
  </si>
  <si>
    <t xml:space="preserve">میکروفیلتر سایز 2 اینچ_x000D_
</t>
  </si>
  <si>
    <t>32340907</t>
  </si>
  <si>
    <t xml:space="preserve">میکروفیلتر سایز 3 اینچ_x000D_
</t>
  </si>
  <si>
    <t>32340908</t>
  </si>
  <si>
    <t xml:space="preserve">میکروفیلتر سایز 4 اینچ_x000D_
</t>
  </si>
  <si>
    <t>فهرست بها 1400</t>
  </si>
  <si>
    <t>32350101</t>
  </si>
  <si>
    <t>دیفیوزر حباب درشت مخصوص تانک دانه گیری از جنس AISI-304 به طول حدود 12 اینچ</t>
  </si>
  <si>
    <t>رشد 1.45</t>
  </si>
  <si>
    <t>32350102</t>
  </si>
  <si>
    <t>دیفیوزر حباب درشت مخصوص تانک دانه گیری از جنس AISI-304 به طول حدود 24 اینچ</t>
  </si>
  <si>
    <t>32350201</t>
  </si>
  <si>
    <t>دیفیوزر حباب درشت از نوع میله‌ای با ممبران از جنس EPDM و بدنه از جنس پلی پروپیلین تقویت شده با الیاف به طول حدود 50 سانتی‌متر</t>
  </si>
  <si>
    <t>32350202</t>
  </si>
  <si>
    <t>دیفیوزر حباب درشت از نوع میله‌ای با ممبران از جنس EPDM و بدنه از جنس پلی پروپیلین تقویت شده با الیاف به طول حدود 65 سانتی‌متر</t>
  </si>
  <si>
    <t>32350203</t>
  </si>
  <si>
    <t>دیفیوزر حباب درشت از نوع میله‌ای با ممبران از جنس EPDM و بدنه از جنس پلی پروپیلین تقویت شده با الیاف به طول حدود 75 سانتی‌متر</t>
  </si>
  <si>
    <t>32350204</t>
  </si>
  <si>
    <t>دیفیوزر حباب درشت از نوع میله‌ای با ممبران از جنس EPDM و بدنه از جنس پلی پروپیلین تقویت شده با الیاف به طول حدود 100 سانتی‌متر</t>
  </si>
  <si>
    <t>32350301</t>
  </si>
  <si>
    <t>دیفیوزر حباب ریز از نوع میله‌ای با ممبران از جنس EPDM و بدنه از جنس پلی پروپیلین تقویت شده با الیاف به طول حدود 50 سانتی‌متر نشیمنگاه دیفیوزر (saddle) پیچ و مهره و لاستیکهای آببندی به صورت کامل</t>
  </si>
  <si>
    <t>32350302</t>
  </si>
  <si>
    <t>دیفیوزر حباب ریز از نوع میله‌ای با ممبران از جنس EPDM و بدنه از جنس پلی پروپیلین تقویت شده با الیاف به طول حدود 65 سانتی‌متر نشیمنگاه دیفیوزر (saddle) پیچ و مهره و لاستیکهای آببندی به صورت کامل</t>
  </si>
  <si>
    <t>32350303</t>
  </si>
  <si>
    <t>دیفیوزر حباب ریز از نوع میله‌ای با ممبران از جنس EPDM و بدنه از جنس پلی پروپیلین تقویت شده با الیاف به طول حدود 75 سانتی‌متر نشیمنگاه دیفیوزر (saddle) پیچ و مهره و لاستیکهای آببندی به صورت کامل</t>
  </si>
  <si>
    <t>32350304</t>
  </si>
  <si>
    <t>دیفیوزر حباب ریز از نوع میله‌ای با ممبران از جنس EPDM و بدنه از جنس پلی پروپیلین تقویت شده با الیاف به طول حدود 100 سانتی‌متر نشیمنگاه دیفیوزر (saddle) پیچ و مهره و لاستیکهای آببندی به صورت کامل</t>
  </si>
  <si>
    <t>32350401</t>
  </si>
  <si>
    <t>دیفیوزر حباب ریز از نوع بشقابی (Disk) با ممبران از جنس EPDM و بدنه از جنس پلی پروپیلین تقویت شده با الیاف به قطر حدود 7 اینچ نشیمنگاه دیفیوزر (saddle) پیچ و مهره و لاستیکهای آببندی به صورت کامل</t>
  </si>
  <si>
    <t>32350402</t>
  </si>
  <si>
    <t>دیفیوزر حباب ریز از نوع بشقابی (Disk) با ممبران از جنس EPDM و بدنه از جنس پلی پروپیلین تقویت شده با الیاف به قطر حدود 9 اینچ نشیمنگاه دیفیوزر (saddle) پیچ و مهره و لاستیکهای آببندی به صورت کامل</t>
  </si>
  <si>
    <t>32350403</t>
  </si>
  <si>
    <t>دیفیوزر حباب ریز از نوع بشقابی (Disk) با ممبران از جنس EPDM و بد نشیمنگاه دیفیوزر (saddle) پیچ و مهره و لاستیکهای آببندی به صورت کاملنه از جنس پلی پروپیلین تقویت شده با الیاف به قطر حدود 12 اینچ</t>
  </si>
  <si>
    <t>32350501</t>
  </si>
  <si>
    <t>دیفیوزر حباب درشت از نوع بشقابی (Disk) با ممبران از جنس EPDM و بدنه از جنس پلی پروپیلین تقویت شده با الیاف به قطر حدود 4 اینچ نشیمنگاه دیفیوزر (saddle) پیچ و مهره و لاستیکهای آببندی به صورت کامل</t>
  </si>
  <si>
    <t>32350502</t>
  </si>
  <si>
    <t>دیفیوزر حباب درشت از نوع بشقابی (Disk) با ممبران از جنس EPDM و بدنه از جنس پلی پروپیلین تقویت شده با الیاف به قطر حدود 7 اینچ نشیمنگاه دیفیوزر (saddle) پیچ و مهره و لاستیکهای آببندی به صورت کامل</t>
  </si>
  <si>
    <t>32350503</t>
  </si>
  <si>
    <t>دیفیوزر حباب درشت از نوع بشقابی (Disk) با ممبران از جنس EPDM و بدنه از جنس پلی پروپیلین تقویت شده با الیاف به قطر حدود 9 اینچ نشیمنگاه دیفیوزر (saddle) پیچ و مهره و لاستیکهای آببندی به صورت کامل</t>
  </si>
  <si>
    <t>32350504</t>
  </si>
  <si>
    <t>دیفیوزر حباب درشت از نوع بشقابی (Disk) با ممبران از جنس EPDM و بدنه از جنس پلی پروپیلین تقویت شده با الیاف به قطر حدود 12 اینچ نشیمنگاه دیفیوزر (saddle) پیچ و مهره و لاستیکهای آببندی به صورت کامل</t>
  </si>
  <si>
    <t>32350601</t>
  </si>
  <si>
    <t>دیفیوزر حباب ریز از نوع صفحه ای (Plate) با ممبران از جنس EPDM و بدنه از جنس پلی‌پروپیلین تقویت شده با الیاف به طول حدود 65 سانتی‌متر نشیمنگاه دیفیوزر (saddle) پیچ و مهره و لاستیکهای آببندی به صورت کامل</t>
  </si>
  <si>
    <t>32350602</t>
  </si>
  <si>
    <t>دیفیوزر حباب‌ریز از نوع صفحه ای (Plate) با ممبران از جنس EPDM و بدنه از جنس پلی‌پروپیلین تقویت شده با الیاف به طول حدود 110سانتی‌متر نشیمنگاه دیفیوزر (saddle) پیچ و مهره و لاستیکهای آببندی به صورت کامل</t>
  </si>
  <si>
    <t>32350701</t>
  </si>
  <si>
    <t xml:space="preserve">دیفیوزر حباب بسیار ریز از نوع نواری (Strip) با ممبران از جنس PUR و بدنه از جنس PVC به طول حدود 100 سانتی‌متر نشیمنگاه دیفیوزر (saddle) پیچ و مهره و لاستیکهای آببندی به صورت کامل_x000D_
</t>
  </si>
  <si>
    <t>32350702</t>
  </si>
  <si>
    <t xml:space="preserve">دیفیوزر حباب بسیار ریز از نوع نواری (Strip) با ممبران از جنس PUR و بدنه از جنس PVC به طول حدود 150 سانتی‌متر نشیمنگاه دیفیوزر (saddle) پیچ و مهره و لاستیکهای آببندی به صورت کامل_x000D_
</t>
  </si>
  <si>
    <t>32350703</t>
  </si>
  <si>
    <t xml:space="preserve">دیفیوزر حباب بسیار ریز از نوع نواری (Strip) با ممبران از جنس PUR و بدنه از جنس PVC به طول حدود 200 سانتی‌متر نشیمنگاه دیفیوزر (saddle) پیچ و مهره و لاستیکهای آببندی به صورت کامل_x000D_
</t>
  </si>
  <si>
    <t>32350704</t>
  </si>
  <si>
    <t xml:space="preserve">دیفیوزر حباب بسیار ریز از نوع نواری (Strip) با ممبران از جنس PUR و بدنه از جنس PVC به طول حدود 300 سانتی‌متر نشیمنگاه دیفیوزر (saddle) پیچ و مهره و لاستیکهای آببندی به صورت کامل_x000D_
</t>
  </si>
  <si>
    <t>32350705</t>
  </si>
  <si>
    <t xml:space="preserve">دیفیوزر حباب بسیار ریز از نوع نواری (Strip) با ممبران از جنس PUR و بدنه از جنس PVC به طول حدود 400 سانتی‌متر نشیمنگاه دیفیوزر (saddle) پیچ و مهره و لاستیکهای آببندی به صورت کامل_x000D_
</t>
  </si>
  <si>
    <t>32350801</t>
  </si>
  <si>
    <t xml:space="preserve">نازل مدل R2 با طول حدود 100 میلیمتر و ضخامت شیار 1 میلیمتر_x000D_
</t>
  </si>
  <si>
    <t>32350802</t>
  </si>
  <si>
    <t xml:space="preserve">نازل مدل DDR با قطر حدود 50 میلیمتر _x000D_
</t>
  </si>
  <si>
    <t>32350803</t>
  </si>
  <si>
    <t xml:space="preserve">نازل مدل M با طول حدود 150 میلیمتر و ضخامت شیار 5/0 میلیمتر_x000D_
</t>
  </si>
  <si>
    <t>32350804</t>
  </si>
  <si>
    <t xml:space="preserve">نازل مدل L با طول حدود 110 میلیمتر و ضخامت شیار 5/0 میلیمتر_x000D_
</t>
  </si>
  <si>
    <t>32350805</t>
  </si>
  <si>
    <t xml:space="preserve">نازل مدل P با طول حدود 120 میلیمتر و ضخامت شیار 5/0 میلیمتر_x000D_
</t>
  </si>
  <si>
    <t>32350806</t>
  </si>
  <si>
    <t xml:space="preserve">نازل مدل K1 با طول حدود 130 میلیمتر و ضخامت شیار 2 میلیمتر_x000D_
</t>
  </si>
  <si>
    <t>32350807</t>
  </si>
  <si>
    <t xml:space="preserve">نازل مدل K2 با طول حدود 160 میلیمتر و ضخامت شیار 5/0 میلیمتر_x000D_
</t>
  </si>
  <si>
    <t>32350808</t>
  </si>
  <si>
    <t xml:space="preserve">نازل مدل C1 با طول حدود 150 میلیمتر و ضخامت شیار 1 میلیمتر_x000D_
</t>
  </si>
  <si>
    <t>32350809</t>
  </si>
  <si>
    <t xml:space="preserve">نازل مدل C2 با طول حدود 110 میلیمتر و ضخامت شیار 5/0 میلیمتر_x000D_
</t>
  </si>
  <si>
    <t>32350810</t>
  </si>
  <si>
    <t xml:space="preserve">نازل مدل D با طول حدود 120 میلیمتر و ضخامت شیار 5 میلیمتر_x000D_
</t>
  </si>
  <si>
    <t>32350811</t>
  </si>
  <si>
    <t xml:space="preserve">نازل مدل KSP با طول حدود 130 میلیمتر و ضخامت شیار 2 میلیمتر_x000D_
</t>
  </si>
  <si>
    <t>32350901</t>
  </si>
  <si>
    <t xml:space="preserve">دیفیوزر سرامیکی مقاوم در برابر خوردگی ازن _x000D_
</t>
  </si>
  <si>
    <t>واحد اندازه گیری</t>
  </si>
  <si>
    <t>سه ماهه چهارم نهایی 1401</t>
  </si>
  <si>
    <t>32360101</t>
  </si>
  <si>
    <t xml:space="preserve">فیلترپرس به حجم کل کیک تا ظرفیت 100 لیتر  عدد از نوع چمبر و نیمه اتوماتیک و شامل بدنه(هد ثابت و متحرک سیستم فشار دهنده ستون های فرعی و ولوله  کشی جلویی)، فیلتر مدیا(پارچه های آبگیری از جنس PP ) و فیلتر پک و الکتروموتور </t>
  </si>
  <si>
    <t>32360102</t>
  </si>
  <si>
    <t xml:space="preserve">فیلترپرس به حجم کل کیک از 100 لیتر تا ظرفیت 300 لیتر  از نوع چمبر و نیمه اتوماتیک و شامل بدنه(هد ثابت و متحرک سیستم فشار دهنده ستون های فرعی و ولوله  کشی جلویی)، فیلتر مدیا(پارچه های آبگیری از جنس PP ) و فیلتر پک و الکتروموتور </t>
  </si>
  <si>
    <t>32360103</t>
  </si>
  <si>
    <t xml:space="preserve">فیلترپرس به حجم کل کیک از 300 لیتر تا ظرفیت 600 لیتر  از نوع چمبر و اتوماتیک و شامل بدنه(هد ثابت و متحرک سیستم فشار دهنده ستون های فرعی و ولوله  کشی جلویی)، فیلتر مدیا(پارچه های آبگیری از جنس PP ) و فیلتر پک و الکتروموتور </t>
  </si>
  <si>
    <t>32360104</t>
  </si>
  <si>
    <t xml:space="preserve">فیلترپرس به حجم کل کیک از 600 لیتر تا ظرفین 1500 لیتر  از نوع چمبر و نیمه اتوماتیک و شامل بدنه(هد ثابت و متحرک سیستم فشار دهنده ستون های فرعی و ولوله  کشی جلویی)، فیلتر مدیا(پارچه های آبگیری از جنس PP ) و فیلتر پک و الکتروموتور </t>
  </si>
  <si>
    <t>32360201</t>
  </si>
  <si>
    <t>تغلیظ مکانیکی لجن به عرض بلت 1 و  بدنه از جنس فولادی با پوشش اپوکسی،تانک توزیع لجن، ناحیه تغلیظ مکانیکی  سیستم شست و شوی پیوسته بلت، قسمت فشرده سازی ، سیستم  مکانیکی پایش بلت(MECHANICAL BELT TRACKING AND TENSIONING SYSTEM) ، بلت،الکتروموتورها و پایه های تراز شونده</t>
  </si>
  <si>
    <t>نزدیک به فولاد هم هست</t>
  </si>
  <si>
    <t>32360202</t>
  </si>
  <si>
    <t xml:space="preserve">تغلیظ مکانیکی لجن به عرض بلت 1.5 و  بدنه از جنس فولادی با پوشش اپوکسی،تانک توزیع لجن، ناحیه تغلیظ مکانیکی  سیستم شست و شوی پیوسته بلت، قسمت فشرده سازی ، سیستم  مکانیکی پایش بلت(MECHANICAL BELT TRACKING AND TENSIONING SYSTEM) ، بلت،الکتروموتورها و پایه های تراز شونده </t>
  </si>
  <si>
    <t>32360203</t>
  </si>
  <si>
    <t>تغلیظ مکانیکی لجن به عرض بلت 2 و  بدنه از جنس فولادی با پوشش اپوکسی،تانک توزیع لجن، ناحیه تغلیظ مکانیکی  سیستم شست و شوی پیوسته بلت، قسمت فشرده سازی ، سیستم  مکانیکی پایش بلت(MECHANICAL BELT TRACKING AND TENSIONING SYSTEM) ، بلت،الکتروموتورها و پایه های تراز شونده</t>
  </si>
  <si>
    <t>32360204</t>
  </si>
  <si>
    <t>تغلیظ مکانیکی لجن به عرض بلت 2/5 و  بدنه از جنس فولادی با پوشش اپوکسی،تانک توزیع لجن، ناحیه تغلیظ مکانیکی  سیستم شست و شوی پیوسته بلت، قسمت فشرده سازی ، سیستم  مکانیکی پایش بلت(MECHANICAL BELT TRACKING AND TENSIONING SYSTEM) ، بلت،الکتروموتورها و پایه های تراز شونده</t>
  </si>
  <si>
    <t>32360205</t>
  </si>
  <si>
    <t>تغلیظ مکانیکی لجن به عرض بلت 3 و  بدنه از جنس فولادی با پوشش اپوکسی،تانک توزیع لجن، ناحیه تغلیظ مکانیکی  سیستم شست و شوی پیوسته بلت، قسمت فشرده سازی ، سیستم  مکانیکی پایش بلت(MECHANICAL BELT TRACKING AND TENSIONING SYSTEM) ، بلت،الکتروموتورها و پایه های تراز شونده</t>
  </si>
  <si>
    <t>نزدیک به استیل</t>
  </si>
  <si>
    <t>32360301</t>
  </si>
  <si>
    <t xml:space="preserve">بلت فیلترپرس به عرض بلت 1 متر بدنه از جنس فولادی با پوشش اپوکسی، تانک ورودی و توزیع لجن ناحیه تغلیظ مکانیکی ثقلی، ناحیه تغلیظ فشار متوسط، ناحیه تغلیظ فشار بالا،سیسم شست وشوی پیوسته بلت، بلت،سیستم قطع اضطراری دستگاه، الکتروموتورها و پایه های تراز شونده _x000D_
</t>
  </si>
  <si>
    <t>32360302</t>
  </si>
  <si>
    <t xml:space="preserve">بلت فیلترپرس به عرض بلت 1/5 متر بدنه از جنس فولادی با پوشش اپوکسی، تانک ورودی و توزیع لجن ناحیه تغلیظ مکانیکی ثقلی، ناحیه تغلیظ فشار متوسط، ناحیه تغلیظ فشار بالا،سیسم شست وشوی پیوسته بلت، بلت،سیستم قطع اضطراری دستگاه، الکتروموتورها و پایه های تراز شونده </t>
  </si>
  <si>
    <t>32360303</t>
  </si>
  <si>
    <t xml:space="preserve">بلت فیلترپرس به عرض بلت 2 متر بدنه از جنس فولادی با پوشش اپوکسی، تانک ورودی و توزیع لجن ناحیه تغلیظ مکانیکی ثقلی، ناحیه تغلیظ فشار متوسط، ناحیه تغلیظ فشار بالا،سیسم شست وشوی پیوسته بلت، بلت،سیستم قطع اضطراری دستگاه، الکتروموتورها و پایه های تراز شونده </t>
  </si>
  <si>
    <t>32360304</t>
  </si>
  <si>
    <t>بلت فیلترپرس به عرض بلت 2/5 متر بدنه از جنس فولادی با پوشش اپوکسی، تانک ورودی و توزیع لجن ناحیه تغلیظ مکانیکی ثقلی، ناحیه تغلیظ فشار متوسط، ناحیه تغلیظ فشار بالا،سیسم شست وشوی پیوسته بلت، بلت،سیستم قطع اضطراری دستگاه، الکتروموتورها و پایه های تراز شونده</t>
  </si>
  <si>
    <t>32360305</t>
  </si>
  <si>
    <t xml:space="preserve">بلت فیلترپرس به عرض بلت 3 متر بدنه از جنس فولادی با پوشش اپوکسی، تانک ورودی و توزیع لجن ناحیه تغلیظ مکانیکی ثقلی، ناحیه تغلیظ فشار متوسط، ناحیه تغلیظ فشار بالا،سیسم شست وشوی پیوسته بلت، بلت،سیستم قطع اضطراری دستگاه، الکتروموتورها و پایه های تراز شونده </t>
  </si>
  <si>
    <t>32360401</t>
  </si>
  <si>
    <t xml:space="preserve">اسکروپرس لجن به ظرفیت حداکثر 5 مترمکعب در ساعت بدنه از جنس AISI-304  قسمت ورودی جهت مخلوط نمودن لجن با پلیمر، ناحیه فشاری اسکرو، اسکرو، سیستم شست وشوی پیوسته الکتروموتور و پایه های تراز شونده </t>
  </si>
  <si>
    <t>32360402</t>
  </si>
  <si>
    <t xml:space="preserve">اسکروپرس لجن به ظرفیت حداکثر 10 متر مکعب در ساعت بدنه از جنس AISI-304  قسمت ورودی جهت مخلوط نمودن لجن با پلیمر، ناحیه فشاری اسکرو، اسکرو، سیستم شست وشوی پیوسته الکتروموتور و پایه های تراز شونده </t>
  </si>
  <si>
    <t>32360403</t>
  </si>
  <si>
    <t xml:space="preserve">اسکروپرس لجن به ظرفیت حداکثر 15 متر مکعب در ساعت بدنه از جنس AISI-304  قسمت ورودی جهت مخلوط نمودن لجن با پلیمر، ناحیه فشاری اسکرو، اسکرو، سیستم شست وشوی پیوسته الکتروموتور و پایه های تراز شونده </t>
  </si>
  <si>
    <t>32360404</t>
  </si>
  <si>
    <t xml:space="preserve">اسکروپرس لجن به ظرفیت حداکثر 20 متر مکعب در ساعت بدنه از جنس AISI-304  قسمت ورودی جهت مخلوط نمودن لجن با پلیمر، ناحیه فشاری اسکرو، اسکرو، سیستم شست وشوی پیوسته الکتروموتور و پایه های تراز شونده _x000D_
</t>
  </si>
  <si>
    <t>32360405</t>
  </si>
  <si>
    <t xml:space="preserve">اسکروپرس لجن به ظرفیت حداکثر 25 متر مکعب در ساعت بدنه از جنس AISI-304  قسمت ورودی جهت مخلوط نمودن لجن با پلیمر، ناحیه فشاری اسکرو، اسکرو، سیستم شست وشوی پیوسته الکتروموتور و پایه های تراز شونده </t>
  </si>
  <si>
    <t>32360501</t>
  </si>
  <si>
    <t>آبگیرسانتریفیوژ لجن به ظرفیت ورودی 100 کیلوگرم در ساعت شامل کاسه(BOWL) از جنس AISI-316T بدنه، انتقال دهنده(SCROLL CONVEYER) بیرینگ ها، الکتروموتور و پایه های تراز شونده می باشد.  نرخ آبگیری (captured rate) در این دستگاه ها می بایست  حداقل 90 درصد</t>
  </si>
  <si>
    <t>32360502</t>
  </si>
  <si>
    <t xml:space="preserve">آبگیرسانتریفیوژ لجن به ظرفیت ورودی 200 کیلوگرم در ساعت شامل کاسه(BOWL) از جنس AISI-316T بدنه، انتقال دهنده(SCROLL CONVEYER) بیرینگ ها، الکتروموتور و پایه های تراز شونده می باشد.  نرخ آبگیری (captured rate) در این دستگاه ها می بایست  حداقل 90 درصد_x000D_
</t>
  </si>
  <si>
    <t>32360503</t>
  </si>
  <si>
    <t>آبگیرسانتریفیوژ لجن به ظرفیت ورودی 300 کیلوگرم در ساعت شامل کاسه(BOWL) از جنس AISI-316T بدنه، انتقال دهنده(SCROLL CONVEYER) بیرینگ ها، الکتروموتور و پایه های تراز شونده می باشد.  نرخ آبگیری (captured rate) در این دستگاه ها می بایست  حداقل 90 درصد</t>
  </si>
  <si>
    <t>32360504</t>
  </si>
  <si>
    <t xml:space="preserve">آبگیرسانتریفیوژ لجن به ظرفیت ورودی 400 کیلوگرم در ساعت شامل کاسه(BOWL) از جنس AISI-316T بدنه، انتقال دهنده(SCROLL CONVEYER) بیرینگ ها، الکتروموتور و پایه های تراز شونده می باشد.  نرخ آبگیری (captured rate) در این دستگاه ها می بایست  حداقل 90 درصد_x000D_
</t>
  </si>
  <si>
    <t>32360505</t>
  </si>
  <si>
    <t>آبگیرسانتریفیوژ لجن به ظرفیت ورودی 500 کیلوگرم در ساعت شامل کاسه(BOWL) از جنس AISI-316T بدنه، انتقال دهنده(SCROLL CONVEYER) بیرینگ ها، الکتروموتور و پایه های تراز شونده می باشد.  نرخ آبگیری (captured rate) در این دستگاه ها می بایست  حداقل 90 درصد</t>
  </si>
  <si>
    <t>32360506</t>
  </si>
  <si>
    <t>آبگیرسانتریفیوژ لجن به ظرفیت ورودی 600 کیلوگرم در ساعت شامل کاسه(BOWL) از جنس AISI-316T بدنه، انتقال دهنده(SCROLL CONVEYER) بیرینگ ها، الکتروموتور و پایه های تراز شونده می باشد.  نرخ آبگیری (captured rate) در این دستگاه ها می بایست  حداقل 90 درصد</t>
  </si>
  <si>
    <t>32360507</t>
  </si>
  <si>
    <t>آبگیرسانتریفیوژ لجن به ظرفیت ورودی 700 کیلوگرم در ساعت شامل کاسه(BOWL) از جنس AISI-316T بدنه، انتقال دهنده(SCROLL CONVEYER) بیرینگ ها، الکتروموتور و پایه های تراز شونده می باشد.  نرخ آبگیری (captured rate) در این دستگاه ها می بایست  حداقل 90 درصد</t>
  </si>
  <si>
    <t>32360508</t>
  </si>
  <si>
    <t xml:space="preserve">آبگیرسانتریفیوژ لجن به ظرفیت ورودی 800 کیلوگرم در ساعت شامل کاسه(BOWL) از جنس AISI-316T بدنه، انتقال دهنده(SCROLL CONVEYER) بیرینگ ها، الکتروموتور و پایه های تراز شونده می باشد.  نرخ آبگیری (captured rate) در این دستگاه ها می بایست  حداقل 90 درصد_x000D_
</t>
  </si>
  <si>
    <t>ازن آب</t>
  </si>
  <si>
    <t>سالم آب</t>
  </si>
  <si>
    <t>ازن آب/ سالم آب</t>
  </si>
  <si>
    <t>قیمت سه ماهه 
چهارم فهرست</t>
  </si>
  <si>
    <t>قیمت سه ماهه چهارم 1400</t>
  </si>
  <si>
    <t>قیمت سه ماهه سوم 1401</t>
  </si>
  <si>
    <t>قیمت سه ماهه چهارم 1401</t>
  </si>
  <si>
    <t>اسفند 1401</t>
  </si>
  <si>
    <t>سه ماهه سوم 1402</t>
  </si>
  <si>
    <t>سه ماهه چهارم 1402</t>
  </si>
  <si>
    <t>32370101</t>
  </si>
  <si>
    <t xml:space="preserve">ازن زنی به ظرفیت 35 گرم در ساعت شامل سیستم ازن ژنراتور با ورودی اکسیژن از نوع فرکانس بالا با کنترل فرکانس ودارای الکترود از جنس TI 316 و مقاوم در برابر تنس های مکانیکی و حرارت، دارای قابلیت تولید ازن بین 5 تا 100 درصدبا قابلیت کنترل فشار خروجی دستگاه دارای نشانگر دما و فلوی آب خنک کننده، دبی و وفشار اکسیژن ورودی، شیرهای کنترل فشار به همراه سیستم تولید اکسیژن با مولوکولارسیوبا خلوص تولیدی بالای 92 درصد، به همراه کمپرسور اسکروجهت تولید هوا به ظرفیت و فشار مناسب از نوع بدون روغن </t>
  </si>
  <si>
    <t>32370102</t>
  </si>
  <si>
    <t xml:space="preserve">ازن زنی به ظرفیت 60 گرم در ساعت شامل سیستم ازن ژنراتور با ورودی اکسیژن از نوع فرکانس بالا با کنترل فرکانس ودارای الکترود از جنس TI 316 و مقاوم در برابر تنس های مکانیکی و حرارت، دارای قابلیت تولید ازن بین 5 تا 100 درصدبا قابلیت کنترل فشار خروجی دستگاه دارای نشانگر دما و فلوی آب خنک کننده، دبی و وفشار اکسیژن ورودی، شیرهای کنترل فشار به همراه سیستم تولید اکسیژن با مولوکولارسیوبا خلوص تولیدی بالای 92 درصد، به همراه کمپرسور اسکروجهت تولید هوا به ظرفیت و فشار مناسب از نوع بدون روغن </t>
  </si>
  <si>
    <t>32370103</t>
  </si>
  <si>
    <t xml:space="preserve">ازن زنی به ظرفیت 80 گرم در ساعت شامل سیستم ازن ژنراتور با ورودی اکسیژن از نوع فرکانس بالا با کنترل فرکانس ودارای الکترود از جنس TI 316 و مقاوم در برابر تنس های مکانیکی و حرارت، دارای قابلیت تولید ازن بین 5 تا 100 درصدبا قابلیت کنترل فشار خروجی دستگاه دارای نشانگر دما و فلوی آب خنک کننده، دبی و وفشار اکسیژن ورودی، شیرهای کنترل فشار به همراه سیستم تولید اکسیژن با مولوکولارسیوبا خلوص تولیدی بالای 92 درصد، به همراه کمپرسور اسکروجهت تولید هوا به ظرفیت و فشار مناسب از نوع بدون روغن </t>
  </si>
  <si>
    <t>32370104</t>
  </si>
  <si>
    <t xml:space="preserve">ازن زنی به ظرفیت 100 گرم در ساعت شامل سیستم ازن ژنراتور با ورودی اکسیژن از نوع فرکانس بالا با کنترل فرکانس ودارای الکترود از جنس TI 316 و مقاوم در برابر تنس های مکانیکی و حرارت، دارای قابلیت تولید ازن بین 5 تا 100 درصدبا قابلیت کنترل فشار خروجی دستگاه دارای نشانگر دما و فلوی آب خنک کننده، دبی و وفشار اکسیژن ورودی، شیرهای کنترل فشار به همراه سیستم تولید اکسیژن با مولوکولارسیوبا خلوص تولیدی بالای 92 درصد، به همراه کمپرسور اسکروجهت تولید هوا به ظرفیت و فشار مناسب از نوع بدون روغن </t>
  </si>
  <si>
    <t>32370105</t>
  </si>
  <si>
    <t xml:space="preserve">ازن زنی به ظرفیت 150 گرم در ساعت شامل سیستم ازن ژنراتور با ورودی اکسیژن از نوع فرکانس بالا با کنترل فرکانس ودارای الکترود از جنس TI 316 و مقاوم در برابر تنس های مکانیکی و حرارت، دارای قابلیت تولید ازن بین 5 تا 100 درصدبا قابلیت کنترل فشار خروجی دستگاه دارای نشانگر دما و فلوی آب خنک کننده، دبی و وفشار اکسیژن ورودی، شیرهای کنترل فشار به همراه سیستم تولید اکسیژن با مولوکولارسیوبا خلوص تولیدی بالای 92 درصد، به همراه کمپرسور اسکروجهت تولید هوا به ظرفیت و فشار مناسب از نوع بدون روغن </t>
  </si>
  <si>
    <t>32370106</t>
  </si>
  <si>
    <t xml:space="preserve">ازن زنی به ظرفیت 200 گرم در ساعت شامل سیستم ازن ژنراتور با ورودی اکسیژن از نوع فرکانس بالا با کنترل فرکانس ودارای الکترود از جنس TI 316 و مقاوم در برابر تنس های مکانیکی و حرارت، دارای قابلیت تولید ازن بین 5 تا 100 درصدبا قابلیت کنترل فشار خروجی دستگاه دارای نشانگر دما و فلوی آب خنک کننده، دبی و وفشار اکسیژن ورودی، شیرهای کنترل فشار به همراه سیستم تولید اکسیژن با مولوکولارسیوبا خلوص تولیدی بالای 92 درصد، به همراه کمپرسور اسکروجهت تولید هوا به ظرفیت و فشار مناسب از نوع بدون روغن </t>
  </si>
  <si>
    <t>32370107</t>
  </si>
  <si>
    <t xml:space="preserve">ازن زنی به ظرفیت 500 گرم در ساعت شامل سیستم ازن ژنراتور با ورودی اکسیژن از نوع فرکانس بالا با کنترل فرکانس ودارای الکترود از جنس TI 316 و مقاوم در برابر تنس های مکانیکی و حرارت، دارای قابلیت تولید ازن بین 5 تا 100 درصدبا قابلیت کنترل فشار خروجی دستگاه دارای نشانگر دما و فلوی آب خنک کننده، دبی و وفشار اکسیژن ورودی، شیرهای کنترل فشار به همراه سیستم تولید اکسیژن با مولوکولارسیوبا خلوص تولیدی بالای 92 درصد، به همراه کمپرسور اسکروجهت تولید هوا به ظرفیت و فشار مناسب از نوع بدون روغن </t>
  </si>
  <si>
    <t>32370108</t>
  </si>
  <si>
    <t xml:space="preserve">ازن زنی به ظرفیت 1000 گرم در ساعت شامل سیستم ازن ژنراتور با ورودی اکسیژن از نوع فرکانس بالا با کنترل فرکانس ودارای الکترود از جنس TI 316 و مقاوم در برابر تنس های مکانیکی و حرارت، دارای قابلیت تولید ازن بین 5 تا 100 درصدبا قابلیت کنترل فشار خروجی دستگاه دارای نشانگر دما و فلوی آب خنک کننده، دبی و وفشار اکسیژن ورودی، شیرهای کنترل فشار به همراه سیستم تولید اکسیژن با مولوکولارسیوبا خلوص تولیدی بالای 92 درصد، به همراه کمپرسور اسکروجهت تولید هوا به ظرفیت و فشار مناسب از نوع بدون روغن </t>
  </si>
  <si>
    <t>32370109</t>
  </si>
  <si>
    <t xml:space="preserve">ازن زنی به ظرفیت 2000 گرم در ساعت شامل سیستم ازن ژنراتور با ورودی اکسیژن از نوع فرکانس بالا با کنترل فرکانس ودارای الکترود از جنس TI 316 و مقاوم در برابر تنس های مکانیکی و حرارت، دارای قابلیت تولید ازن بین 5 تا 100 درصدبا قابلیت کنترل فشار خروجی دستگاه دارای نشانگر دما و فلوی آب خنک کننده، دبی و وفشار اکسیژن ورودی، شیرهای کنترل فشار به همراه سیستم تولید اکسیژن با مولوکولارسیوبا خلوص تولیدی بالای 92 درصد، به همراه کمپرسور اسکروجهت تولید هوا به ظرفیت و فشار مناسب از نوع بدون روغن </t>
  </si>
  <si>
    <t>32370110</t>
  </si>
  <si>
    <t xml:space="preserve">ازن زنی به ظرفیت 5000 گرم در ساعت شامل سیستم ازن ژنراتور با ورودی اکسیژن از نوع فرکانس بالا با کنترل فرکانس ودارای الکترود از جنس TI 316 و مقاوم در برابر تنس های مکانیکی و حرارت، دارای قابلیت تولید ازن بین 5 تا 100 درصدبا قابلیت کنترل فشار خروجی دستگاه دارای نشانگر دما و فلوی آب خنک کننده، دبی و وفشار اکسیژن ورودی، شیرهای کنترل فشار به همراه سیستم تولید اکسیژن با مولوکولارسیوبا خلوص تولیدی بالای 92 درصد، به همراه کمپرسور اسکروجهت تولید هوا به ظرفیت و فشار مناسب از نوع بدون روغن </t>
  </si>
  <si>
    <t>32370111</t>
  </si>
  <si>
    <t xml:space="preserve">ازن زنی به ظرفیت 10000 گرم در ساعت شامل سیستم ازن ژنراتور با ورودی اکسیژن از نوع فرکانس بالا با کنترل فرکانس ودارای الکترود از جنس TI 316 و مقاوم در برابر تنس های مکانیکی و حرارت، دارای قابلیت تولید ازن بین 5 تا 100 درصدبا قابلیت کنترل فشار خروجی دستگاه دارای نشانگر دما و فلوی آب خنک کننده، دبی و وفشار اکسیژن ورودی، شیرهای کنترل فشار به همراه سیستم تولید اکسیژن با مولوکولارسیوبا خلوص تولیدی بالای 92 درصد، به همراه کمپرسور اسکروجهت تولید هوا به ظرفیت و فشار مناسب از نوع بدون روغن </t>
  </si>
  <si>
    <t>32370112</t>
  </si>
  <si>
    <t xml:space="preserve">ازن زنی به ظرفیت 20000 گرم در ساعت شامل سیستم ازن ژنراتور با ورودی اکسیژن از نوع فرکانس بالا با کنترل فرکانس ودارای الکترود از جنس TI 316 و مقاوم در برابر تنس های مکانیکی و حرارت، دارای قابلیت تولید ازن بین 5 تا 100 درصدبا قابلیت کنترل فشار خروجی دستگاه دارای نشانگر دما و فلوی آب خنک کننده، دبی و وفشار اکسیژن ورودی، شیرهای کنترل فشار به همراه سیستم تولید اکسیژن با مولوکولارسیوبا خلوص تولیدی بالای 92 درصد، به همراه کمپرسور اسکروجهت تولید هوا به ظرفیت و فشار مناسب از نوع بدون روغن </t>
  </si>
  <si>
    <t>32370201</t>
  </si>
  <si>
    <t>کلرزن گازی با ظرفیت تزریق 2 کیلوگرم در ساعت شامل شیر وقطع وصل،شیر کمکی، شیرخط اصلی،شیر قطع و وصل توپی فشارسنج، سیستم خودکار تغییر وضعیت، فیلتر، فیلتر تله(تله گرمکن)، شیر فشار شکن، وکیوم رگولاتور، کلریناتور انژکتور و دیفیوزر از هرکدام یک عدد</t>
  </si>
  <si>
    <t>رشد سالم آب مانند ازن آب</t>
  </si>
  <si>
    <t>32370202</t>
  </si>
  <si>
    <t>کلرزن گازی با ظرفیت تزریق 4 کیلوگرم در ساعت شامل شیر وقطع وصل،شیر کمکی، شیرخط اصلی،شیر قطع و وصل توپی فشارسنج، سیستم خودکار تغییر وضعیت، فیلتر، فیلتر تله(تله گرمکن)، شیر فشار شکن، وکیوم رگولاتور، کلریناتور انژکتور و دیفیوزر از هرکدام یک عدد</t>
  </si>
  <si>
    <t>32370203</t>
  </si>
  <si>
    <t>کلرزن گازی با ظرفیت تزریق 6 کیلوگرم در ساعت شامل شیر وقطع وصل،شیر کمکی، شیرخط اصلی،شیر قطع و وصل توپی فشارسنج، سیستم خودکار تغییر وضعیت، فیلتر، فیلتر تله(تله گرمکن)، شیر فشار شکن، وکیوم رگولاتور، کلریناتور انژکتور و دیفیوزر از هرکدام یک عدد</t>
  </si>
  <si>
    <t>32370204</t>
  </si>
  <si>
    <t>کلرزن گازی با ظرفیت تزریق 8 کیلوگرم در ساعت شامل شیر وقطع وصل،شیر کمکی، شیرخط اصلی،شیر قطع و وصل توپی فشارسنج، سیستم خودکار تغییر وضعیت، فیلتر، فیلتر تله(تله گرمکن)، شیر فشار شکن، وکیوم رگولاتور، کلریناتور انژکتور و دیفیوزر از هرکدام یک عدد</t>
  </si>
  <si>
    <t>32370205</t>
  </si>
  <si>
    <t>کلرزن گازی با ظرفیت تزریق 10 کیلوگرم در ساعت شامل شیر وقطع وصل،شیر کمکی، شیرخط اصلی،شیر قطع و وصل توپی فشارسنج، سیستم خودکار تغییر وضعیت، فیلتر، فیلتر تله(تله گرمکن)، شیر فشار شکن، وکیوم رگولاتور، کلریناتور انژکتور و دیفیوزر از هرکدام یک عدد</t>
  </si>
  <si>
    <t>32370206</t>
  </si>
  <si>
    <t>کلرزن گازی با ظرفیت تزریق 20 کیلوگرم در ساعت شامل شیر وقطع وصل،شیر کمکی، شیرخط اصلی،شیر قطع و وصل توپی فشارسنج، سیستم خودکار تغییر وضعیت، فیلتر، فیلتر تله(تله گرمکن)، شیر فشار شکن، وکیوم رگولاتور، کلریناتور انژکتور و دیفیوزر از هرکدام یک عدد</t>
  </si>
  <si>
    <t>32370207</t>
  </si>
  <si>
    <t>کلرزن گازی با ظرفیت تزریق 40 کیلوگرم در ساعت شامل شیر وقطع وصل،شیر کمکی، شیرخط اصلی،شیر قطع و وصل توپی فشارسنج، سیستم خودکار تغییر وضعیت، فیلتر، فیلتر تله(تله گرمکن)، شیر فشار شکن، وکیوم رگولاتور، کلریناتور انژکتور و دیفیوزر از هرکدام یک عدد</t>
  </si>
  <si>
    <t>32370208</t>
  </si>
  <si>
    <t>کلرزن گازی با ظرفیت تزریق 60 کیلوگرم در ساعت شامل شیر وقطع وصل،شیر کمکی، شیرخط اصلی،شیر قطع و وصل توپی فشارسنج، سیستم خودکار تغییر وضعیت، فیلتر، فیلتر تله(تله گرمکن)، شیر فشار شکن، وکیوم رگولاتور، کلریناتور انژکتور و دیفیوزر از هرکدام یک عدد</t>
  </si>
  <si>
    <t>32370301</t>
  </si>
  <si>
    <t>کپسول گاز کلر به ظرفیت 68 کیلوگرم</t>
  </si>
  <si>
    <t>عدد</t>
  </si>
  <si>
    <t>32370302</t>
  </si>
  <si>
    <t>کپسول گاز کلر به ظرفیت 1000 کیلوگرم</t>
  </si>
  <si>
    <t>32370401</t>
  </si>
  <si>
    <t>تعویض کننده خودکار به ظرفیت تا 8 کیلوگرم در ساعت</t>
  </si>
  <si>
    <t>32370402</t>
  </si>
  <si>
    <t>تعویض کننده خودکار به ظرفیت تا 40 کیلوگرم در ساعت</t>
  </si>
  <si>
    <t>32370403</t>
  </si>
  <si>
    <t>تعویض کننده خودکار به ظرفیت تا 60 کیلوگرم در ساعت</t>
  </si>
  <si>
    <t>فهرست بها</t>
  </si>
  <si>
    <t>32380101</t>
  </si>
  <si>
    <t>گراول فیلتر (Gravel Filter) به ظرفیت تا 400 متر مکعب در ساعت بدنه از جنس AISI-316 با قابلیت تحمل فشار تا 100 میلی بارو افت فشار حدود 5 میلی بار به همراه پایه و دریچه بازدیدو گیج های فشار دارای دانه بندی بین 30 تا 60 میلیمتر و تله آب</t>
  </si>
  <si>
    <t>رشد استیل و دلار با کاهش که بعدا پله ای اصلاح شود</t>
  </si>
  <si>
    <t>32380102</t>
  </si>
  <si>
    <t>گراول فیلتر (Gravel Filter) به ظرفیت تا 600 متر مکعب در ساعت بدنه از جنس AISI-316 با قابلیت تحمل فشار تا 100 میلی بارو افت فشار حدود 5 میلی بار به همراه پایه و دریچه بازدیدو گیج های فشار دارای دانه بندی بین 30 تا 60 میلیمتر و تله آب</t>
  </si>
  <si>
    <t>32380103</t>
  </si>
  <si>
    <t>گراول فیلتر (Gravel Filter) به ظرفیت تا 800 متر مکعب در ساعت بدنه از جنس AISI-316 با قابلیت تحمل فشار تا 100 میلی بارو افت فشار حدود 5 میلی بار به همراه پایه و دریچه بازدیدو گیج های فشار دارای دانه بندی بین 30 تا 60 میلیمتر و تله آب</t>
  </si>
  <si>
    <t>32380104</t>
  </si>
  <si>
    <t>گراول فیلتر (Gravel Filter) به ظرفیت 1000 متر مکعب در ساعت بدنه از جنس AISI-316 با قابلیت تحمل فشار تا 100 میلی بارو افت فشار حدود 5 میلی بار به همراه پایه و دریچه بازدیدو گیج های فشار دارای دانه بندی بین 30 تا 60 میلیمتر و تله آب</t>
  </si>
  <si>
    <t>32380105</t>
  </si>
  <si>
    <t>گراول فیلتر (Gravel Filter) به ظرفیت 1200 متر مکعب در ساعت بدنه از جنس AISI-316 با قابلیت تحمل فشار تا 100 میلی بارو افت فشار حدود 5 میلی بار به همراه پایه و دریچه بازدیدو گیج های فشار دارای دانه بندی بین 30 تا 60 میلیمتر و تله آب</t>
  </si>
  <si>
    <t>32380201</t>
  </si>
  <si>
    <t xml:space="preserve">سرامیک فیلتر به ظرفیت تا 400 متر مکعب در ساعت بدنه از جنس AISI-316 به همراه فیلترها سرامیکی با مش بندی 60 میکرون به همراه دریچه بازدید تله آب، و پایه _x000D_
</t>
  </si>
  <si>
    <t>32380202</t>
  </si>
  <si>
    <t xml:space="preserve">سرامیک فیلتر به ظرفیت تا 600 متر مکعب در ساعت بدنه از جنس AISI-316 به همراه فیلترها سرامیکی با مش بندی 60 میکرون به همراه دریچه بازدید تله آب، و پایه _x000D_
</t>
  </si>
  <si>
    <t>32380203</t>
  </si>
  <si>
    <t xml:space="preserve">سرامیک فیلتر به ظرفیت تا 800 متر مکعب در ساعت بدنه از جنس AISI-316 به همراه فیلترها سرامیکی با مش بندی 60 میکرون به همراه دریچه بازدید تله آب، و پایه _x000D_
</t>
  </si>
  <si>
    <t>32380204</t>
  </si>
  <si>
    <t xml:space="preserve">سرامیک فیلتر به ظرفیت 1000 متر مکعب در ساعت بدنه از جنس AISI-316 به همراه فیلترها سرامیکی با مش بندی 60 میکرون به همراه دریچه بازدید تله آب، و پایه _x000D_
</t>
  </si>
  <si>
    <t>32380205</t>
  </si>
  <si>
    <t xml:space="preserve">سرامیک فیلتر به ظرفیت 1200 متر مکعب در ساعت بدنه از جنس AISI-316 به همراه فیلترها سرامیکی با مش بندی 60 میکرون به همراه دریچه بازدید تله آب، و پایه _x000D_
</t>
  </si>
  <si>
    <t>32380301</t>
  </si>
  <si>
    <t xml:space="preserve">تله آبگیر سایز 50 شامل بدنه از جنس AISI-316 از نوع دستی دارای درین خروجیهمراه با پایه_x000D_
</t>
  </si>
  <si>
    <t>32380302</t>
  </si>
  <si>
    <t xml:space="preserve">تله آبگیر سایز 65 شامل بدنه از جنس AISI-316 از نوع دستی دارای درین خروجیهمراه با پایه_x000D_
</t>
  </si>
  <si>
    <t>32380303</t>
  </si>
  <si>
    <t xml:space="preserve">تله آبگیر سایز 80 شامل بدنه از جنس AISI-316 از نوع دستی دارای درین خروجیهمراه با پایه_x000D_
</t>
  </si>
  <si>
    <t>32380304</t>
  </si>
  <si>
    <t xml:space="preserve">تله آبگیر سایز 100 شامل بدنه از جنس AISI-316 از نوع دستی دارای درین خروجیهمراه با پایه_x000D_
</t>
  </si>
  <si>
    <t>ضریب 1.6 دلاری</t>
  </si>
  <si>
    <t>32380305</t>
  </si>
  <si>
    <t xml:space="preserve">تله آبگیر سایز 150 شامل بدنه از جنس AISI-316 از نوع دستی دارای درین خروجیهمراه با پایه_x000D_
</t>
  </si>
  <si>
    <t>32380306</t>
  </si>
  <si>
    <t xml:space="preserve">تله آبگیر سایز 200 شامل بدنه از جنس AISI-316 از نوع دستی دارای درین خروجیهمراه با پایه_x000D_
</t>
  </si>
  <si>
    <t>32380401</t>
  </si>
  <si>
    <t xml:space="preserve">فیلتر کربن فعال به ظرفیت تا 400 متر مکعب در ساعت بدنه از جنس AISI-316 فلنج های اتصال دریچه بازدید،دریچه تخلیه و پرسازی کربن فعال، گیج فشار و پایه _x000D_
</t>
  </si>
  <si>
    <t>32380402</t>
  </si>
  <si>
    <t xml:space="preserve">فیلتر کربن فعال به ظرفیت تا 600 متر مکعب در ساعت بدنه از جنس AISI-316 فلنج های اتصال دریچه بازدید،دریچه تخلیه و پرسازی کربن فعال، گیج فشار و پایه _x000D_
</t>
  </si>
  <si>
    <t>32380403</t>
  </si>
  <si>
    <t xml:space="preserve">فیلتر کربن فعال به ظرفیت تا 800 متر مکعب در ساعت بدنه از جنس AISI-316 فلنج های اتصال دریچه بازدید،دریچه تخلیه و پرسازی کربن فعال، گیج فشار و پایه _x000D_
</t>
  </si>
  <si>
    <t>32380404</t>
  </si>
  <si>
    <t xml:space="preserve">فیلتر کربن فعال به ظرفیت 1000 متر مکعب در ساعت بدنه از جنس AISI-316 فلنج های اتصال دریچه بازدید،دریچه تخلیه و پرسازی کربن فعال، گیج فشار و پایه _x000D_
</t>
  </si>
  <si>
    <t>32380405</t>
  </si>
  <si>
    <t xml:space="preserve">فیلتر کربن فعال به ظرفیت 1200 متر مکعب در ساعت بدنه از جنس AISI-316 فلنج های اتصال دریچه بازدید،دریچه تخلیه و پرسازی کربن فعال، گیج فشار و پایه _x000D_
</t>
  </si>
  <si>
    <t>32380501</t>
  </si>
  <si>
    <t xml:space="preserve">اسکرابر حذف سولفور به ظرفیت تا 400 متر مکعب در ساعت بدنه از جنس PP پمپ سیرکولاسیون مقاوم در برابر اسید بلویر، ورودی آب مبدل حرارتی ماکزیمم H2S ورودی 20000   ppm و H2S خروجی کمتر از 50 ppm _x000D_
</t>
  </si>
  <si>
    <t>32380502</t>
  </si>
  <si>
    <t xml:space="preserve">اسکرابر حذف سولفور به ظرفیت تا 600 متر مکعب در ساعت بدنه از جنس PP پمپ سیرکولاسیون مقاوم در برابر اسید بلویر، ورودی آب مبدل حرارتی ماکزیمم H2S ورودی 20000   ppm و H2S خروجی کمتر از 50 ppm _x000D_
</t>
  </si>
  <si>
    <t>32380503</t>
  </si>
  <si>
    <t xml:space="preserve">اسکرابر حذف سولفور به ظرفیت تا 800 متر مکعب در ساعت بدنه از جنس PP پمپ سیرکولاسیون مقاوم در برابر اسید بلویر، ورودی آب مبدل حرارتی ماکزیمم H2S ورودی 20000   ppm و H2S خروجی کمتر از 50 ppm _x000D_
</t>
  </si>
  <si>
    <t>32380504</t>
  </si>
  <si>
    <t xml:space="preserve">اسکرابر حذف سولفور به ظرفیت 1000 متر مکعب در ساعت بدنه از جنس PP پمپ سیرکولاسیون مقاوم در برابر اسید بلویر، ورودی آب مبدل حرارتی ماکزیمم H2S ورودی 20000   ppm و H2S خروجی کمتر از 50 ppm _x000D_
</t>
  </si>
  <si>
    <t>32380505</t>
  </si>
  <si>
    <t xml:space="preserve">اسکرابر حذف سولفور به ظرفیت 1200 متر مکعب در ساعت بدنه از جنس PP پمپ سیرکولاسیون مقاوم در برابر اسید بلویر، ورودی آب مبدل حرارتی ماکزیمم H2S ورودی 20000   ppm و H2S خروجی کمتر از 50 ppm _x000D_
</t>
  </si>
  <si>
    <t>32380601</t>
  </si>
  <si>
    <t xml:space="preserve">مشعل (Gas Flare) تا ظرفیت 100 مترمکعب در ساعت بدنه ازجنس AISI-316 کار درفشار بالای 25 میلی بار گاز دارای شیر اتوماتیک تجهیزات احتراق داخلی سنسور های پایش دما و پایه _x000D_
</t>
  </si>
  <si>
    <t>32380602</t>
  </si>
  <si>
    <t xml:space="preserve">مشعل (Gas Flare) تا ظرفیت 150 مترمکعب در ساعت بدنه ازجنس AISI-316 کار درفشار بالای 25 میلی بار گاز دارای شیر اتوماتیک تجهیزات احتراق داخلی سنسور های پایش دما و پایه _x000D_
</t>
  </si>
  <si>
    <t>32380603</t>
  </si>
  <si>
    <t xml:space="preserve">مشعل (Gas Flare) تا ظرفیت 250 مترمکعب در ساعت بدنه ازجنس AISI-316 کار درفشار بالای 25 میلی بار گاز دارای شیر اتوماتیک تجهیزات احتراق داخلی سنسور های پایش دما و پایه _x000D_
</t>
  </si>
  <si>
    <t>32380604</t>
  </si>
  <si>
    <t xml:space="preserve">مشعل (Gas Flare) تا ظرفیت 350 مترمکعب در ساعت بدنه ازجنس AISI-316 کار درفشار بالای 25 میلی بار گاز دارای شیر اتوماتیک تجهیزات احتراق داخلی سنسور های پایش دما و پایه _x000D_
</t>
  </si>
  <si>
    <t>32380605</t>
  </si>
  <si>
    <t xml:space="preserve">مشعل (Gas Flare) تا ظرفیت 400 مترمکعب در ساعت بدنه ازجنس AISI-316 کار درفشار بالای 25 میلی بار گاز دارای شیر اتوماتیک تجهیزات احتراق داخلی سنسور های پایش دما و پایه _x000D_
</t>
  </si>
  <si>
    <t>32380606</t>
  </si>
  <si>
    <t xml:space="preserve">مشعل (Gas Flare) تا ظرفیت 600 مترمکعب در ساعت بدنه ازجنس AISI-316 کار درفشار بالای 25 میلی بار گاز دارای شیر اتوماتیک تجهیزات احتراق داخلی سنسور های پایش دما و پایه _x000D_
</t>
  </si>
  <si>
    <t>32380607</t>
  </si>
  <si>
    <t xml:space="preserve">مشعل (Gas Flare) تا ظرفیت 1100 مترمکعب در ساعت بدنه ازجنس AISI-316 کار درفشار بالای 25 میلی بار گاز دارای شیر اتوماتیک تجهیزات احتراق داخلی سنسور های پایش دما و پایه _x000D_
</t>
  </si>
  <si>
    <t>32380608</t>
  </si>
  <si>
    <t xml:space="preserve">مشعل (Gas Flare) تا ظرفیت 1500 مترمکعب در ساعت بدنه ازجنس AISI-316 کار درفشار بالای 25 میلی بار گاز دارای شیر اتوماتیک تجهیزات احتراق داخلی سنسور های پایش دما و پایه _x000D_
</t>
  </si>
  <si>
    <t>32390101</t>
  </si>
  <si>
    <t xml:space="preserve">جرثقیل چهارکاره برقی به ظرفیت 0/25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</si>
  <si>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32390102</t>
  </si>
  <si>
    <t xml:space="preserve">جرثقیل چهارکاره برقی به ظرفیت 0/5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</si>
  <si>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32390103</t>
  </si>
  <si>
    <t xml:space="preserve">جرثقیل چهارکاره برقی به ظرفیت 1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</si>
  <si>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32390104</t>
  </si>
  <si>
    <t xml:space="preserve">جرثقیل چهارکاره برقی به ظرفیت 5/1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</si>
  <si>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32390105</t>
  </si>
  <si>
    <t xml:space="preserve">جرثقیل چهارکاره برقی به ظرفیت 2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</si>
  <si>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32390106</t>
  </si>
  <si>
    <t xml:space="preserve">جرثقیل چهارکاره برقی به ظرفیت 2/5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</si>
  <si>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32390107</t>
  </si>
  <si>
    <t xml:space="preserve">جرثقیل چهارکاره برقی به ظرفیت 3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</si>
  <si>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32390108</t>
  </si>
  <si>
    <t xml:space="preserve">جرثقیل چهارکاره برقی به ظرفیت 4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</si>
  <si>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32390109</t>
  </si>
  <si>
    <t xml:space="preserve">جرثقیل چهارکاره برقی به ظرفیت 5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</si>
  <si>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32390110</t>
  </si>
  <si>
    <t xml:space="preserve">جرثقیل چهارکاره برقی به ظرفیت 6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</si>
  <si>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32390111</t>
  </si>
  <si>
    <t xml:space="preserve">جرثقیل چهارکاره برقی به ظرفیت 7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</si>
  <si>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32390112</t>
  </si>
  <si>
    <t xml:space="preserve">جرثقیل چهارکاره برقی به ظرفیت 8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</si>
  <si>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32390113</t>
  </si>
  <si>
    <t xml:space="preserve">جرثقیل چهارکاره برقی به ظرفیت 10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</si>
  <si>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32390201</t>
  </si>
  <si>
    <t xml:space="preserve">جرثقیل دوکاره برقی به ظرفیت 0/25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</si>
  <si>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32390202</t>
  </si>
  <si>
    <t xml:space="preserve">جرثقیل دوکاره برقی به ظرفیت 0/5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</si>
  <si>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32390203</t>
  </si>
  <si>
    <t xml:space="preserve">جرثقیل دوکاره برقی به ظرفیت 1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</si>
  <si>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32390204</t>
  </si>
  <si>
    <t xml:space="preserve">جرثقیل دوکاره برقی به ظرفیت 1/5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</si>
  <si>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32390205</t>
  </si>
  <si>
    <t xml:space="preserve">جرثقیل دوکاره برقی به ظرفیت 2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</si>
  <si>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32390206</t>
  </si>
  <si>
    <t xml:space="preserve">جرثقیل دوکاره برقی به ظرفیت 2/5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</si>
  <si>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32390207</t>
  </si>
  <si>
    <t xml:space="preserve">جرثقیل دوکاره برقی به ظرفیت 3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t>
  </si>
  <si>
    <t>32390208</t>
  </si>
  <si>
    <t xml:space="preserve">جرثقیل دوکاره برقی به ظرفیت 4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</si>
  <si>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32390209</t>
  </si>
  <si>
    <t xml:space="preserve">جرثقیل دوکاره برقی به ظرفیت 5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</si>
  <si>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32390210</t>
  </si>
  <si>
    <t xml:space="preserve">جرثقیل دوکاره برقی به ظرفیت 6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</si>
  <si>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32390211</t>
  </si>
  <si>
    <t xml:space="preserve">جرثقیل دوکاره برقی به ظرفیت 7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</si>
  <si>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32390212</t>
  </si>
  <si>
    <t xml:space="preserve">جرثقیل دوکاره برقی به ظرفیت 8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</si>
  <si>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32390213</t>
  </si>
  <si>
    <t xml:space="preserve">جرثقیل دوکاره برقی به ظرفیت 10 تن از نوع زنجیری شامل جرثقیل(CRANE)، زنجیر(CHAIN) و قلاب (HOOK) از نوع تکسرعته می باشد. همچنین دستگاه های مورد اشاره در این گروه مجهز به سیستم محافظت از اضافه بار(OVERLOAD PROTECTION) الکتریکی  ومکانیکی و همچنین دارای  کلید فرمان سیم دار _x000D_
</t>
  </si>
  <si>
    <t>32390301</t>
  </si>
  <si>
    <t xml:space="preserve">جرثقیل دستی به ظرفیت 0/25 تن از نوع زنجیری شامل جرثقیل(CRANE)، زنجیر(CHAIN) و قلاب (HOOK) می باشد. همچنین دستگاه های مورد اشاره در این گروه مجهز به سیستم محافظت از اضافه بار(OVERLOAD PROTECTION) مکانیکی </t>
  </si>
  <si>
    <t>32390302</t>
  </si>
  <si>
    <t>جرثقیل دستی به ظرفیت 0/5 تن از نوع زنجیری شامل جرثقیل(CRANE)، زنجیر(CHAIN) و قلاب (HOOK) می باشد. همچنین دستگاه های مورد اشاره در این گروه مجهز به سیستم محافظت از اضافه بار(OVERLOAD PROTECTION) مکانیکی می باشند</t>
  </si>
  <si>
    <t>32390303</t>
  </si>
  <si>
    <t>جرثقیل دستی به ظرفیت 0/75 تن از نوع زنجیری شامل جرثقیل(CRANE)، زنجیر(CHAIN) و قلاب (HOOK) می باشد. همچنین دستگاه های مورد اشاره در این گروه مجهز به سیستم محافظت از اضافه بار(OVERLOAD PROTECTION) مکانیکی می باشند</t>
  </si>
  <si>
    <t>32390304</t>
  </si>
  <si>
    <t>جرثقیل دستی به ظرفیت 1 تن از نوع زنجیری شامل جرثقیل(CRANE)، زنجیر(CHAIN) و قلاب (HOOK) می باشد. همچنین دستگاه های مورد اشاره در این گروه مجهز به سیستم محافظت از اضافه بار(OVERLOAD PROTECTION) مکانیکی می باشند</t>
  </si>
  <si>
    <t>32390305</t>
  </si>
  <si>
    <t>جرثقیل دستی به ظرفیت 1/5 تن از نوع زنجیری شامل جرثقیل(CRANE)، زنجیر(CHAIN) و قلاب (HOOK) می باشد. همچنین دستگاه های مورد اشاره در این گروه مجهز به سیستم محافظت از اضافه بار(OVERLOAD PROTECTION) مکانیکی می باشند</t>
  </si>
  <si>
    <t>32390306</t>
  </si>
  <si>
    <t>جرثقیل دستی به ظرفیت 2 تن از نوع زنجیری شامل جرثقیل(CRANE)، زنجیر(CHAIN) و قلاب (HOOK) می باشد. همچنین دستگاه های مورد اشاره در این گروه مجهز به سیستم محافظت از اضافه بار(OVERLOAD PROTECTION) مکانیکی می باشند</t>
  </si>
  <si>
    <t>مدل</t>
  </si>
  <si>
    <t>سه ماهه چهارم سال 1402 موتوژن</t>
  </si>
  <si>
    <t>جمکو</t>
  </si>
  <si>
    <t>سه ماهه چهارم 1402 قطعی</t>
  </si>
  <si>
    <t>سه ماهه چهارم 1400 - فهرست</t>
  </si>
  <si>
    <t>قیمت 9 بهمن- موتوژن- سه ماهه چهارم 1401</t>
  </si>
  <si>
    <t>32400101</t>
  </si>
  <si>
    <t xml:space="preserve">الکتروموتور با توان 0/18 کیلووات از نوع 4 قطب ازنوع قفسه سنجابی، 3 فاز، پنجاه هرتز دارای کلاس حرارتی F  و IP 54 و از کلاس بهره وری IE1_x000D_
</t>
  </si>
  <si>
    <t>32400102</t>
  </si>
  <si>
    <t xml:space="preserve">الکتروموتور با توان 0/25 کیلووات از نوع 4 قطب ازنوع قفسه سنجابی، 3 فاز، پنجاه هرتز دارای کلاس حرارتی F  و IP 54 و از کلاس بهره وری IE1_x000D_
</t>
  </si>
  <si>
    <t>32400103</t>
  </si>
  <si>
    <t xml:space="preserve">الکتروموتور با توان 0/37 کیلووات از نوع 4 قطب ازنوع قفسه سنجابی، 3 فاز، پنجاه هرتز دارای کلاس حرارتی F  و IP 54 و از کلاس بهره وری IE1_x000D_
</t>
  </si>
  <si>
    <t>32400104</t>
  </si>
  <si>
    <t xml:space="preserve">الکتروموتور با توان 0/55 کیلووات از نوع 4 قطب ازنوع قفسه سنجابی، 3 فاز، پنجاه هرتز دارای کلاس حرارتی F  و IP 54 و از کلاس بهره وری IE1_x000D_
</t>
  </si>
  <si>
    <t>32400105</t>
  </si>
  <si>
    <t xml:space="preserve">الکتروموتور با توان 0/75 کیلووات از نوع 4 قطب ازنوع قفسه سنجابی، 3 فاز، پنجاه هرتز دارای کلاس حرارتی F  و IP 54 و از کلاس بهره وری IE1_x000D_
</t>
  </si>
  <si>
    <t>32400106</t>
  </si>
  <si>
    <t xml:space="preserve">الکتروموتور با توان 5/1 کیلووات از نوع 4 قطب ازنوع قفسه سنجابی، 3 فاز، پنجاه هرتز دارای کلاس حرارتی F  و IP 54 و از کلاس بهره وری IE1_x000D_
</t>
  </si>
  <si>
    <t>32400107</t>
  </si>
  <si>
    <t>الکتروموتور سه فاز چدنی 2.2 کیلووات موتوژن</t>
  </si>
  <si>
    <t>32400108</t>
  </si>
  <si>
    <t>الکتروموتور سه فاز چدنی 3 کیلووات موتوژن</t>
  </si>
  <si>
    <t>32400109</t>
  </si>
  <si>
    <t>الکتروموتور سه فاز چدنی 3.7 کیلووات موتوژن</t>
  </si>
  <si>
    <t>32400110</t>
  </si>
  <si>
    <t xml:space="preserve">الکتروموتور با توان 7/4 کیلووات از نوع 4 قطب ازنوع قفسه سنجابی، 3 فاز، پنجاه هرتز دارای کلاس حرارتی F  و IP 54 و از کلاس بهره وری IE1_x000D_
</t>
  </si>
  <si>
    <t>32400111</t>
  </si>
  <si>
    <t>الکتروموتور سه فاز چدنی 5.5 کیلووات موتوژن</t>
  </si>
  <si>
    <t>32400112</t>
  </si>
  <si>
    <t>الکتروموتور سه فاز چدنی 7.5 کیلووات موتوژن</t>
  </si>
  <si>
    <t>32400113</t>
  </si>
  <si>
    <t xml:space="preserve">الکتروموتور با توان 5/9 کیلووات از نوع 4 قطب ازنوع قفسه سنجابی، 3 فاز، پنجاه هرتز دارای کلاس حرارتی F  و IP 54 و از کلاس بهره وری IE1_x000D_
</t>
  </si>
  <si>
    <t>32400114</t>
  </si>
  <si>
    <t>الکتروموتور سه فاز چدنی 11 کیلووات موتوژن</t>
  </si>
  <si>
    <t>32400115</t>
  </si>
  <si>
    <t>الکتروموتور سه فاز چدنی 15 کیلووات موتوژن</t>
  </si>
  <si>
    <t>32400116</t>
  </si>
  <si>
    <t>الکتروموتور سه فاز چدنی 18.5 کیلووات موتوژن</t>
  </si>
  <si>
    <t>32400117</t>
  </si>
  <si>
    <t>الکتروموتور سه فاز چدنی 22 کیلووات موتوژن</t>
  </si>
  <si>
    <t>32400118</t>
  </si>
  <si>
    <t>الکتروموتور سه فاز چدنی 30 کیلووات موتوژن</t>
  </si>
  <si>
    <t>32400119</t>
  </si>
  <si>
    <t>الکتروموتور سه فاز چدنی 37 کیلووات موتوژن</t>
  </si>
  <si>
    <t>32400120</t>
  </si>
  <si>
    <t>الکتروموتور سه فاز چدنی 45 کیلووات موتوژن</t>
  </si>
  <si>
    <t>32400121</t>
  </si>
  <si>
    <t>الکتروموتور سه فاز چدنی 55 کیلووات موتوژن</t>
  </si>
  <si>
    <t>32400122</t>
  </si>
  <si>
    <t>الکتروموتور سه فاز چدنی 75 کیلووات موتوژن</t>
  </si>
  <si>
    <t>32400123</t>
  </si>
  <si>
    <t>الکتروموتور سه فاز چدنی 90 کیلووات موتوژن</t>
  </si>
  <si>
    <t>32400124</t>
  </si>
  <si>
    <t>الکتروموتور سه فاز چدنی 110 کیلووات موتوژن</t>
  </si>
  <si>
    <t>32400125</t>
  </si>
  <si>
    <t>الکتروموتور سه فاز چدنی 132 کیلووات موتوژن</t>
  </si>
  <si>
    <t>32400126</t>
  </si>
  <si>
    <t>الکتروموتور سه فاز چدنی 160 کیلووات موتوژن</t>
  </si>
  <si>
    <t>32400127</t>
  </si>
  <si>
    <t>الکتروموتور سه فاز چدنی 185 کیلووات موتوژن</t>
  </si>
  <si>
    <t>32400128</t>
  </si>
  <si>
    <t>الکتروموتور سه فاز چدنی 200 کیلووات موتوژن</t>
  </si>
  <si>
    <t>الکتروموتور سه فاز چدنی 250 کیلووات موتوژن</t>
  </si>
  <si>
    <t>ایران مدار</t>
  </si>
  <si>
    <t>سه ماهه چهارم 1400 فهرست</t>
  </si>
  <si>
    <t>33820101</t>
  </si>
  <si>
    <t xml:space="preserve">فلومتر مغناطیسی فلنجی دارای ترانسمیتر جداگانه سایز 50 میلی‌متر </t>
  </si>
  <si>
    <t>33820102</t>
  </si>
  <si>
    <t xml:space="preserve">فلومتر مغناطیسی فلنجی دارای ترانسمیتر جداگانه سایز 65 میلی‌متر </t>
  </si>
  <si>
    <t>33820103</t>
  </si>
  <si>
    <t xml:space="preserve">فلومتر مغناطیسی فلنجی دارای ترانسمیتر جداگانه سایز 80 میلی‌متر </t>
  </si>
  <si>
    <t>33820104</t>
  </si>
  <si>
    <t xml:space="preserve">فلومتر مغناطیسی فلنجی دارای ترانسمیتر جداگانه سایز 100 میلی‌متر </t>
  </si>
  <si>
    <t>33820105</t>
  </si>
  <si>
    <t xml:space="preserve">فلومتر مغناطیسی فلنجی دارای ترانسمیتر جداگانه سایز 125 میلی‌متر </t>
  </si>
  <si>
    <t>33820106</t>
  </si>
  <si>
    <t xml:space="preserve">فلومتر مغناطیسی فلنجی دارای ترانسمیتر جداگانه سایز 150 میلی‌متر </t>
  </si>
  <si>
    <t>33820107</t>
  </si>
  <si>
    <t xml:space="preserve">فلومتر مغناطیسی فلنجی دارای ترانسمیتر جداگانه سایز 200 میلی‌متر </t>
  </si>
  <si>
    <t>33820108</t>
  </si>
  <si>
    <t>فلومتر مغناطیسی فلنجی دارای ترانسمیتر جداگانه سایز 250 میلی‌متر</t>
  </si>
  <si>
    <t>33820109</t>
  </si>
  <si>
    <t xml:space="preserve">فلومتر مغناطیسی فلنجی دارای ترانسمیتر جداگانه سایز 300 میلی‌متر </t>
  </si>
  <si>
    <t>33820110</t>
  </si>
  <si>
    <t>فلومتر مغناطیسی فلنجی دارای ترانسمیتر جداگانه سایز 350 میلی‌متر</t>
  </si>
  <si>
    <t>33820111</t>
  </si>
  <si>
    <t xml:space="preserve">فلومتر مغناطیسی فلنجی دارای ترانسمیتر جداگانه سایز 400 میلی‌متر </t>
  </si>
  <si>
    <t>33820112</t>
  </si>
  <si>
    <t xml:space="preserve">فلومتر مغناطیسی فلنجی دارای ترانسمیتر جداگانه سایز 450 میلی‌متر </t>
  </si>
  <si>
    <t>33820113</t>
  </si>
  <si>
    <t xml:space="preserve">فلومتر مغناطیسی فلنجی دارای ترانسمیتر جداگانه سایز 500 میلی‌متر </t>
  </si>
  <si>
    <t>33820114</t>
  </si>
  <si>
    <t xml:space="preserve">فلومتر مغناطیسی فلنجی دارای ترانسمیتر جداگانه سایز 600 میلی‌متر </t>
  </si>
  <si>
    <t>33820115</t>
  </si>
  <si>
    <t xml:space="preserve">فلومتر مغناطیسی فلنجی دارای ترانسمیتر جداگانه سایز 700 میلی‌متر </t>
  </si>
  <si>
    <t>33820116</t>
  </si>
  <si>
    <t xml:space="preserve">فلومتر مغناطیسی فلنجی دارای ترانسمیتر جداگانه سایز 800 میلی‌متر </t>
  </si>
  <si>
    <t>33820117</t>
  </si>
  <si>
    <t xml:space="preserve">فلومتر مغناطیسی فلنجی دارای ترانسمیتر جداگانه سایز 900 میلی‌متر </t>
  </si>
  <si>
    <t>33820118</t>
  </si>
  <si>
    <t xml:space="preserve">فلومتر مغناطیسی فلنجی دارای ترانسمیتر جداگانه سایز 1000 میلی‌متر </t>
  </si>
  <si>
    <t>33820119</t>
  </si>
  <si>
    <t xml:space="preserve">فلومتر مغناطیسی فلنجی دارای ترانسمیتر جداگانه سایز 1200 میلی‌متر </t>
  </si>
  <si>
    <t>33820120</t>
  </si>
  <si>
    <t xml:space="preserve">فلومتر مغناطیسی فلنجی دارای ترانسمیتر جداگانه سایز 1400 میلی‌متر </t>
  </si>
  <si>
    <t>33820121</t>
  </si>
  <si>
    <t xml:space="preserve">فلومتر مغناطیسی فلنجی دارای ترانسمیتر کامپکت سایز 50 میلی‌متر </t>
  </si>
  <si>
    <t>33820122</t>
  </si>
  <si>
    <t xml:space="preserve">فلومتر مغناطیسی فلنجی دارای ترانسمیتر کامپکت سایز 65 میلی‌متر </t>
  </si>
  <si>
    <t>33820123</t>
  </si>
  <si>
    <t xml:space="preserve">فلومتر مغناطیسی فلنجی دارای ترانسمیتر کامپکت سایز 80 میلی‌متر </t>
  </si>
  <si>
    <t>33820124</t>
  </si>
  <si>
    <t xml:space="preserve">فلومتر مغناطیسی فلنجی دارای ترانسمیتر کامپکت سایز 100 میلی‌متر </t>
  </si>
  <si>
    <t>33820125</t>
  </si>
  <si>
    <t xml:space="preserve">فلومتر مغناطیسی فلنجی دارای ترانسمیتر کامپکت سایز 125 میلی‌متر </t>
  </si>
  <si>
    <t>33820126</t>
  </si>
  <si>
    <t xml:space="preserve">فلومتر مغناطیسی فلنجی دارای ترانسمیتر کامپکت سایز 150 میلی‌متر </t>
  </si>
  <si>
    <t>33820127</t>
  </si>
  <si>
    <t xml:space="preserve">فلومتر مغناطیسی فلنجی دارای ترانسمیتر کامپکت سایز 200 میلی‌متر </t>
  </si>
  <si>
    <t>33820128</t>
  </si>
  <si>
    <t xml:space="preserve">فلومتر مغناطیسی فلنجی دارای ترانسمیتر کامپکت سایز 250 میلی‌متر </t>
  </si>
  <si>
    <t>33820129</t>
  </si>
  <si>
    <t xml:space="preserve">فلومتر مغناطیسی فلنجی دارای ترانسمیتر کامپکت سایز 300 میلی‌متر </t>
  </si>
  <si>
    <t>33820130</t>
  </si>
  <si>
    <t xml:space="preserve">فلومتر مغناطیسی فلنجی دارای ترانسمیتر کامپکت سایز 350 میلی‌متر </t>
  </si>
  <si>
    <t>33820131</t>
  </si>
  <si>
    <t xml:space="preserve">فلومتر مغناطیسی فلنجی دارای ترانسمیتر کامپکت سایز 400 میلی‌متر </t>
  </si>
  <si>
    <t>33820132</t>
  </si>
  <si>
    <t xml:space="preserve">فلومتر مغناطیسی فلنجی دارای ترانسمیتر کامپکت سایز 450 میلی‌متر </t>
  </si>
  <si>
    <t>33820133</t>
  </si>
  <si>
    <t xml:space="preserve">فلومتر مغناطیسی فلنجی دارای ترانسمیتر کامپکت سایز 500 میلی‌متر </t>
  </si>
  <si>
    <t>33820134</t>
  </si>
  <si>
    <t xml:space="preserve">فلومتر مغناطیسی فلنجی دارای ترانسمیتر کامپکت سایز 600 میلی‌متر </t>
  </si>
  <si>
    <t>33820135</t>
  </si>
  <si>
    <t xml:space="preserve">فلومتر مغناطیسی فلنجی دارای ترانسمیتر کامپکت سایز 700 میلی‌متر </t>
  </si>
  <si>
    <t>33820136</t>
  </si>
  <si>
    <t xml:space="preserve">فلومتر مغناطیسی فلنجی دارای ترانسمیتر کامپکت سایز 800 میلی‌متر </t>
  </si>
  <si>
    <t>33820137</t>
  </si>
  <si>
    <t xml:space="preserve">فلومتر مغناطیسی فلنجی دارای ترانسمیتر کامپکت سایز 900 میلی‌متر </t>
  </si>
  <si>
    <t>33820138</t>
  </si>
  <si>
    <t xml:space="preserve">فلومتر مغناطیسی فلنجی دارای ترانسمیتر کامپکت سایز 1000 میلی‌متر </t>
  </si>
  <si>
    <t>33820139</t>
  </si>
  <si>
    <t xml:space="preserve">فلومتر مغناطیسی فلنجی دارای ترانسمیتر کامپکت سایز 1200 میلی‌متر </t>
  </si>
  <si>
    <t>33820140</t>
  </si>
  <si>
    <t xml:space="preserve">فلومتر مغناطیسی فلنجی دارای ترانسمیتر کامپکت سایز 1400 میلی‌متر </t>
  </si>
  <si>
    <t>33820201</t>
  </si>
  <si>
    <t xml:space="preserve">فلومتر اولتراسونیک از نوع کلمپی (Clamp On) دوکاناله سایز 15 تا 65 میلی‌متر </t>
  </si>
  <si>
    <t>33820202</t>
  </si>
  <si>
    <t>فلومتر اولتراسونیک از نوع کلمپی (Clamp On) دوکاناله سایز 80 میلی‌متر</t>
  </si>
  <si>
    <t>33820203</t>
  </si>
  <si>
    <t>فلومتر اولتراسونیک از نوع کلمپی (Clamp On) دوکاناله سایز 100 تا 300 میلی‌متر</t>
  </si>
  <si>
    <t>33820204</t>
  </si>
  <si>
    <t>فلومتر اولتراسونیک از نوع کلمپی (Clamp On) دوکاناله سایز 300 تا 600 میلی‌متر</t>
  </si>
  <si>
    <t>33820205</t>
  </si>
  <si>
    <t>فلومتر اولتراسونیک از نوع کلمپی (Clamp On) دوکاناله سایز 650 تا 4000 میلی‌متر</t>
  </si>
  <si>
    <t>33820301</t>
  </si>
  <si>
    <t>فلومتر ورتکس (Vortex) از نوع فلنجی سایز  100 میلی متر</t>
  </si>
  <si>
    <t>33820302</t>
  </si>
  <si>
    <t>فلومتر ورتکس (Vortex) از نوع فلنجی سایز 200 میلی متر</t>
  </si>
  <si>
    <t>33820303</t>
  </si>
  <si>
    <t>فلومتر ورتکس (Vortex) از نوع فلنجی سایز  300 میلی متر</t>
  </si>
  <si>
    <t>33820401</t>
  </si>
  <si>
    <t xml:space="preserve">تجهیزات دبی‌سنجی همبستگی متقابل (Cross Correlatin) برای اندازه‌گیری دبی فاضلاب در کانالهای باز با قابلیت اندازه‌گیری و نمایش پروفیل سرعت جریان </t>
  </si>
  <si>
    <t>33820402</t>
  </si>
  <si>
    <t xml:space="preserve">تجهیزات دبی‌سنجی همبستگی متقابل (Cross Correlatin) برای اندازه‌گیری دبی فاضلاب در لوله‌های پر و نیمه پر با قابلیت اندازه‌گیری و نمایش پروفیل سرعت جریان </t>
  </si>
  <si>
    <t>33820403</t>
  </si>
  <si>
    <t xml:space="preserve">تجهیزات دبی‌سنجی همبستگی متقابل (Cross Correlatin) برای اندازه‌گیری دبی فاضلاب در لوله‌های پر با اقطار کمتر از 800 میلی‌متر </t>
  </si>
  <si>
    <t>33820404</t>
  </si>
  <si>
    <t>تجهیزات دبی‌سنجی همبستگی متقابل (Cross Correlatin) برای اندازه‌گیری دبی فاضلاب در لوله‌های پر با اقطار 800 میلی‌متر و بیشتر</t>
  </si>
  <si>
    <t>33820405</t>
  </si>
  <si>
    <t xml:space="preserve">تجهیزات پرتابل دبی‌سنجی همبستگی متقابل (Cross Correlatin) برای اندازه‌گیری دبی فاضلاب در کانالهای باز با قابلیت اندازه‌گیری و نمایش پروفیل سرعت جریان </t>
  </si>
  <si>
    <t>33820406</t>
  </si>
  <si>
    <t xml:space="preserve">تجهیزات دبی‌سنجی کانالهای باز آب به روش اولتراسونیک با استفاده از 2 سنسور (یک مسیر اندازه‌گیری) </t>
  </si>
  <si>
    <t>33820407</t>
  </si>
  <si>
    <t xml:space="preserve">تجهیزات دبی‌سنجی کانالهای باز آب به روش اولتراسونیک با استفاده از 4 سنسور (دو مسیر اندازه‌گیری) </t>
  </si>
  <si>
    <t>33820408</t>
  </si>
  <si>
    <t xml:space="preserve">تجهیزات دبی‌سنجی کانالهای باز آب به روش اولتراسونیک با استفاده از 6 سنسور (سه مسیر اندازه‌گیری) </t>
  </si>
  <si>
    <t>33820501</t>
  </si>
  <si>
    <t>تجهیزات دبی‌سنجی لوله‌های آب از نوع درون‌رو (Insertion) به روش اولتراسونیک با استفاده از 2 سنسور (یک مسیر اندازه‌گیری)</t>
  </si>
  <si>
    <t>33820502</t>
  </si>
  <si>
    <t>تجهیزات دبی‌سنجی لوله‌های آب از نوع درون‌رو (Insertion) به روش اولتراسونیک با استفاده از 4 سنسور (یک مسیر اندازه‌گیری)</t>
  </si>
  <si>
    <t>33820601</t>
  </si>
  <si>
    <t>فلومتر نوع جرم حرارتی (Thermal Mass) فلنجی</t>
  </si>
  <si>
    <t>33820602</t>
  </si>
  <si>
    <t>فلومتر نوع جرم حرارتی (Thermal Mass) مدل درون­‌رو (Insertion)</t>
  </si>
  <si>
    <t>33820701</t>
  </si>
  <si>
    <t>فلومتر راداری ثابت مخصوص کانال روباز، با سنسور سرعت سنج راداری (حداکثر فاصله 10 متری)</t>
  </si>
  <si>
    <t>33820702</t>
  </si>
  <si>
    <t>فلومتر راداری ثابت مخصوص کانال روباز، با سنسور سرعت سنج راداری (حداکثر فاصله 30 متری)</t>
  </si>
  <si>
    <t>33820703</t>
  </si>
  <si>
    <t>فلومتر راداری پرتابل مخصوص کانال روباز، با سنسور سرعت سنج راداری (حداکثر فاصله 10 متری)</t>
  </si>
  <si>
    <t>33820801</t>
  </si>
  <si>
    <t xml:space="preserve">فلومتر پالس داپلری، با قابلیت اندازه‌گیری سرعت در لایه‌های مختلف تا 22 لایه به همراه 10 متر کابل </t>
  </si>
  <si>
    <t>33820901</t>
  </si>
  <si>
    <t>فلومتر ترانزیت تایم، دارای 2 مسیر (path) اندازه‌گیری، مخصوص کانال روباز</t>
  </si>
  <si>
    <t>33820902</t>
  </si>
  <si>
    <t>فلومتر ترانزیت تایم، دارای 4 مسیر (path) اندازه‌گیری، مخصوص کانال روباز</t>
  </si>
  <si>
    <t>33820903</t>
  </si>
  <si>
    <t>فلومتر ترانزیت تایم، دارای 6 مسیر (path) اندازه‌گیری، مخصوص کانال روباز</t>
  </si>
  <si>
    <t>33820904</t>
  </si>
  <si>
    <t>فلومتر ترانزیت تایم، دارای 8 مسیر (path) اندازه‌گیری، مخصوص کانال روباز</t>
  </si>
  <si>
    <t>33820905</t>
  </si>
  <si>
    <t>فلومتر ترانزیت تایم، دارای 2 مسیر (path) اندازه‌گیری، مخصوص لوله‌های توپر</t>
  </si>
  <si>
    <t>33820906</t>
  </si>
  <si>
    <t>فلومتر ترانزیت تایم، دارای  4 مسیر (path) اندازه‌گیری، مخصوص لوله‌های توپر</t>
  </si>
  <si>
    <t>33820907</t>
  </si>
  <si>
    <t>فلومتر ترانزیت تایم، دارای  6 مسیر (path) اندازه‌گیری، مخصوص لوله‌های توپر</t>
  </si>
  <si>
    <t>33820908</t>
  </si>
  <si>
    <t>فلومتر ترانزیت تایم، دارای  8 مسیر (path) اندازه‌گیری، مخصوص لوله‌های توپر</t>
  </si>
  <si>
    <t>وگ</t>
  </si>
  <si>
    <t>نهراب</t>
  </si>
  <si>
    <t>میرآب</t>
  </si>
  <si>
    <t>نهرآب گستر اشتهارد</t>
  </si>
  <si>
    <t>رشد وگ</t>
  </si>
  <si>
    <t>قیمت سه ماهه چهارم فهرست 1400</t>
  </si>
  <si>
    <t>رشد سه ماهه چهارم
 1401 به 1400</t>
  </si>
  <si>
    <t>درصد میانگین</t>
  </si>
  <si>
    <t>میانگین رشد</t>
  </si>
  <si>
    <t>قیمت نهایی</t>
  </si>
  <si>
    <t>درصد رشد نهایی</t>
  </si>
  <si>
    <t>قطعه قابل پياده کردن (D.J) همراه با واشر و پيچ و مهره به قطر 450 ميليمتر</t>
  </si>
  <si>
    <t>قطعه قابل پياده کردن (D.J) همراه با واشر و پيچ و مهره به قطر 500ميليمتر</t>
  </si>
  <si>
    <t>قطعه قابل پياده کردن (D.J) همراه با واشر و پيچ و مهره به قطر 600 ميليمتر</t>
  </si>
  <si>
    <t>قطعه قابل پياده کردن (D.J) همراه با واشر و پيچ و مهره به قطر 700 ميليمتر</t>
  </si>
  <si>
    <t>قطعه قابل پياده کردن (D.J) همراه با واشر و پيچ و مهره به قطر 800 ميليمتر</t>
  </si>
  <si>
    <t>قطعه قابل پياده کردن (D.J) همراه با واشر و پيچ و مهره به قطر 900 ميليمتر</t>
  </si>
  <si>
    <t>قطعه قابل پياده کردن (D.J) همراه با واشر و پيچ و مهره به قطر 50 ميليمتر</t>
  </si>
  <si>
    <t>قطعه قابل پياده کردن (D.J) همراه با واشر و پيچ و مهره به قطر 65 ميليمتر</t>
  </si>
  <si>
    <t>قطعه قابل پياده کردن (D.J) همراه با واشر و پيچ و مهره به قطر 80 ميليمتر</t>
  </si>
  <si>
    <t>قطعه قابل پياده کردن (D.J) همراه با واشر و پيچ و مهره به قطر 100 ميليمتر</t>
  </si>
  <si>
    <t>قطعه قابل پياده کردن (D.J) همراه با واشر و پيچ و مهره به قطر 125 ميليمتر</t>
  </si>
  <si>
    <t>سوپاپ مکش پمپ (FOOT VALVE)  از نوع فلنجدار همراه با توري از جنس گالوانيزه و بدنه از جنس چدن و داراي فشار نامي 10 بار (PN10) مي باشد. DN50</t>
  </si>
  <si>
    <t>سوپاپ مکش پمپ (FOOT VALVE)  از نوع فلنجدار همراه با توري از جنس گالوانيزه و بدنه از جنس چدن و داراي فشار نامي 10 بار (PN10) مي باشد. DN65</t>
  </si>
  <si>
    <t>سوپاپ مکش پمپ (FOOT VALVE)  از نوع فلنجدار همراه با توري از جنس گالوانيزه و بدنه از جنس چدن و داراي فشار نامي 10 بار (PN10) مي باشد. DN80</t>
  </si>
  <si>
    <t>سوپاپ مکش پمپ (FOOT VALVE)  از نوع فلنجدار همراه با توري از جنس گالوانيزه و بدنه از جنس چدن و داراي فشار نامي 10 بار (PN10) مي باشد. DN100</t>
  </si>
  <si>
    <t>سوپاپ مکش پمپ (FOOT VALVE)  از نوع فلنجدار همراه با توري از جنس گالوانيزه و بدنه از جنس چدن و داراي فشار نامي 10 بار (PN10) مي باشد. DN125</t>
  </si>
  <si>
    <t>سوپاپ مکش پمپ (FOOT VALVE)  از نوع فلنجدار همراه با توري از جنس گالوانيزه و بدنه از جنس چدن و داراي فشار نامي 10 بار (PN10) مي باشد. DN150</t>
  </si>
  <si>
    <t>سوپاپ مکش پمپ (FOOT VALVE)  از نوع فلنجدار همراه با توري از جنس گالوانيزه و بدنه از جنس چدن و داراي فشار نامي 10 بار (PN10) مي باشد. DN200</t>
  </si>
  <si>
    <t>سوپاپ مکش پمپ (FOOT VALVE)  از نوع فلنجدار همراه با توري از جنس گالوانيزه و بدنه از جنس چدن و داراي فشار نامي 10 بار (PN10) مي باشد.DN250</t>
  </si>
  <si>
    <t>سوپاپ مکش پمپ (FOOT VALVE)  از نوع فلنجدار همراه با توري از جنس گالوانيزه و بدنه از جنس چدن و داراي فشار نامي 10 بار (PN10) مي باشد. DN300</t>
  </si>
  <si>
    <t>سوپاپ مکش پمپ (FOOT VALVE)  از نوع فلنجدار همراه با توري از جنس گالوانيزه و بدنه از جنس چدن و داراي فشار نامي 10 بار (PN10) مي باشد. DN350</t>
  </si>
  <si>
    <t>سوپاپ مکش پمپ (FOOT VALVE)  از نوع فلنجدار همراه با توري از جنس گالوانيزه و بدنه از جنس چدن و داراي فشار نامي 10 بار (PN10) مي باشد. DN400</t>
  </si>
  <si>
    <t>سوپاپ مکش پمپ (FOOT VALVE)  از نوع فلنجدار همراه با توري از جنس گالوانيزه و بدنه از جنس چدن و داراي فشار نامي 10 بار (PN10) مي باشد. DN450</t>
  </si>
  <si>
    <t>سوپاپ مکش پمپ (FOOT VALVE)  از نوع فلنجدار همراه با توري از جنس گالوانيزه و بدنه از جنس چدن و داراي فشار نامي 10 بار (PN10) مي باشد. DN500</t>
  </si>
  <si>
    <t>سوپاپ مکش پمپ (FOOT VALVE)  از نوع فلنجدار همراه با توري از جنس گالوانيزه و بدنه از جنس چدن و داراي فشار نامي 10 بار (PN10) مي باشد. DN550</t>
  </si>
  <si>
    <t>سوپاپ مکش پمپ (FOOT VALVE)  از نوع فلنجدار همراه با توري از جنس گالوانيزه و بدنه از جنس چدن و داراي فشار نامي 10 بار (PN10) مي باشد. DN600</t>
  </si>
  <si>
    <t>شيرهاي تخليه هوا تک محفظه (AIR VALVE)  از نوع فلنجدار دوروزنه، بدنه از جنس چدن، قطعات داخلي از جنس فولاد ضد زنگ و داراي فشار نامي 10 بار  DN50</t>
  </si>
  <si>
    <t>شيرهاي تخليه هوا تک محفظه (AIR VALVE)  از نوع فلنجدار دوروزنه، بدنه از جنس چدن، قطعات داخلي از جنس فولاد ضد زنگ و داراي فشار نامي 10 بار  DN80</t>
  </si>
  <si>
    <t>شيرهاي تخليه هوا تک محفظه (AIR VALVE)  از نوع فلنجدار دوروزنه، بدنه از جنس چدن، قطعات داخلي از جنس فولاد ضد زنگ و داراي فشار نامي 10 بار  DN100</t>
  </si>
  <si>
    <t>شيرهاي تخليه هوا تک محفظه (AIR VALVE)  از نوع فلنجدار دوروزنه، بدنه از جنس چدن، قطعات داخلي از جنس فولاد ضد زنگ و داراي فشار نامي 10 بار DN150</t>
  </si>
  <si>
    <t>شيرهاي تخليه هوا تک محفظه (AIR VALVE)  از نوع فلنجدار دوروزنه، بدنه از جنس چدن، قطعات داخلي از جنس فولاد ضد زنگ و داراي فشار نامي 10 بار DN200</t>
  </si>
  <si>
    <t>شيرهاي تخليه هوا دومحفظه (AIR VALVE) از نوع فلنجدار دوروزنه، بدنه از جنس چدن، قطعات داخلي از جنس فولاد ضد زنگ و داراي فشار نامي 10 بار  DN50</t>
  </si>
  <si>
    <t>شيرهاي تخليه هوا دومحفظه (AIR VALVE) از نوع فلنجدار دوروزنه، بدنه از جنس چدن، قطعات داخلي از جنس فولاد ضد زنگ و داراي فشار نامي 10 بار DN65</t>
  </si>
  <si>
    <t>شيرهاي تخليه هوا دومحفظه (AIR VALVE) از نوع فلنجدار دوروزنه، بدنه از جنس چدن، قطعات داخلي از جنس فولاد ضد زنگ و داراي فشار نامي 10 بار DN80</t>
  </si>
  <si>
    <t>شيرهاي تخليه هوا دومحفظه (AIR VALVE) از نوع فلنجدار دوروزنه، بدنه از جنس چدن، قطعات داخلي از جنس فولاد ضد زنگ و داراي فشار نامي 10 بار DN100</t>
  </si>
  <si>
    <t>شيرهاي تخليه هوا دومحفظه (AIR VALVE) از نوع فلنجدار دوروزنه، بدنه از جنس چدن، قطعات داخلي از جنس فولاد ضد زنگ و داراي فشار نامي 10 بار DN150</t>
  </si>
  <si>
    <t>شيرهاي تخليه هوا دومحفظه (AIR VALVE) از نوع فلنجدار دوروزنه، بدنه از جنس چدن، قطعات داخلي از جنس فولاد ضد زنگ و داراي فشار نامي 10 بارDN200</t>
  </si>
  <si>
    <t>شيرهاي تخليه هوا دومحفظه (AIR VALVE) از نوع فلنجدار دوروزنه، بدنه از جنس چدن، قطعات داخلي از جنس فولاد ضد زنگ و داراي فشار نامي 10 بار DN250</t>
  </si>
  <si>
    <t>شيرهاي کشويي با زبانه پلاستيکي (Gate valve) مطابق با استاندارد EN1171  از نوع فلنج دار، فشار نامي 6 بار(PN6) و داراي فلنج سري 14 يا 15 و F4 مي باشند.جنس بدنه و فلنج ها از جنس چدن خاکستري  DN50</t>
  </si>
  <si>
    <t>شيرهاي کشويي با زبانه پلاستيکي (Gate valve) مطابق با استاندارد EN1171  از نوع فلنج دار، فشار نامي 6 بار(PN6) و داراي فلنج سري 14 يا 15 و F4 مي باشند.جنس بدنه و فلنج ها از جنس چدن خاکستر DN65</t>
  </si>
  <si>
    <t>شيرهاي کشويي با زبانه پلاستيکي (Gate valve) مطابق با استاندارد EN1171  از نوع فلنج دار، فشار نامي 6 بار(PN6) و داراي فلنج سري 14 يا 15 و F4 مي باشند.جنس بدنه و فلنج ها از جنس چدن خاکستر DN80</t>
  </si>
  <si>
    <t>شيرهاي کشويي با زبانه پلاستيکي (Gate valve) مطابق با استاندارد EN1171  از نوع فلنج دار، فشار نامي 6 بار(PN6) و داراي فلنج سري 14 يا 15 و F4 مي باشند.جنس بدنه و فلنج ها از جنس چدن خاکستر DN100</t>
  </si>
  <si>
    <t>شيرهاي کشويي با زبانه پلاستيکي (Gate valve) مطابق با استاندارد EN1171  از نوع فلنج دار، فشار نامي 6 بار(PN6) و داراي فلنج سري 14 يا 15 و F4 مي باشند.جنس بدنه و فلنج ها از جنس چدن خاکستر DN150</t>
  </si>
  <si>
    <t>شيرهاي کشويي با زبانه پلاستيکي (Gate valve) مطابق با استاندارد EN1171  از نوع فلنج دار، فشار نامي 6 بار(PN6) و داراي فلنج سري 14 يا 15 و F4 مي باشند.جنس بدنه و فلنج ها از جنس چدن خاکستر  DN200</t>
  </si>
  <si>
    <t>شيرهاي کشويي با زبانه پلاستيکي (Gate valve) مطابق با استاندارد EN1171  از نوع فلنج دار، فشار نامي 6 بار(PN6) و داراي فلنج سري 14 يا 15 و F4 مي باشند.جنس بدنه و فلنج ها از جنس چدن خاکستر DN250</t>
  </si>
  <si>
    <t>شيرهاي کشويي با زبانه پلاستيکي (Gate valve) مطابق با استاندارد EN1171  از نوع فلنج دار، فشار نامي 6 بار(PN6) و داراي فلنج سري 14 يا 15 و F4 مي باشند.جنس بدنه و فلنج ها از جنس چدن خاکستر  DN300</t>
  </si>
  <si>
    <t>شيرهاي کشويي با زبانه پلاستيکي (Gate valve) مطابق با استاندارد EN1171  از نوع فلنج دار، فشار نامي 6 بار(PN6) و داراي فلنج سري 14 يا 15 و F4 مي باشند.جنس بدنه و فلنج ها از جنس چدن خاکستر  DN350</t>
  </si>
  <si>
    <t>شيرهاي کشويي با زبانه فلزي (Gate valve) مطابق با استاندارد EN1171  از نوع فلنج دار، فشار نامي 6 بار(PN6) و داراي فلنج سري 14 يا 15 و F4 مي باشند.جنس بدنه و فلنج ها از جنس چدن خاکستري DN50</t>
  </si>
  <si>
    <t>شيرهاي کشويي با زبانه فلزي (Gate valve) مطابق با استاندارد EN1171  از نوع فلنج دار، فشار نامي 6 بار(PN6) و داراي فلنج سري 14 يا 15 و F4 مي باشند.جنس بدنه و فلنج ها از جنس چدن خاکستريDN65</t>
  </si>
  <si>
    <t>شيرهاي کشويي با زبانه فلزي (Gate valve) مطابق با استاندارد EN1171  از نوع فلنج دار، فشار نامي 6 بار(PN6) و داراي فلنج سري 14 يا 15 و F4 مي باشند.جنس بدنه و فلنج ها از جنس چدن خاکستري DN80</t>
  </si>
  <si>
    <t>شيرهاي کشويي با زبانه فلزي (Gate valve) مطابق با استاندارد EN1171  از نوع فلنج دار، فشار نامي 6 بار(PN6) و داراي فلنج سري 14 يا 15 و F4 مي باشند.جنس بدنه و فلنج ها از جنس چدن خاکستري DN100</t>
  </si>
  <si>
    <t>شيرهاي کشويي با زبانه فلزي (Gate valve) مطابق با استاندارد EN1171  از نوع فلنج دار، فشار نامي 6 بار(PN6) و داراي فلنج سري 14 يا 15 و F4 مي باشند.جنس بدنه و فلنج ها از جنس چدن خاکستري DN150</t>
  </si>
  <si>
    <t>شيرهاي کشويي با زبانه فلزي (Gate valve) مطابق با استاندارد EN1171  از نوع فلنج دار، فشار نامي 6 بار(PN6) و داراي فلنج سري 14 يا 15 و F4 مي باشند.جنس بدنه و فلنج ها از جنس چدن خاکستري DN200</t>
  </si>
  <si>
    <t>شيرهاي کشويي با زبانه فلزي (Gate valve) مطابق با استاندارد EN1171  از نوع فلنج دار، فشار نامي 6 بار(PN6) و داراي فلنج سري 14 يا 15 و F4 مي باشند.جنس بدنه و فلنج ها از جنس چدن خاکستري DN250</t>
  </si>
  <si>
    <t>شيرهاي کشويي با زبانه فلزي (Gate valve) مطابق با استاندارد EN1171  از نوع فلنج دار، فشار نامي 6 بار(PN6) و داراي فلنج سري 14 يا 15 و F4 مي باشند.جنس بدنه و فلنج ها از جنس چدن خاکستري DN300</t>
  </si>
  <si>
    <t>شيرهاي کشويي با زبانه فلزي (Gate valve) مطابق با استاندارد EN1171  از نوع فلنج دار، فشار نامي 6 بار(PN6) و داراي فلنج سري 14 يا 15 و F4 مي باشند.جنس بدنه و فلنج ها از جنس چدن خاکستري DN350</t>
  </si>
  <si>
    <t>شيرهاي چاقويي (knife valve) داراي فشار نامي 4 بار(PN4)  ، بدنه از جنس چدن و تيغه اي از جنس فولاد ضد زنگ   DN50</t>
  </si>
  <si>
    <t>شيرهاي چاقويي (knife valve) داراي فشار نامي 4 بار(PN4)  ، بدنه از جنس چدن و تيغه اي از جنس فولاد ضد زنگ   DN65</t>
  </si>
  <si>
    <t>شيرهاي چاقويي (knife valve) داراي فشار نامي 4 بار(PN4)  ، بدنه از جنس چدن و تيغه اي از جنس فولاد ضد زنگ   DN80</t>
  </si>
  <si>
    <t>شيرهاي چاقويي (knife valve) داراي فشار نامي 4 بار(PN4)  ، بدنه از جنس چدن و تيغه اي از جنس فولاد ضد زنگ   DN100</t>
  </si>
  <si>
    <t>شيرهاي چاقويي (knife valve) داراي فشار نامي 4 بار(PN4)  ، بدنه از جنس چدن و تيغه اي از جنس فولاد ضد زنگ   DN150</t>
  </si>
  <si>
    <t>شيرهاي چاقويي (knife valve) داراي فشار نامي 4 بار(PN4)  ، بدنه از جنس چدن و تيغه اي از جنس فولاد ضد زنگ   DN200</t>
  </si>
  <si>
    <t>شيرهاي چاقويي (knife valve) داراي فشار نامي 4 بار(PN4)  ، بدنه از جنس چدن و تيغه اي از جنس فولاد ضد زنگ   DN250</t>
  </si>
  <si>
    <t>شيرهاي چاقويي (knife valve) داراي فشار نامي 4 بار(PN4)  ، بدنه از جنس چدن و تيغه اي از جنس فولاد ضد زنگ   DN300</t>
  </si>
  <si>
    <t>شيرهاي چاقويي (knife valve) داراي فشار نامي 4 بار(PN4)  ، بدنه از جنس چدن و تيغه اي از جنس فولاد ضد زنگ   DN350</t>
  </si>
  <si>
    <t>شيرهاي چاقويي (knife valve) داراي فشار نامي 4 بار(PN4)  ، بدنه از جنس چدن و تيغه اي از جنس فولاد ضد زنگ   DN400</t>
  </si>
  <si>
    <t>شيرهاي چاقويي (knife valve) داراي فشار نامي 4 بار(PN4)  ، بدنه از جنس چدن و تيغه اي از جنس فولاد ضد زنگ   DN450</t>
  </si>
  <si>
    <t>شيرهاي چاقويي (knife valve) داراي فشار نامي 4 بار(PN4)  ، بدنه از جنس چدن و تيغه اي از جنس فولاد ضد زنگ   DN500</t>
  </si>
  <si>
    <t>شيرهاي چاقويي (knife valve) داراي فشار نامي 4 بار(PN4)  ، بدنه از جنس چدن و تيغه اي از جنس فولاد ضد زنگ   DN600</t>
  </si>
  <si>
    <t xml:space="preserve"> شيرهاي پروانه اي (butterfly valve) مطابق با استاندارد EN593 از نوع خارج از مرکز،داراي بدنه(body) از جنس چدن و نشيمن(seating ring) از جنس فولاد ضد زنگ،  فلنج دار وداراي فشار نامي 10 بار DN100</t>
  </si>
  <si>
    <t xml:space="preserve"> شيرهاي پروانه اي (butterfly valve) مطابق با استاندارد EN593 از نوع خارج از مرکز،داراي بدنه(body) از جنس چدن و نشيمن(seating ring) از جنس فولاد ضد زنگ،  فلنج دار وداراي فشار نامي 10 بار  DN125</t>
  </si>
  <si>
    <t xml:space="preserve"> شيرهاي پروانه اي (butterfly valve) مطابق با استاندارد EN593 از نوع خارج از مرکز،داراي بدنه(body) از جنس چدن و نشيمن(seating ring) از جنس فولاد ضد زنگ،  فلنج دار وداراي فشار نامي 10 بار  DN150</t>
  </si>
  <si>
    <t xml:space="preserve"> شيرهاي پروانه اي (butterfly valve) مطابق با استاندارد EN593 از نوع خارج از مرکز،داراي بدنه(body) از جنس چدن و نشيمن(seating ring) از جنس فولاد ضد زنگ،  فلنج دار وداراي فشار نامي 10 بار  DN200</t>
  </si>
  <si>
    <t xml:space="preserve"> شيرهاي پروانه اي (butterfly valve) مطابق با استاندارد EN593 از نوع خارج از مرکز،داراي بدنه(body) از جنس چدن و نشيمن(seating ring) از جنس فولاد ضد زنگ،  فلنج دار وداراي فشار نامي 10 بار  DN250</t>
  </si>
  <si>
    <t xml:space="preserve"> شيرهاي پروانه اي (butterfly valve) مطابق با استاندارد EN593 از نوع خارج از مرکز،داراي بدنه(body) از جنس چدن و نشيمن(seating ring) از جنس فولاد ضد زنگ،  فلنج دار وداراي فشار نامي 10 بار  DN300</t>
  </si>
  <si>
    <t xml:space="preserve"> شيرهاي پروانه اي (butterfly valve) مطابق با استاندارد EN593 از نوع خارج از مرکز،داراي بدنه(body) از جنس چدن و نشيمن(seating ring) از جنس فولاد ضد زنگ،  فلنج دار وداراي فشار نامي 10 بار  DN350</t>
  </si>
  <si>
    <t xml:space="preserve"> شيرهاي پروانه اي (butterfly valve) مطابق با استاندارد EN593 از نوع خارج از مرکز،داراي بدنه(body) از جنس چدن و نشيمن(seating ring) از جنس فولاد ضد زنگ،  فلنج دار وداراي فشار نامي 10 بار  DN400</t>
  </si>
  <si>
    <t xml:space="preserve"> شيرهاي پروانه اي (butterfly valve) مطابق با استاندارد EN593 از نوع خارج از مرکز،داراي بدنه(body) از جنس چدن و نشيمن(seating ring) از جنس فولاد ضد زنگ،  فلنج دار وداراي فشار نامي 10 بار  DN450</t>
  </si>
  <si>
    <t xml:space="preserve"> شيرهاي پروانه اي (butterfly valve) مطابق با استاندارد EN593 از نوع خارج از مرکز،داراي بدنه(body) از جنس چدن و نشيمن(seating ring) از جنس فولاد ضد زنگ،  فلنج دار وداراي فشار نامي 10 بار  DN500</t>
  </si>
  <si>
    <t xml:space="preserve"> شيرهاي پروانه اي (butterfly valve) مطابق با استاندارد EN593 از نوع خارج از مرکز،داراي بدنه(body) از جنس چدن و نشيمن(seating ring) از جنس فولاد ضد زنگ،  فلنج دار وداراي فشار نامي 10 بار  DN600</t>
  </si>
  <si>
    <t xml:space="preserve"> شيرهاي پروانه اي (butterfly valve) مطابق با استاندارد EN593 از نوع خارج از مرکز،داراي بدنه(body) از جنس چدن و نشيمن(seating ring) از جنس فولاد ضد زنگ،  فلنج دار وداراي فشار نامي 10 بار  DN700</t>
  </si>
  <si>
    <t xml:space="preserve"> شيرهاي پروانه اي (butterfly valve) مطابق با استاندارد EN593 از نوع خارج از مرکز،داراي بدنه(body) از جنس چدن و نشيمن(seating ring) از جنس فولاد ضد زنگ،  فلنج دار وداراي فشار نامي 10 بار  DN800</t>
  </si>
  <si>
    <t xml:space="preserve"> شيرهاي پروانه اي (butterfly valve) مطابق با استاندارد EN593 از نوع خارج از مرکز،داراي بدنه(body) از جنس چدن و نشيمن(seating ring) از جنس فولاد ضد زنگ،  فلنج دار وداراي فشار نامي 10 بار  DN900</t>
  </si>
  <si>
    <t xml:space="preserve">۲,۰۴۸,۳۰۰,۰۰ </t>
  </si>
  <si>
    <t>شيرهاي اهرمي ويفري (wafer butterfly valve)  مطابق با استاندارد EN593 از نوع خارج از مرکز،داراي بدنه(body) از جنس چدن و ديسک از جنس چدن ، داراي فشار نامي 6 بار DN50</t>
  </si>
  <si>
    <t>شيرهاي اهرمي ويفري (wafer butterfly valve)  مطابق با استاندارد EN593 از نوع خارج از مرکز،داراي بدنه(body) از جنس چدن و ديسک از جنس چدن ، داراي فشار نامي 6 بار DN65</t>
  </si>
  <si>
    <t>شيرهاي اهرمي ويفري (wafer butterfly valve)  مطابق با استاندارد EN593 از نوع خارج از مرکز،داراي بدنه(body) از جنس چدن و ديسک از جنس چدن ، داراي فشار نامي 6 بار DN80</t>
  </si>
  <si>
    <t>شيرهاي اهرمي ويفري (wafer butterfly valve)  مطابق با استاندارد EN593 از نوع خارج از مرکز،داراي بدنه(body) از جنس چدن و ديسک از جنس چدن ، داراي فشار نامي 6 بارDN100</t>
  </si>
  <si>
    <t>شيرهاي اهرمي ويفري (wafer butterfly valve)  مطابق با استاندارد EN593 از نوع خارج از مرکز،داراي بدنه(body) از جنس چدن و ديسک از جنس چدن ، داراي فشار نامي 6 بار DN150</t>
  </si>
  <si>
    <t>شيرهاي اهرمي ويفري (wafer butterfly valve)  مطابق با استاندارد EN593 از نوع خارج از مرکز،داراي بدنه(body) از جنس چدن و ديسک از جنس چدن ، داراي فشار نامي 6 بار DN200</t>
  </si>
  <si>
    <t>شيرهاي يکطرفه لولايي (swing check valve)  مطابق با استاندارد EN12334 ،از نوع فلنجدار داراي بدنه(body) از جنس چدن و رينگ آببندي (body ring) از جنس فولاد ضد زنگ ، داراي فشار نامي 10 بار DN50</t>
  </si>
  <si>
    <t>شيرهاي يکطرفه لولايي (swing check valve)  مطابق با استاندارد EN12334 ،از نوع فلنجدار داراي بدنه(body) از جنس چدن و رينگ آببندي (body ring) از جنس فولاد ضد زنگ ، داراي فشار نامي 10 بار DN65</t>
  </si>
  <si>
    <t>شيرهاي يکطرفه لولايي (swing check valve)  مطابق با استاندارد EN12334 ،از نوع فلنجدار داراي بدنه(body) از جنس چدن و رينگ آببندي (body ring) از جنس فولاد ضد زنگ ، داراي فشار نامي 10 بار DN80</t>
  </si>
  <si>
    <t>شيرهاي يکطرفه لولايي (swing check valve)  مطابق با استاندارد EN12334 ،از نوع فلنجدار داراي بدنه(body) از جنس چدن و رينگ آببندي (body ring) از جنس فولاد ضد زنگ ، داراي فشار نامي 10 بار DN100</t>
  </si>
  <si>
    <t>شيرهاي يکطرفه لولايي (swing check valve)  مطابق با استاندارد EN12334 ،از نوع فلنجدار داراي بدنه(body) از جنس چدن و رينگ آببندي (body ring) از جنس فولاد ضد زنگ ، داراي فشار نامي 10 بار DN150</t>
  </si>
  <si>
    <t>شيرهاي يکطرفه لولايي (swing check valve)  مطابق با استاندارد EN12334 ،از نوع فلنجدار داراي بدنه(body) از جنس چدن و رينگ آببندي (body ring) از جنس فولاد ضد زنگ ، داراي فشار نامي 10 بار DN200</t>
  </si>
  <si>
    <t>شيرهاي يکطرفه لولايي (swing check valve)  مطابق با استاندارد EN12334 ،از نوع فلنجدار داراي بدنه(body) از جنس چدن و رينگ آببندي (body ring) از جنس فولاد ضد زنگ ، داراي فشار نامي 10 بار DN250</t>
  </si>
  <si>
    <t>شيرهاي يکطرفه لولايي (swing check valve)  مطابق با استاندارد EN12334 ،از نوع فلنجدار داراي بدنه(body) از جنس چدن و رينگ آببندي (body ring) از جنس فولاد ضد زنگ ، داراي فشار نامي 10 بار DN300</t>
  </si>
  <si>
    <t xml:space="preserve"> شيرهاي يکطرفه وزنه اي (tilting check valve)  مطابق با استاندارد EN12334 ،از نوع فلنجدار داراي بدنه(body) از جنس چدن و پروانه (valve disk) از جنس چدن ، داراي فشار نامي 10 بار DN100</t>
  </si>
  <si>
    <t xml:space="preserve"> شيرهاي يکطرفه وزنه اي (tilting check valve)  مطابق با استاندارد EN12334 ،از نوع فلنجدار داراي بدنه(body) از جنس چدن و پروانه (valve disk) از جنس چدن ، داراي فشار نامي 10 بار  DN150</t>
  </si>
  <si>
    <t xml:space="preserve"> شيرهاي يکطرفه وزنه اي (tilting check valve)  مطابق با استاندارد EN12334 ،از نوع فلنجدار داراي بدنه(body) از جنس چدن و پروانه (valve disk) از جنس چدن ، داراي فشار نامي 10 بار  DN200</t>
  </si>
  <si>
    <t xml:space="preserve"> شيرهاي يکطرفه وزنه اي (tilting check valve)  مطابق با استاندارد EN12334 ،از نوع فلنجدار داراي بدنه(body) از جنس چدن و پروانه (valve disk) از جنس چدن ، داراي فشار نامي 10 بار  DN250</t>
  </si>
  <si>
    <t xml:space="preserve"> شيرهاي يکطرفه وزنه اي (tilting check valve)  مطابق با استاندارد EN12334 ،از نوع فلنجدار داراي بدنه(body) از جنس چدن و پروانه (valve disk) از جنس چدن ، داراي فشار نامي 10 بار DN300</t>
  </si>
  <si>
    <t xml:space="preserve"> شيرهاي يکطرفه وزنه اي (tilting check valve)  مطابق با استاندارد EN12334 ،از نوع فلنجدار داراي بدنه(body) از جنس چدن و پروانه (valve disk) از جنس چدن ، داراي فشار نامي 10 بار  DN350</t>
  </si>
  <si>
    <t xml:space="preserve"> شيرهاي يکطرفه وزنه اي (tilting check valve)  مطابق با استاندارد EN12334 ،از نوع فلنجدار داراي بدنه(body) از جنس چدن و پروانه (valve disk) از جنس چدن ، داراي فشار نامي 10 بار  DN400</t>
  </si>
  <si>
    <t xml:space="preserve"> شيرهاي يکطرفه وزنه اي (tilting check valve)  مطابق با استاندارد EN12334 ،از نوع فلنجدار داراي بدنه(body) از جنس چدن و پروانه (valve disk) از جنس چدن ، داراي فشار نامي 10 بار  DN450</t>
  </si>
  <si>
    <t xml:space="preserve"> شيرهاي يکطرفه وزنه اي (tilting check valve)  مطابق با استاندارد EN12334 ،از نوع فلنجدار داراي بدنه(body) از جنس چدن و پروانه (valve disk) از جنس چدن ، داراي فشار نامي 10 بار  DN500</t>
  </si>
  <si>
    <t xml:space="preserve"> شيرهاي يکطرفه وزنه اي (tilting check valve)  مطابق با استاندارد EN12334 ،از نوع فلنجدار داراي بدنه(body) از جنس چدن و پروانه (valve disk) از جنس چدن ، داراي فشار نامي 10 بار  DN600</t>
  </si>
  <si>
    <t xml:space="preserve"> شيرهاي يکطرفه وزنه اي (tilting check valve)  مطابق با استاندارد EN12334 ،از نوع فلنجدار داراي بدنه(body) از جنس چدن و پروانه (valve disk) از جنس چدن ، داراي فشار نامي 10 بار  DN700</t>
  </si>
  <si>
    <t xml:space="preserve"> شيرهاي يکطرفه وزنه اي (tilting check valve)  مطابق با استاندارد EN12334 ،از نوع فلنجدار داراي بدنه(body) از جنس چدن و پروانه (valve disk) از جنس چدن ، داراي فشار نامي 10 بار  DN800</t>
  </si>
  <si>
    <t xml:space="preserve"> شيرهاي يکطرفه وزنه اي (tilting check valve)  مطابق با استاندارد EN12334 ،از نوع فلنجدار داراي بدنه(body) از جنس چدن و پروانه (valve disk) از جنس چدن ، داراي فشار نامي 10 بار  DN900</t>
  </si>
  <si>
    <t xml:space="preserve">۱,۷۵۷,۳۰۰,۰۰ </t>
  </si>
  <si>
    <t xml:space="preserve"> صافي خط لوله (strainer) از نوع فلنجدار تيپ Y شکل داراي بدنه(body) از جنس چدن و توري از جنس فولاد ضد زنگ ، داراي فشار نامي 10 بار  DN50</t>
  </si>
  <si>
    <t xml:space="preserve"> صافي خط لوله (strainer) از نوع فلنجدار تيپ Y شکل داراي بدنه(body) از جنس چدن و توري از جنس فولاد ضد زنگ ، داراي فشار نامي 10 بار   DN65</t>
  </si>
  <si>
    <t xml:space="preserve"> صافي خط لوله (strainer) از نوع فلنجدار تيپ Y شکل داراي بدنه(body) از جنس چدن و توري از جنس فولاد ضد زنگ ، داراي فشار نامي 10 بار  DN80</t>
  </si>
  <si>
    <t xml:space="preserve"> صافي خط لوله (strainer) از نوع فلنجدار تيپ Y شکل داراي بدنه(body) از جنس چدن و توري از جنس فولاد ضد زنگ ، داراي فشار نامي 10 بار  DN100</t>
  </si>
  <si>
    <t xml:space="preserve"> صافي خط لوله (strainer) از نوع فلنجدار تيپ Y شکل داراي بدنه(body) از جنس چدن و توري از جنس فولاد ضد زنگ ، داراي فشار نامي 10 بار  DN150</t>
  </si>
  <si>
    <t xml:space="preserve"> صافي خط لوله (strainer) از نوع فلنجدار تيپ Y شکل داراي بدنه(body) از جنس چدن و توري از جنس فولاد ضد زنگ ، داراي فشار نامي 10 بار  DN200</t>
  </si>
  <si>
    <t xml:space="preserve"> صافي خط لوله (strainer) از نوع فلنجدار تيپ Y شکل داراي بدنه(body) از جنس چدن و توري از جنس فولاد ضد زنگ ، داراي فشار نامي 10 بار  DN250</t>
  </si>
  <si>
    <t xml:space="preserve"> صافي خط لوله (strainer) از نوع فلنجدار تيپ Y شکل داراي بدنه(body) از جنس چدن و توري از جنس فولاد ضد زنگ ، داراي فشار نامي 10 بار DN300</t>
  </si>
  <si>
    <t>صافي خط لوله (strainer) از نوع فلنجدار تيپ T شکل داراي بدنه(body) از جنس فولادي و توري از جنس فولاد ضد زنگ و توري نوع تخت، داراي فشار نامي 10 بار  DN150</t>
  </si>
  <si>
    <t>صافي خط لوله (strainer) از نوع فلنجدار تيپ T شکل داراي بدنه(body) از جنس فولادي و توري از جنس فولاد ضد زنگ و توري نوع تخت، داراي فشار نامي 10 بار  DN200</t>
  </si>
  <si>
    <t>صافي خط لوله (strainer) از نوع فلنجدار تيپ T شکل داراي بدنه(body) از جنس فولادي و توري از جنس فولاد ضد زنگ و توري نوع تخت، داراي فشار نامي 10 بار  DN250</t>
  </si>
  <si>
    <t>صافي خط لوله (strainer) از نوع فلنجدار تيپ T شکل داراي بدنه(body) از جنس فولادي و توري از جنس فولاد ضد زنگ و توري نوع تخت، داراي فشار نامي 10 بار  DN300</t>
  </si>
  <si>
    <t>صافي خط لوله (strainer) از نوع فلنجدار تيپ T شکل داراي بدنه(body) از جنس فولادي و توري از جنس فولاد ضد زنگ و توري نوع تخت، داراي فشار نامي 10 بار  DN350</t>
  </si>
  <si>
    <t>صافي خط لوله (strainer) از نوع فلنجدار تيپ T شکل داراي بدنه(body) از جنس فولادي و توري از جنس فولاد ضد زنگ و توري نوع تخت، داراي فشار نامي 10 بار  DN400</t>
  </si>
  <si>
    <t>صافي خط لوله (strainer) از نوع فلنجدار تيپ T شکل داراي بدنه(body) از جنس فولادي و توري از جنس فولاد ضد زنگ و توري نوع تخت، داراي فشار نامي 10 بار  DN450</t>
  </si>
  <si>
    <t>صافي خط لوله (strainer) از نوع فلنجدار تيپ T شکل داراي بدنه(body) از جنس فولادي و توري از جنس فولاد ضد زنگ و توري نوع تخت، داراي فشار نامي 10 بار  DN500</t>
  </si>
  <si>
    <t>صافي خط لوله (strainer) از نوع فلنجدار تيپ T شکل داراي بدنه(body) از جنس فولادي و توري از جنس فولاد ضد زنگ و توري نوع تخت، داراي فشار نامي 10 بار  DN600</t>
  </si>
  <si>
    <t xml:space="preserve">۲۰۴۴,۲۰۰,۰ </t>
  </si>
  <si>
    <t xml:space="preserve">۲,۰۴۴,۲۰۰,۰ </t>
  </si>
  <si>
    <t>صافي خط لوله (strainer) از نوع فلنجدار تيپ T شکل داراي بدنه(body) از جنس فولادي و توري از جنس فولاد ضد زنگ و توري نوع تخت، داراي فشار نامي 10 بار  DN700</t>
  </si>
  <si>
    <t xml:space="preserve">۲۵۷۹۸۰۰,۰ </t>
  </si>
  <si>
    <t>صافي خط لوله (strainer) از نوع فلنجدار تيپ T شکل داراي بدنه(body) از جنس فولادي و توري از جنس فولاد ضد زنگ و توري نوع تخت، داراي فشار نامي 10 بار  DN800</t>
  </si>
  <si>
    <t>صافي خط لوله (strainer) از نوع فلنجدار تيپ T شکل داراي بدنه(body) از جنس فولادي و توري از جنس فولاد ضد زنگ و توري نوع تخت، داراي فشار نامي 10 بار  DN900</t>
  </si>
  <si>
    <t xml:space="preserve"> شيرهاي توپي (ball valve)  از نوع فلنجدار داراي بدنه(body) از جنس چدن و توپي (ball) از جنس چدن ، داراي فشار نامي 10 بار(10bar) و داراي گيربکس تک  مي باشند. DN100</t>
  </si>
  <si>
    <t xml:space="preserve"> شيرهاي توپي (ball valve)  از نوع فلنجدار داراي بدنه(body) از جنس چدن و توپي (ball) از جنس چدن ، داراي فشار نامي 10 بار(10bar) و داراي گيربکس تک  مي باشند. DN150</t>
  </si>
  <si>
    <t xml:space="preserve"> شيرهاي توپي (ball valve)  از نوع فلنجدار داراي بدنه(body) از جنس چدن و توپي (ball) از جنس چدن ، داراي فشار نامي 10 بار(10bar) و داراي گيربکس تک  مي باشند. DN200</t>
  </si>
  <si>
    <t xml:space="preserve"> شيرهاي توپي (ball valve)  از نوع فلنجدار داراي بدنه(body) از جنس چدن و توپي (ball) از جنس چدن ، داراي فشار نامي 10 بار(10bar) و داراي گيربکس تک  مي باشند. DN250</t>
  </si>
  <si>
    <t xml:space="preserve"> شيرهاي توپي (ball valve)  از نوع فلنجدار داراي بدنه(body) از جنس چدن و توپي (ball) از جنس چدن ، داراي فشار نامي 10 بار(10bar) و داراي گيربکس تک  مي باشند. DN300</t>
  </si>
  <si>
    <t xml:space="preserve">۱۸۶۴,۰۰۰,۰۰ </t>
  </si>
  <si>
    <t xml:space="preserve"> شيرهاي توپي (ball valve)  از نوع فلنجدار داراي بدنه(body) از جنس چدن و توپي (ball) از جنس چدن ، داراي فشار نامي 10 بار(10bar) و داراي گيربکس تک  مي باشند.DN350</t>
  </si>
  <si>
    <t xml:space="preserve"> شيرهاي توپي (ball valve)  از نوع فلنجدار داراي بدنه(body) از جنس چدن و توپي (ball) از جنس چدن ، داراي فشار نامي 10 بار(10bar) و داراي گيربکس تک  مي باشند. DN400</t>
  </si>
  <si>
    <t xml:space="preserve"> شيرهاي توپي (ball valve)  از نوع فلنجدار داراي بدنه(body) از جنس چدن و توپي (ball) از جنس چدن ، داراي فشار نامي 10 بار(10bar) و داراي گيربکس تک  مي باشند. DN450</t>
  </si>
  <si>
    <t xml:space="preserve"> شيرهاي توپي (ball valve)  از نوع فلنجدار داراي بدنه(body) از جنس چدن و توپي (ball) از جنس چدن ، داراي فشار نامي 10 بار(10bar) و داراي گيربکس تک  مي باشند. DN500</t>
  </si>
  <si>
    <t xml:space="preserve"> شيرهاي توپي (ball valve)  از نوع فلنجدار داراي بدنه(body) از جنس چدن و توپي (ball) از جنس چدن ، داراي فشار نامي 10 بار(10bar) و داراي گيربکس تک  مي باشند. DN600</t>
  </si>
  <si>
    <t>قیمت نهایی سه ماهه چهارم 1401</t>
  </si>
  <si>
    <t>32064001</t>
  </si>
  <si>
    <t>شیر توپی دارای بدنه جنس پلی اتیلنی (PE80)و مطابق با استاندارد ISIRI-14427 فشار نامی 6 بار (PN6)  ، نوع کاربرد   W/P و از نوع جوشی OD25</t>
  </si>
  <si>
    <t>32064002</t>
  </si>
  <si>
    <t>شیر توپی دارای بدنه جنس پلی اتیلنی (PE80)و مطابق با استاندارد ISIRI-14427 فشار نامی 6 بار (PN6)  ، نوع کاربرد   W/P و از نوع جوشی OD32</t>
  </si>
  <si>
    <t>32064003</t>
  </si>
  <si>
    <t>شیر توپی دارای بدنه جنس پلی اتیلنی (PE80)و مطابق با استاندارد ISIRI-14427 فشار نامی 6 بار (PN6)  ، نوع کاربرد   W/P و از نوع جوشی OD40</t>
  </si>
  <si>
    <t>32064004</t>
  </si>
  <si>
    <t>شیر توپی دارای بدنه جنس پلی اتیلنی (PE80)و مطابق با استاندارد ISIRI-14427 فشار نامی 6 بار (PN6)  ، نوع کاربرد   W/P و از نوع جوشی OD50</t>
  </si>
  <si>
    <t>32064005</t>
  </si>
  <si>
    <t>شیر توپی دارای بدنه جنس پلی اتیلنی (PE80)و مطابق با استاندارد ISIRI-14427 فشار نامی 6 بار (PN6)  ، نوع کاربرد   W/P و از نوع جوشی OD63</t>
  </si>
  <si>
    <t>32064006</t>
  </si>
  <si>
    <t xml:space="preserve">شیر توپی دارای بدنه جنس پلی اتیلنی (PE80)و مطابق با استاندارد ISIRI-14427 فشار نامی 6 بار (PN6)  ، نوع کاربرد   W/P و از نوع جوشی OD75_x000D_
</t>
  </si>
  <si>
    <t>32064007</t>
  </si>
  <si>
    <t>شیر توپی دارای بدنه جنس پلی اتیلنی (PE80)و مطابق با استاندارد ISIRI-14427 فشار نامی 6 بار (PN6)  ، نوع کاربرد   W/P و از نوع جوشی OD90</t>
  </si>
  <si>
    <t>32064008</t>
  </si>
  <si>
    <t>شیر توپی دارای بدنه جنس پلی اتیلنی (PE80)و مطابق با استاندارد ISIRI-14427 فشار نامی 6 بار (PN6)  ، نوع کاربرد   W/P و از نوع جوشی OD110</t>
  </si>
  <si>
    <t>32064101</t>
  </si>
  <si>
    <t>شیر یکطرفه دارای بدنه جنس پلی اتیلنی (PE80)و مطابق با استاندارد ISIRI-14427 فشار نامی 6 بار (PN6)  ، نوع کاربرد   W/P و از نوع جوشی OD15</t>
  </si>
  <si>
    <t>32064102</t>
  </si>
  <si>
    <t xml:space="preserve">شیر یکطرفه دارای بدنه جنس پلی اتیلنی (PE80)و مطابق با استاندارد ISIRI-14427 فشار نامی 6 بار (PN6)  ، نوع کاربرد   W/P و از نوع جوشی OD20_x000D_
</t>
  </si>
  <si>
    <t>32064103</t>
  </si>
  <si>
    <t xml:space="preserve">شیر یکطرفه دارای بدنه جنس پلی اتیلنی (PE80)و مطابق با استاندارد ISIRI-14427 فشار نامی 6 بار (PN6)  ، نوع کاربرد   W/P و از نوع جوشی OD25_x000D_
</t>
  </si>
  <si>
    <t>32064104</t>
  </si>
  <si>
    <t xml:space="preserve">شیر یکطرفه دارای بدنه جنس پلی اتیلنی (PE80)و مطابق با استاندارد ISIRI-14427 فشار نامی 6 بار (PN6)  ، نوع کاربرد   W/P و از نوع جوشی OD32_x000D_
</t>
  </si>
  <si>
    <t>32064105</t>
  </si>
  <si>
    <t xml:space="preserve">شیر یکطرفه دارای بدنه جنس پلی اتیلنی (PE80)و مطابق با استاندارد ISIRI-14427 فشار نامی 6 بار (PN6)  ، نوع کاربرد   W/P و از نوع جوشی OD40_x000D_
</t>
  </si>
  <si>
    <t>32064106</t>
  </si>
  <si>
    <t>شیر یکطرفه دارای بدنه جنس پلی اتیلنی (PE80)و مطابق با استاندارد ISIRI-14427 فشار نامی 6 بار (PN6)  ، نوع کاربرد   W/P و از نوع جوشی OD50_x000D_</t>
  </si>
  <si>
    <t>32064201</t>
  </si>
  <si>
    <t>شیر دروازه ای  دارای بدنه جنس پلی اتیلنی (PE80)و مطابق با استاندارد ISIRI-14427 فشار نامی 6 بار (PN6)  ، نوع کاربرد   W/P و از نوع جوشیOD25</t>
  </si>
  <si>
    <t>32064202</t>
  </si>
  <si>
    <t>شیر دروازه ای  دارای بدنه جنس پلی اتیلنی (PE80)و مطابق با استاندارد ISIRI-14427 فشار نامی 6 بار (PN6)  ، نوع کاربرد   W/P و از نوع جوشیOD32</t>
  </si>
  <si>
    <t>32064203</t>
  </si>
  <si>
    <t>شیر دروازه ای  دارای بدنه جنس پلی اتیلنی (PE80)و مطابق با استاندارد ISIRI-14427 فشار نامی 6 بار (PN6)  ، نوع کاربرد   W/P و از نوع جوشیOD40</t>
  </si>
  <si>
    <t>32064204</t>
  </si>
  <si>
    <t>شیر دروازه ای  دارای بدنه جنس پلی اتیلنی (PE80)و مطابق با استاندارد ISIRI-14427 فشار نامی 6 بار (PN6)  ، نوع کاربرد   W/P و از نوع جوشیOD50</t>
  </si>
  <si>
    <t>32064205</t>
  </si>
  <si>
    <t>شیر دروازه ای  دارای بدنه جنس پلی اتیلنی (PE80)و مطابق با استاندارد ISIRI-14427 فشار نامی 6 بار (PN6)  ، نوع کاربرد   W/P و از نوع جوشیOD63</t>
  </si>
  <si>
    <t>32064206</t>
  </si>
  <si>
    <t>شیر دروازه ای  دارای بدنه جنس پلی اتیلنی (PE80)و مطابق با استاندارد ISIRI-14427 فشار نامی 6 بار (PN6)  ، نوع کاربرد   W/P و از نوع جوشیOD75</t>
  </si>
  <si>
    <t>32064207</t>
  </si>
  <si>
    <t>شیر دروازه ای  دارای بدنه جنس پلی اتیلنی (PE80)و مطابق با استاندارد ISIRI-14427 فشار نامی 6 بار (PN6)  ، نوع کاربرد   W/P و از نوع جوشیOD90</t>
  </si>
  <si>
    <t>32064208</t>
  </si>
  <si>
    <t xml:space="preserve">شیر دروازه ای  دارای بدنه جنس پلی اتیلنی (PE80)و مطابق با استاندارد ISIRI-14427 فشار نامی 6 بار (PN6)  ، نوع کاربرد   W/P و از نوع جوشیOD110_x000D_
</t>
  </si>
  <si>
    <t>32064301</t>
  </si>
  <si>
    <t xml:space="preserve">شیر توپی دارای بدنه از جنس پی وی سی سخت (UPVC)  فشار نامی 6 بار (PN6) و از نوع رزوه ای همراه با  اتصال مهره ماسوره  OD25_x000D_
</t>
  </si>
  <si>
    <t>32064302</t>
  </si>
  <si>
    <t xml:space="preserve">شیر توپی دارای بدنه از جنس پی وی سی سخت (UPVC)  فشار نامی 6 بار (PN6) و از نوع رزوه ای همراه با  اتصال مهره ماسوره  OD32_x000D_
</t>
  </si>
  <si>
    <t>32064303</t>
  </si>
  <si>
    <t xml:space="preserve">شیر توپی دارای بدنه از جنس پی وی سی سخت (UPVC)  فشار نامی 6 بار (PN6) و از نوع رزوه ای همراه با  اتصال مهره ماسوره  OD40_x000D_
</t>
  </si>
  <si>
    <t>32064304</t>
  </si>
  <si>
    <t>شیر توپی دارای بدنه از جنس پی وی سی سخت (UPVC)  فشار نامی 6 بار (PN6) و از نوع رزوه ای همراه با  اتصال مهره ماسوره  OD50_x000D_</t>
  </si>
  <si>
    <t>32064305</t>
  </si>
  <si>
    <t>شیر توپی دارای بدنه از جنس پی وی سی سخت (UPVC)  فشار نامی 6 بار (PN6) و از نوع رزوه ای همراه با  اتصال مهره ماسوره  OD63_x000D_</t>
  </si>
  <si>
    <t>32064306</t>
  </si>
  <si>
    <t>شیر توپی دارای بدنه از جنس پی وی سی سخت (UPVC)  فشار نامی 6 بار (PN6) و از نوع رزوه ای همراه با  اتصال مهره ماسوره  OD75_x000D_</t>
  </si>
  <si>
    <t>32064307</t>
  </si>
  <si>
    <t>شیر توپی دارای بدنه از جنس پی وی سی سخت (UPVC)  فشار نامی 6 بار (PN6) و از نوع رزوه ای همراه با  اتصال مهره ماسوره  OD90_x000D_</t>
  </si>
  <si>
    <t>32064308</t>
  </si>
  <si>
    <t xml:space="preserve">شیر توپی دارای بدنه از جنس پی وی سی سخت (UPVC)  فشار نامی 6 بار (PN6) و از نوع رزوه ای همراه با  اتصال مهره ماسوره  OD110_x000D_
</t>
  </si>
  <si>
    <t>32064401</t>
  </si>
  <si>
    <t xml:space="preserve">شیر پروانه ای دارای بدنه از جنس پی وی سی سخت (UPVC)  فشار نامی 6 بار (PN6) و از نوع رزوه ای همراه با  اتصال مهره ماسوره OD63_x000D_
</t>
  </si>
  <si>
    <t>32064402</t>
  </si>
  <si>
    <t xml:space="preserve">شیر پروانه ای دارای بدنه از جنس پی وی سی سخت (UPVC)  فشار نامی 6 بار (PN6) و از نوع رزوه ای همراه با  اتصال مهره ماسوره OD75_x000D_
</t>
  </si>
  <si>
    <t>32064403</t>
  </si>
  <si>
    <t xml:space="preserve">شیر پروانه ای دارای بدنه از جنس پی وی سی سخت (UPVC)  فشار نامی 6 بار (PN6) و از نوع رزوه ای همراه با  اتصال مهره ماسوره OD90_x000D_
</t>
  </si>
  <si>
    <t>32064404</t>
  </si>
  <si>
    <t xml:space="preserve">شیر پروانه ای دارای بدنه از جنس پی وی سی سخت (UPVC)  فشار نامی 6 بار (PN6) و از نوع رزوه ای همراه با  اتصال مهره ماسوره OD110_x000D_
</t>
  </si>
  <si>
    <t>32064405</t>
  </si>
  <si>
    <t xml:space="preserve">شیر پروانه ای دارای بدنه از جنس پی وی سی سخت (UPVC)  فشار نامی 6 بار (PN6) و از نوع رزوه ای همراه با  اتصال مهره ماسوره OD160_x000D_
</t>
  </si>
  <si>
    <t>32064406</t>
  </si>
  <si>
    <t xml:space="preserve">شیر پروانه ای دارای بدنه از جنس پی وی سی سخت (UPVC)  فشار نامی 6 بار (PN6) و از نوع رزوه ای همراه با  اتصال مهره ماسوره OD200_x000D_
</t>
  </si>
  <si>
    <t>32064501</t>
  </si>
  <si>
    <t xml:space="preserve">شیر دروازه‌ای دارای بدنه از جنس پی وی سی سخت (UPVC) می باشد. فشار نامی 6 بار (PN6) و از نوع ویفری OD25_x000D_
</t>
  </si>
  <si>
    <t>32064502</t>
  </si>
  <si>
    <t>شیر دروازه‌ای دارای بدنه از جنس پی وی سی سخت (UPVC) می باشد. فشار نامی 6 بار (PN6) و از نوع ویفری OD32_x000D_</t>
  </si>
  <si>
    <t>32064503</t>
  </si>
  <si>
    <t>شیر دروازه‌ای دارای بدنه از جنس پی وی سی سخت (UPVC) می باشد. فشار نامی 6 بار (PN6) و از نوع ویفری OD40_x000D_</t>
  </si>
  <si>
    <t>32064504</t>
  </si>
  <si>
    <t>شیر دروازه‌ای دارای بدنه از جنس پی وی سی سخت (UPVC) می باشد. فشار نامی 6 بار (PN6) و از نوع ویفری OD50_x000D_</t>
  </si>
  <si>
    <t>32064505</t>
  </si>
  <si>
    <t xml:space="preserve">شیر دروازه‌ای دارای بدنه از جنس پی وی سی سخت (UPVC) می باشد. فشار نامی 6 بار (PN6) و از نوع ویفری OD63_x000D_
</t>
  </si>
  <si>
    <t>32064506</t>
  </si>
  <si>
    <t xml:space="preserve">شیر دروازه‌ای دارای بدنه از جنس پی وی سی سخت (UPVC) می باشد. فشار نامی 6 بار (PN6) و از نوع ویفری OD75_x000D_
</t>
  </si>
  <si>
    <t>32064507</t>
  </si>
  <si>
    <t xml:space="preserve">شیر دروازه‌ای دارای بدنه از جنس پی وی سی سخت (UPVC) می باشد. فشار نامی 6 بار (PN6) و از نوع ویفری OD90_x000D_
</t>
  </si>
  <si>
    <t>32064508</t>
  </si>
  <si>
    <t xml:space="preserve">شیر دروازه‌ای دارای بدنه از جنس پی وی سی سخت (UPVC) می باشد. فشار نامی 6 بار (PN6) و از نوع ویفری OD110_x000D_
</t>
  </si>
  <si>
    <t>32064601</t>
  </si>
  <si>
    <t xml:space="preserve">Pulsation Damper دارای بدنه از جنس پی وی سی (PVC) از نوع تیغه ای (bladder) از جنس EPDM  می باشد. فشار نامی 10 بار  DN25_x000D_
</t>
  </si>
  <si>
    <t>32064602</t>
  </si>
  <si>
    <t xml:space="preserve">Pulsation Damper دارای بدنه از جنس پی وی سی (PVC) از نوع تیغه ای (bladder) از جنس EPDM  می باشد. فشار نامی 10 بار  DN32_x000D_
</t>
  </si>
  <si>
    <t>32064603</t>
  </si>
  <si>
    <t xml:space="preserve">Pulsation Damper دارای بدنه از جنس پی وی سی (PVC) از نوع تیغه ای (bladder) از جنس EPDM  می باشد. فشار نامی 10 بار  DN40_x000D_
</t>
  </si>
  <si>
    <t>32064604</t>
  </si>
  <si>
    <t xml:space="preserve">Pulsation Damper دارای بدنه از جنس پی وی سی (PVC) از نوع تیغه ای (bladder) از جنس EPDM  می باشد. فشار نامی 10 بار  DN50_x000D_
</t>
  </si>
  <si>
    <t>32064605</t>
  </si>
  <si>
    <t xml:space="preserve">Pulsation Damper دارای بدنه از جنس پی وی سی (PVC) از نوع تیغه ای (bladder) از جنس EPDM  می باشد. فشار نامی 10 بار  DN65_x000D_
</t>
  </si>
  <si>
    <t>32064606</t>
  </si>
  <si>
    <t>Pulsation Damper دارای بدنه از جنس پی وی سی (PVC) از نوع تیغه ای (bladder) از جنس EPDM  می باشد. فشار نامی 10 بار  DN80_x000D_</t>
  </si>
  <si>
    <t>32064607</t>
  </si>
  <si>
    <t>Pulsation Damper دارای بدنه از جنس پی وی سی (PVC) از نوع تیغه ای (bladder) از جنس EPDM  می باشد. فشار نامی 10 بار  DN100_x000D_</t>
  </si>
  <si>
    <t>32064701</t>
  </si>
  <si>
    <t>شیر اطمینان از جنس پی وی سی(PVC) می باشد. ریتینگ 0-30 psi و از نوع رزوه ای DN15_x000D_</t>
  </si>
  <si>
    <t>32064702</t>
  </si>
  <si>
    <t xml:space="preserve">شیر اطمینان از جنس پی وی سی(PVC) می باشد. ریتینگ 0-30 psi و از نوع رزوه ای DN20_x000D_
</t>
  </si>
  <si>
    <t>32064703</t>
  </si>
  <si>
    <t xml:space="preserve">شیر اطمینان از جنس پی وی سی(PVC) می باشد. ریتینگ 0-30 psi و از نوع رزوه ای DN25_x000D_
</t>
  </si>
  <si>
    <t>32064704</t>
  </si>
  <si>
    <t xml:space="preserve">شیر اطمینان از جنس پی وی سی(PVC) می باشد. ریتینگ 0-30 psi و از نوع رزوه ای DN32_x000D_
</t>
  </si>
  <si>
    <t>32064705</t>
  </si>
  <si>
    <t xml:space="preserve">شیر اطمینان از جنس پی وی سی(PVC) می باشد. ریتینگ 0-30 psi و از نوع رزوه ای DN40_x000D_
</t>
  </si>
  <si>
    <t>32064706</t>
  </si>
  <si>
    <t xml:space="preserve">شیر اطمینان از جنس پی وی سی(PVC) می باشد. ریتینگ 0-30 psi و از نوع رزوه ای DN50_x000D_
</t>
  </si>
  <si>
    <t>32064801</t>
  </si>
  <si>
    <t xml:space="preserve">شیر تلسکوپی از جنس فولاد گالوانیزه جهت نصب بر روی لوله به قطر 150_x000D_
</t>
  </si>
  <si>
    <t>32064802</t>
  </si>
  <si>
    <t>شیر تلسکوپی از جنس فولاد گالوانیزه جهت نصب بر روی لوله به قطر 200_x000D_</t>
  </si>
  <si>
    <t>32064803</t>
  </si>
  <si>
    <t>شیر تلسکوپی از جنس فولاد گالوانیزه جهت نصب بر روی لوله به قطر 250_x000D_</t>
  </si>
  <si>
    <t>32064804</t>
  </si>
  <si>
    <t>شیر تلسکوپی از جنس فولاد گالوانیزه جهت نصب بر روی لوله به قطر 300_x000D_</t>
  </si>
  <si>
    <t>32064805</t>
  </si>
  <si>
    <t>شیر تلسکوپی از جنس فولاد گالوانیزه جهت نصب بر روی لوله به قطر 350_x000D_</t>
  </si>
  <si>
    <t>32064806</t>
  </si>
  <si>
    <t>شیر تلسکوپی از جنس فولاد گالوانیزه جهت نصب بر روی لوله به قطر 400_x000D_</t>
  </si>
  <si>
    <t>32064807</t>
  </si>
  <si>
    <t>شیر تلسکوپی از جنس فولاد گالوانیزه جهت نصب بر روی لوله به قطر 450_x000D_</t>
  </si>
  <si>
    <t>32064808</t>
  </si>
  <si>
    <t>شیر تلسکوپی از جنس فولاد گالوانیزه جهت نصب بر روی لوله به قطر 500_x000D_</t>
  </si>
  <si>
    <t>سه ماهه چهارم نهایی 1402</t>
  </si>
  <si>
    <t>32411101</t>
  </si>
  <si>
    <t>دریچه سه طرف آب بند (Sluice Gate) از جنس فولاد گالوانیزه</t>
  </si>
  <si>
    <t>کیلو گرم</t>
  </si>
  <si>
    <t>32411201</t>
  </si>
  <si>
    <t>دریچه سه طرف آب بند (Sluice Gate) از جنس  AISI-304</t>
  </si>
  <si>
    <t>32411301</t>
  </si>
  <si>
    <t>دریچه چهارطرف آببند (Penstock) از جنس فولاد گالوانیزه</t>
  </si>
  <si>
    <t>32411401</t>
  </si>
  <si>
    <t>دریچه چهارطرف آببند (Penstock) از جنس AISI-304</t>
  </si>
  <si>
    <t>32411501</t>
  </si>
  <si>
    <t>دریچه استاپ لاگ از جنس فولاد گالوانیزه</t>
  </si>
  <si>
    <t>32411601</t>
  </si>
  <si>
    <t>دریچه استاپ لاگ از جنس AISI-304</t>
  </si>
  <si>
    <t>32411701</t>
  </si>
  <si>
    <t>دکانتر دبی ثابت با ظرفیت 100 لیتر در ثانیه دارای وینچ برقی، قابلیت کنترل از سیستم مرکزی و از جنس AISI-304</t>
  </si>
  <si>
    <t>32411702</t>
  </si>
  <si>
    <t>دکانتر دبی ثابت با ظرفیت 150 لیتر در ثانیه دارای وینچ برقی، قابلیت کنترل از سیستم مرکزی و از جنس AISI-304</t>
  </si>
  <si>
    <t>32411703</t>
  </si>
  <si>
    <t>دکانتر دبی ثابت با ظرفیت 200 لیتر در ثانیه دارای وینچ برقی، قابلیت کنترل از سیستم مرکزی و از جنس AISI-304</t>
  </si>
  <si>
    <t>32411704</t>
  </si>
  <si>
    <t>دکانتر دبی ثابت با ظرفیت 250 لیتر در ثانیه دارای وینچ برقی، قابلیت کنترل از سیستم مرکزی و از جنس AISI-304</t>
  </si>
  <si>
    <t>32411705</t>
  </si>
  <si>
    <t>دکانتر دبی ثابت با ظرفیت 300 لیتر در ثانیه دارای وینچ برقی، قابلیت کنترل از سیستم مرکزی و از جنس AISI-304</t>
  </si>
  <si>
    <t>32411706</t>
  </si>
  <si>
    <t>دکانتر دبی ثابت با ظرفیت 350 لیتر در ثانیه دارای وینچ برقی، قابلیت کنترل از سیستم مرکزی و از جنس AISI-304</t>
  </si>
  <si>
    <t>32411707</t>
  </si>
  <si>
    <t>دکانتر دبی ثابت با ظرفیت 400 لیتر در ثانیهدارای وینچ برقی، قابلیت کنترل از سیستم مرکزی و از جنس AISI-304</t>
  </si>
  <si>
    <t>32411708</t>
  </si>
  <si>
    <t>دکانتر دبی ثابت با ظرفیت 450 لیتر در ثانیه دارای وینچ برقی، قابلیت کنترل از سیستم مرکزی و از جنس AISI-304</t>
  </si>
  <si>
    <t>32411801</t>
  </si>
  <si>
    <t>پل جهت جمع آوری دانه و یا لجن از کف تانک های مستطیلی تک قل دارای عرض پیاده رو 0.8 متر و مناسب جهت تحمل بار سطحی 150 kg/m2 می باشد.بهای این ردف شامل بدنه پل، هندریلها به ارتفاع یک متر دو عدد چرخ، دو عدد الکتروموتور گیربکس جهت حرکت طولی پل و حرکت بالا و پایین پاروها و پاروهای مناسب جهت انتقال لجن، سیم های بکسل می باشد. کلیه قطعات در تماس با فاضلاب از جنس فولاد گالوانیزه در نظر گرفته شده است.</t>
  </si>
  <si>
    <t>متر طول</t>
  </si>
  <si>
    <t>32411901</t>
  </si>
  <si>
    <t xml:space="preserve"> پل لجن روب جهت تانک‌های ته‌نشینی دوار </t>
  </si>
  <si>
    <t>32412001</t>
  </si>
  <si>
    <t xml:space="preserve"> پل لجن روب خودمکش جهت تانک‌های ته‌نشینی دوار دارای عرض پیاده رو 0.8 متر و مناسب جهت تحمل بار سطحی 150 kg/m2 ودوسرعته می باشد.بهای این ردف شامل بدنه پل، هندریلها به ارتفاع یک متر دو عدد چرخ، یک عدد الکتروموتور گیربکس جهت حرکت طولی پل و به همراه سیستم انتقال لجن به صورت مکشی و سیم های بکسل می باشد. کلیه قطعات در تماس با فاضلاب از جنس فولاد گالوانیزه در نظر گرفته شده است_x000D_
</t>
  </si>
  <si>
    <t>32412101</t>
  </si>
  <si>
    <t xml:space="preserve"> پل لجن روب خودمکش جهت تانک‌های ته‌نشینی مستطیلی دارای عرض پیاده رو 0.8 متر و مناسب جهت تحمل بار سطحی 150 kg/m2 ودوسرعته می باشد.بهای این ردف شامل بدنه پل، هندریلها به ارتفاع یک متر دو عدد چرخ، یک عدد الکتروموتور گیربکس جهت حرکت طولی پل و به همراه سیستم انتقال لجن به صورت مکشی و سیم های بکسل می باشد. کلیه قطعات در تماس با فاضلاب از جنس فولاد گالوانیزه در نظر گرفته شده است_x000D_
</t>
  </si>
  <si>
    <t>32412201</t>
  </si>
  <si>
    <t xml:space="preserve">بلت کانوایر از جنس بدنه فولاد گالوانیزه، لاستیک از جنس EPDM و عرض 50 سانتیمتر _x000D_
</t>
  </si>
  <si>
    <t>32412202</t>
  </si>
  <si>
    <t>بلت کانوایر از جنس بدنه استیل 304 و لاستیک از جنس EPDM و عرض 50 سانتیمتر</t>
  </si>
  <si>
    <t>32412203</t>
  </si>
  <si>
    <t xml:space="preserve">بلت کانوایر از جنس بدنه استیل 316 و لاستیک از جنس EPDM و عرض 50 سانتیمتر </t>
  </si>
  <si>
    <t>32412401</t>
  </si>
  <si>
    <t>ایرلیفت از جنس فولاد گالوانیزه به ابعاد و ضخامت تعیین شده در نقشه ها و مشخصات فنی</t>
  </si>
  <si>
    <t>کیلوگرم</t>
  </si>
  <si>
    <t>32412402</t>
  </si>
  <si>
    <t>ایرلیفت از جنس فولاد از جنس AISI-304  به ابعاد و ضخامت تعیین شده در نقشه ها و مشخصات فنی</t>
  </si>
  <si>
    <t>32412403</t>
  </si>
  <si>
    <t>ایرلیفت از جنس فولاد از جنس AISI-316  به ابعاد و ضخامت تعیین شده در نقشه ها و مشخصات فنی</t>
  </si>
  <si>
    <t>32413401</t>
  </si>
  <si>
    <t>اسکرو کانوایردارای اسکرو شافت دار از جنس فولادی با پوشش اپوکسی و بدنه از فولاد گالوانیزه گرم به ضخامت 4 میلمیتر</t>
  </si>
  <si>
    <t>32413402</t>
  </si>
  <si>
    <t xml:space="preserve">اسکرو کانوایردارای اسکرو شافت دار از جنسSS304 و بدنه از فSS304 به ضخامت 4 میلمیتر </t>
  </si>
  <si>
    <t>32413403</t>
  </si>
  <si>
    <t xml:space="preserve">اسکرو کانوایردارای اسکرو شافت دار از جنس SS316 و بدنه از SS304  به ضخامت 4 میلمیتر </t>
  </si>
  <si>
    <t xml:space="preserve">شیر تلسکوپی از جنس فولاد گالوانیزه جهت نصب بر روی لوله به قطر 150 </t>
  </si>
  <si>
    <t xml:space="preserve">شیر تلسکوپی از جنس فولاد گالوانیزه جهت نصب بر روی لوله به قطر 200_x000D_
</t>
  </si>
  <si>
    <t xml:space="preserve">شیر تلسکوپی از جنس فولاد گالوانیزه جهت نصب بر روی لوله به قطر 250_x000D_
</t>
  </si>
  <si>
    <t xml:space="preserve">شیر تلسکوپی از جنس فولاد گالوانیزه جهت نصب بر روی لوله به قطر 300_x000D_
</t>
  </si>
  <si>
    <t xml:space="preserve">شیر تلسکوپی از جنس فولاد گالوانیزه جهت نصب بر روی لوله به قطر 350_x000D_
</t>
  </si>
  <si>
    <t xml:space="preserve">شیر تلسکوپی از جنس فولاد گالوانیزه جهت نصب بر روی لوله به قطر 400_x000D_
</t>
  </si>
  <si>
    <t xml:space="preserve">شیر تلسکوپی از جنس فولاد گالوانیزه جهت نصب بر روی لوله به قطر 450_x000D_
</t>
  </si>
  <si>
    <t xml:space="preserve">شیر تلسکوپی از جنس فولاد گالوانیزه جهت نصب بر روی لوله به قطر 500_x000D_
</t>
  </si>
  <si>
    <t>32410101</t>
  </si>
  <si>
    <t xml:space="preserve">خنثی‌سازی گاز کلر شامل مخزن ذخیره، ستون های خنثی ساز، الکتروفن، الکتروپمپ مناسب، روتامترهای خروجی پمپ، لوله های رانش پمپ لوله های مکش و دهش هوا، شیرآلات پروانه ای ، سیستم کنترل کننده حسگر، سنسور حسگر می باشد_x000D_
</t>
  </si>
  <si>
    <t>مجموعه</t>
  </si>
  <si>
    <t>32421601</t>
  </si>
  <si>
    <t xml:space="preserve">اتصالات ویکتالیک استیل 304 با سایز 1 اینچ فشار کاری 300 psi._x000D_
</t>
  </si>
  <si>
    <t>رشد استیل بالاتر است با احتیاط 45 لحاظ شد</t>
  </si>
  <si>
    <t>32421602</t>
  </si>
  <si>
    <t xml:space="preserve">اتصالات ویکتالیک استیل 304 با سایز 1 و 1/4 اینچ فشار کاری 300 psi._x000D_
</t>
  </si>
  <si>
    <t>32421603</t>
  </si>
  <si>
    <t xml:space="preserve">اتصالات ویکتالیک استیل 304 با سایز 1 و 1/2 اینچ فشار کاری 300 psi._x000D_
</t>
  </si>
  <si>
    <t>32421604</t>
  </si>
  <si>
    <t xml:space="preserve">اتصالات ویکتالیک استیل 304 با سایز 2 اینچ فشار کاری 300 psi._x000D_
</t>
  </si>
  <si>
    <t>32421605</t>
  </si>
  <si>
    <t xml:space="preserve">اتصالات ویکتالیک استیل 304 با سایز 2و 1/2 اینچ فشار کاری 300 psi._x000D_
</t>
  </si>
  <si>
    <t>32421606</t>
  </si>
  <si>
    <t xml:space="preserve">اتصالات ویکتالیک استیل 304 با سایز 3 اینچ فشار کاری 300 psi._x000D_
</t>
  </si>
  <si>
    <t>32421607</t>
  </si>
  <si>
    <t xml:space="preserve">اتصالات ویکتالیک استیل 304 با سایز 4 اینچ فشار کاری 300 psi._x000D_
</t>
  </si>
  <si>
    <t>32421608</t>
  </si>
  <si>
    <t xml:space="preserve">اتصالات ویکتالیک استیل 304 با سایز 5 اینچ فشار کاری 300 psi._x000D_
</t>
  </si>
  <si>
    <t>32421609</t>
  </si>
  <si>
    <t xml:space="preserve">اتصالات ویکتالیک استیل 304 با سایز 6 اینچ فشار کاری 300 psi._x000D_
</t>
  </si>
  <si>
    <t>32421610</t>
  </si>
  <si>
    <t xml:space="preserve">اتصالات ویکتالیک استیل 304 با سایز 8 اینچ فشار کاری 300 psi._x000D_
</t>
  </si>
  <si>
    <t>31230102</t>
  </si>
  <si>
    <t>الکترود فولاد ضد زنگ</t>
  </si>
  <si>
    <t>31260402</t>
  </si>
  <si>
    <t>ورق استیل - 304</t>
  </si>
  <si>
    <t>32010530</t>
  </si>
  <si>
    <t xml:space="preserve">زانوی جوشی فولاد ضد زنگ DN15
</t>
  </si>
  <si>
    <t>32010531</t>
  </si>
  <si>
    <t xml:space="preserve">زانوی جوشی فولاد ضد زنگ DN20
</t>
  </si>
  <si>
    <t>32010532</t>
  </si>
  <si>
    <t xml:space="preserve">زانوی جوشی فولاد ضد زنگ DN25
</t>
  </si>
  <si>
    <t>32010533</t>
  </si>
  <si>
    <t xml:space="preserve">زانوی جوشی فولاد ضد زنگ DN32
</t>
  </si>
  <si>
    <t>32010534</t>
  </si>
  <si>
    <t xml:space="preserve">زانوی جوشی فولاد ضد زنگ DN40
</t>
  </si>
  <si>
    <t>32010535</t>
  </si>
  <si>
    <t xml:space="preserve">زانوی جوشی فولاد ضد زنگ DN50
</t>
  </si>
  <si>
    <t>32010536</t>
  </si>
  <si>
    <t xml:space="preserve">زانوی جوشی فولاد ضد زنگ DN65
</t>
  </si>
  <si>
    <t>32010537</t>
  </si>
  <si>
    <t xml:space="preserve">زانوی جوشی فولاد ضد زنگ DN80
</t>
  </si>
  <si>
    <t>32010538</t>
  </si>
  <si>
    <t xml:space="preserve">زانوی جوشی فولاد ضد زنگ DN90
</t>
  </si>
  <si>
    <t>32010539</t>
  </si>
  <si>
    <t xml:space="preserve">زانوی جوشی فولاد ضد زنگ DN100
</t>
  </si>
  <si>
    <t>32010540</t>
  </si>
  <si>
    <t xml:space="preserve">زانوی جوشی فولاد ضد زنگ DN125
</t>
  </si>
  <si>
    <t>32010541</t>
  </si>
  <si>
    <t xml:space="preserve">زانوی جوشی فولاد ضد زنگ DN150
</t>
  </si>
  <si>
    <t>32010542</t>
  </si>
  <si>
    <t xml:space="preserve">زانوی جوشی فولاد ضد زنگ DN200
</t>
  </si>
  <si>
    <t>32010543</t>
  </si>
  <si>
    <t xml:space="preserve">زانوی جوشی فولاد ضد زنگ DN250
</t>
  </si>
  <si>
    <t>32010544</t>
  </si>
  <si>
    <t xml:space="preserve">زانوی جوشی فولاد ضد زنگ DN300
</t>
  </si>
  <si>
    <t>32010545</t>
  </si>
  <si>
    <t xml:space="preserve">زانوی جوشی فولاد ضد زنگ DN350
</t>
  </si>
  <si>
    <t>32010546</t>
  </si>
  <si>
    <t xml:space="preserve">زانوی جوشی فولاد ضد زنگ DN400
</t>
  </si>
  <si>
    <t>32010547</t>
  </si>
  <si>
    <t xml:space="preserve">زانوی جوشی فولاد ضد زنگ DN450
</t>
  </si>
  <si>
    <t>32010548</t>
  </si>
  <si>
    <t xml:space="preserve">زانوی جوشی فولاد ضد زنگ DN500
</t>
  </si>
  <si>
    <t>32010549</t>
  </si>
  <si>
    <t xml:space="preserve">زانوی جوشی فولاد ضد زنگ DN550
</t>
  </si>
  <si>
    <t>32010550</t>
  </si>
  <si>
    <t xml:space="preserve">زانوی جوشی فولاد ضد زنگ DN600
</t>
  </si>
  <si>
    <t>32010551</t>
  </si>
  <si>
    <t>زانوی جوشی فولاد ضد زنگ DN650</t>
  </si>
  <si>
    <t>32010552</t>
  </si>
  <si>
    <t>زانوی جوشی فولاد ضد زنگ DN700</t>
  </si>
  <si>
    <t>32010553</t>
  </si>
  <si>
    <t>زانوی جوشی فولاد ضد زنگ DN750</t>
  </si>
  <si>
    <t>32010554</t>
  </si>
  <si>
    <t>زانوی جوشی فولاد ضد زنگ DN800</t>
  </si>
  <si>
    <t>32010555</t>
  </si>
  <si>
    <t>زانوی جوشی فولاد ضد زنگ DN850</t>
  </si>
  <si>
    <t>32010556</t>
  </si>
  <si>
    <t>زانوی جوشی فولاد ضد زنگ DN900</t>
  </si>
  <si>
    <t>32420101</t>
  </si>
  <si>
    <t>لوله استیل DN15 با کلاس کاری 10S</t>
  </si>
  <si>
    <t>32420102</t>
  </si>
  <si>
    <t>لوله استیل DN20 با کلاس کاری 10S</t>
  </si>
  <si>
    <t>32420103</t>
  </si>
  <si>
    <t>لوله استیل DN25 با کلاس کاری 10S</t>
  </si>
  <si>
    <t>32420104</t>
  </si>
  <si>
    <t>لوله استیل DN32 با کلاس کاری 10S</t>
  </si>
  <si>
    <t>32420105</t>
  </si>
  <si>
    <t>لوله استیل DN40 با کلاس کاری 10S</t>
  </si>
  <si>
    <t>32420106</t>
  </si>
  <si>
    <t>لوله استیل DN50 با کلاس کاری 10S</t>
  </si>
  <si>
    <t>32420107</t>
  </si>
  <si>
    <t>لوله استیل DN65 با کلاس کاری 10S</t>
  </si>
  <si>
    <t>32420108</t>
  </si>
  <si>
    <t>لوله استیل DN80 با کلاس کاری 10S</t>
  </si>
  <si>
    <t>32420109</t>
  </si>
  <si>
    <t>لوله استیل DN90 با کلاس کاری 10S</t>
  </si>
  <si>
    <t>32420110</t>
  </si>
  <si>
    <t>لوله استیل DN100 با کلاس کاری 10S</t>
  </si>
  <si>
    <t>32420111</t>
  </si>
  <si>
    <t>لوله استیل DN125 با کلاس کاری 10S</t>
  </si>
  <si>
    <t>32420112</t>
  </si>
  <si>
    <t>لوله استیل DN150 با کلاس کاری 10S</t>
  </si>
  <si>
    <t>32420113</t>
  </si>
  <si>
    <t>لوله استیل DN200 با کلاس کاری 10S</t>
  </si>
  <si>
    <t>32420114</t>
  </si>
  <si>
    <t>لوله استیل DN250 با کلاس کاری 10S</t>
  </si>
  <si>
    <t>32420115</t>
  </si>
  <si>
    <t>لوله استیل DN300 با کلاس کاری 10S</t>
  </si>
  <si>
    <t>32420116</t>
  </si>
  <si>
    <t>لوله استیل DN350 با کلاس کاری 10S</t>
  </si>
  <si>
    <t>32420117</t>
  </si>
  <si>
    <t>لوله استیل DN400 با کلاس کاری 10S</t>
  </si>
  <si>
    <t>32420118</t>
  </si>
  <si>
    <t>لوله استیل DN450 با کلاس کاری 10S</t>
  </si>
  <si>
    <t>32420119</t>
  </si>
  <si>
    <t>لوله استیل DN500 با کلاس کاری 10S</t>
  </si>
  <si>
    <t>32420120</t>
  </si>
  <si>
    <t>لوله استیل DN550 با کلاس کاری 10S</t>
  </si>
  <si>
    <t>32420121</t>
  </si>
  <si>
    <t>لوله استیل DN600 با کلاس کاری 10S</t>
  </si>
  <si>
    <t>32420122</t>
  </si>
  <si>
    <t>لوله استیل DN650 با کلاس کاری 10S</t>
  </si>
  <si>
    <t>32420123</t>
  </si>
  <si>
    <t>لوله استیل DN700 با کلاس کاری 10S</t>
  </si>
  <si>
    <t>32420124</t>
  </si>
  <si>
    <t>لوله استیل DN750 با کلاس کاری 10S</t>
  </si>
  <si>
    <t>32420125</t>
  </si>
  <si>
    <t>لوله استیل DN800 با کلاس کاری 10S</t>
  </si>
  <si>
    <t>32420126</t>
  </si>
  <si>
    <t>لوله استیل DN850 با کلاس کاری 10S</t>
  </si>
  <si>
    <t>32420127</t>
  </si>
  <si>
    <t>لوله استیل DN900 با کلاس کاری 10S</t>
  </si>
  <si>
    <t>32421401</t>
  </si>
  <si>
    <t xml:space="preserve">لوله داپلکس sc10s
</t>
  </si>
  <si>
    <t>32421501</t>
  </si>
  <si>
    <t xml:space="preserve">سه راه سه سر مساوی 1/2 اینچ داپلکس sc10s
</t>
  </si>
  <si>
    <t>32421502</t>
  </si>
  <si>
    <t xml:space="preserve">سه راه سه سر مساوی 3/4 اینچ داپلکس sc10s
</t>
  </si>
  <si>
    <t>32421505</t>
  </si>
  <si>
    <t xml:space="preserve">سه راه سه سر مساوی 1/2 -1اینچ داپلکس sc10s
</t>
  </si>
  <si>
    <t>32421506</t>
  </si>
  <si>
    <t xml:space="preserve">سه راه سه سر مساوی 2 اینچ داپلکس sc10s
</t>
  </si>
  <si>
    <t>32421507</t>
  </si>
  <si>
    <t xml:space="preserve">سه راه سه سر مساوی 1/2-2 اینچ داپلکس sc10s
</t>
  </si>
  <si>
    <t>32421508</t>
  </si>
  <si>
    <t xml:space="preserve">سه راه سه سر مساوی 3 اینچ داپلکس sc10s
</t>
  </si>
  <si>
    <t>32421509</t>
  </si>
  <si>
    <t xml:space="preserve">سه راه سه سر مساوی 1/2 -3اینچ داپلکس sc10s
</t>
  </si>
  <si>
    <t>32421510</t>
  </si>
  <si>
    <t xml:space="preserve">سه راه سه سر مساوی 4 اینچ داپلکس sc10s
</t>
  </si>
  <si>
    <t>32421511</t>
  </si>
  <si>
    <t xml:space="preserve">سه راه سه سر مساوی 1/2 -4اینچ داپلکس sc10s
</t>
  </si>
  <si>
    <t>32421512</t>
  </si>
  <si>
    <t xml:space="preserve">سه راه سه سر مساوی 5 اینچ داپلکس sc10s
</t>
  </si>
  <si>
    <t>32421513</t>
  </si>
  <si>
    <t xml:space="preserve">سه راه سه سر مساوی 1/2 -5اینچ داپلکس sc10s
</t>
  </si>
  <si>
    <t>32421514</t>
  </si>
  <si>
    <t xml:space="preserve">سه راه سه سر مساوی 6 اینچ داپلکس sc10s
</t>
  </si>
  <si>
    <t>32421515</t>
  </si>
  <si>
    <t xml:space="preserve">سه راه سه سر مساوی 1/2 -6اینچ داپلکس sc10s
</t>
  </si>
  <si>
    <t>32421516</t>
  </si>
  <si>
    <t xml:space="preserve">سه راه سه سر مساوی 8 اینچ داپلکس sc10s
</t>
  </si>
  <si>
    <t>32421517</t>
  </si>
  <si>
    <t xml:space="preserve">سه راه سه سر مساوی 10 اینچ داپلکس sc10s
</t>
  </si>
  <si>
    <t>32421518</t>
  </si>
  <si>
    <t xml:space="preserve">سه راه سه سر مساوی 12 اینچ داپلکس sc10s
</t>
  </si>
  <si>
    <t>32421519</t>
  </si>
  <si>
    <t xml:space="preserve">سه راه سه سر مساوی 14 اینچ داپلکس sc10s
</t>
  </si>
  <si>
    <t>32421520</t>
  </si>
  <si>
    <t xml:space="preserve">سه راه سه سر مساوی 16 اینچ داپلکس sc10s
</t>
  </si>
  <si>
    <t xml:space="preserve">اتصالات ویکتالیک استیل 304 با سایز 1 اینچ فشار کاری 300 psi.
</t>
  </si>
  <si>
    <t xml:space="preserve">اتصالات ویکتالیک استیل 304 با سایز 1 و 1/4 اینچ فشار کاری 300 psi.
</t>
  </si>
  <si>
    <t xml:space="preserve">اتصالات ویکتالیک استیل 304 با سایز 1 و 1/2 اینچ فشار کاری 300 psi.
</t>
  </si>
  <si>
    <t xml:space="preserve">اتصالات ویکتالیک استیل 304 با سایز 2 اینچ فشار کاری 300 psi.
</t>
  </si>
  <si>
    <t xml:space="preserve">اتصالات ویکتالیک استیل 304 با سایز 2و 1/2 اینچ فشار کاری 300 psi.
</t>
  </si>
  <si>
    <t xml:space="preserve">اتصالات ویکتالیک استیل 304 با سایز 3 اینچ فشار کاری 300 psi.
</t>
  </si>
  <si>
    <t xml:space="preserve">اتصالات ویکتالیک استیل 304 با سایز 4 اینچ فشار کاری 300 psi.
</t>
  </si>
  <si>
    <t xml:space="preserve">اتصالات ویکتالیک استیل 304 با سایز 5 اینچ فشار کاری 300 psi.
</t>
  </si>
  <si>
    <t xml:space="preserve">اتصالات ویکتالیک استیل 304 با سایز 6 اینچ فشار کاری 300 psi.
</t>
  </si>
  <si>
    <t xml:space="preserve">اتصالات ویکتالیک استیل 304 با سایز 8 اینچ فشار کاری 300 psi.
</t>
  </si>
  <si>
    <t>32430101</t>
  </si>
  <si>
    <t>عملگر برقی مناسب برای نصب بر روی شیر و یا دریچه بطور کامل با گشتاور خروجی تا 30 نیوتن متر برقی برای وظیفه باز و بسته کردن و سرویس دهی کوتاه مدت ، از نوع multi-turn  مجهز به فلکه دستی ، کلید حدی ، کلید گشتاور ، نشانگر موقعیت ، گرمکن ضد رطوبت با کلاس عایق بندی IP67  با ورودی و خروجی دیجیتال می باشند .</t>
  </si>
  <si>
    <t>32430102</t>
  </si>
  <si>
    <t>عملگر برقی مناسب برای نصب بر روی شیر و یا دریچه بطور کامل با گشتاور خروجی تا 60 نیوتن متر برقی برای وظیفه باز و بسته کردن و سرویس دهی کوتاه مدت ، از نوع multi-turn  مجهز به فلکه دستی ، کلید حدی ، کلید گشتاور ، نشانگر موقعیت ، گرمکن ضد رطوبت با کلاس عایق بندی IP67  با ورودی و خروجی دیجیتال می باشند .</t>
  </si>
  <si>
    <t>32430103</t>
  </si>
  <si>
    <t>عملگر برقی مناسب برای نصب بر روی شیر و یا دریچه بطور کامل با گشتاور خروجی تا 120 نیوتن متر برقی برای وظیفه باز و بسته کردن و سرویس دهی کوتاه مدت ، از نوع multi-turn  مجهز به فلکه دستی ، کلید حدی ، کلید گشتاور ، نشانگر موقعیت ، گرمکن ضد رطوبت با کلاس عایق بندی IP67  با ورودی و خروجی دیجیتال می باشند .</t>
  </si>
  <si>
    <t>32430104</t>
  </si>
  <si>
    <t>عملگر برقی مناسب برای نصب بر روی شیر و یا دریچه بطور کامل با گشتاور خروجی تا 250 نیوتن متر برقی برای وظیفه باز و بسته کردن و سرویس دهی کوتاه مدت ، از نوع multi-turn  مجهز به فلکه دستی ، کلید حدی ، کلید گشتاور ، نشانگر موقعیت ، گرمکن ضد رطوبت با کلاس عایق بندی IP67  با ورودی و خروجی دیجیتال می باشند .</t>
  </si>
  <si>
    <t>32430105</t>
  </si>
  <si>
    <t>عملگر برقی مناسب برای نصب بر روی شیر و یا دریچه بطور کامل با گشتاور خروجی تا 500 نیوتن متر برقی برای وظیفه باز و بسته کردن و سرویس دهی کوتاه مدت ، از نوع multi-turn  مجهز به فلکه دستی ، کلید حدی ، کلید گشتاور ، نشانگر موقعیت ، گرمکن ضد رطوبت با کلاس عایق بندی IP67  با ورودی و خروجی دیجیتال می باشند .</t>
  </si>
  <si>
    <t>32430106</t>
  </si>
  <si>
    <t>عملگر برقی مناسب برای نصب بر روی شیر و یا دریچه بطور کامل با گشتاور خروجی تا 1000 نیوتن متر برقی برای وظیفه باز و بسته کردن و سرویس دهی کوتاه مدت ، از نوع multi-turn  مجهز به فلکه دستی ، کلید حدی ، کلید گشتاور ، نشانگر موقعیت ، گرمکن ضد رطوبت با کلاس عایق بندی IP67  با ورودی و خروجی دیجیتال می باشند .</t>
  </si>
  <si>
    <t>32430201</t>
  </si>
  <si>
    <t>عملگر نیوماتیک مناسب برای نصب بر روی شیر بطور کامل با گشتاور خروجی تا 30 نیوتن متر برای وظیفه باز و بسته کردن وسرویس دهی کوتاه مدت ، از نوع ربع گرد ، دو پیستونه مجهز به کلیدهای حدی ، تک کاره ،  با نشانگر موقعیت با برگشت فنری ، مناسب برای کارکرد تا فشار 8 بار و با کلاس عایق بندی IP65  می باشند .</t>
  </si>
  <si>
    <t>32430202</t>
  </si>
  <si>
    <t>عملگر نیوماتیک مناسب برای نصب بر روی شیر بطور کامل با گشتاور خروجی تا 60 نیوتن متر برای وظیفه باز و بسته کردن وسرویس دهی کوتاه مدت ، از نوع ربع گرد ، دو پیستونه مجهز به کلیدهای حدی ، تک کاره ،  با نشانگر موقعیت با برگشت فنری ، مناسب برای کارکرد تا فشار 8 بار و با کلاس عایق بندی IP65  می باشند .</t>
  </si>
  <si>
    <t>32430203</t>
  </si>
  <si>
    <t>عملگر نیوماتیک مناسب برای نصب بر روی شیر بطور کامل با گشتاور خروجی تا 120 نیوتن متر برای وظیفه باز و بسته کردن وسرویس دهی کوتاه مدت ، از نوع ربع گرد ، دو پیستونه مجهز به کلیدهای حدی ، تک کاره ،  با نشانگر موقعیت با برگشت فنری ، مناسب برای کارکرد تا فشار 8 بار و با کلاس عایق بندی IP65  می باشند .</t>
  </si>
  <si>
    <t>32430204</t>
  </si>
  <si>
    <t>عملگر نیوماتیک مناسب برای نصب بر روی شیر بطور کامل با گشتاور خروجی تا 250 نیوتن متر برای وظیفه باز و بسته کردن وسرویس دهی کوتاه مدت ، از نوع ربع گرد ، دو پیستونه مجهز به کلیدهای حدی ، تک کاره ،  با نشانگر موقعیت با برگشت فنری ، مناسب برای کارکرد تا فشار 8 بار و با کلاس عایق بندی IP65  می باشند .</t>
  </si>
  <si>
    <t>32430205</t>
  </si>
  <si>
    <t>عملگر نیوماتیک مناسب برای نصب بر روی شیر بطور کامل با گشتاور خروجی تا 500نیوتن متر برای وظیفه باز و بسته کردن وسرویس دهی کوتاه مدت ، از نوع ربع گرد ، دو پیستونه مجهز به کلیدهای حدی ، تک کاره ،  با نشانگر موقعیت با برگشت فنری ، مناسب برای کارکرد تا فشار 8 بار و با کلاس عایق بندی IP65  می باشند .</t>
  </si>
  <si>
    <t>32430206</t>
  </si>
  <si>
    <t>عملگر نیوماتیک مناسب برای نصب بر روی شیر بطور کامل با گشتاور خروجی تا 1000 نیوتن متر برای وظیفه باز و بسته کردن وسرویس دهی کوتاه مدت ، از نوع ربع گرد ، دو پیستونه مجهز به کلیدهای حدی ، تک کاره ،  با نشانگر موقعیت با برگشت فنری ، مناسب برای کارکرد تا فشار 8 بار و با کلاس عایق بندی IP65  می باشند .</t>
  </si>
  <si>
    <t xml:space="preserve"> قیمت فهرست بها</t>
  </si>
  <si>
    <t>قیمت سه ماهه چهارم 1402</t>
  </si>
  <si>
    <t>32440111</t>
  </si>
  <si>
    <t>فیلتر ممبران لبشور 4 اینچ تولید 2300 گالن بر روز حذف نمک 99.5 درصد سطح ممبرین 85 فوت مربع .</t>
  </si>
  <si>
    <t>32440130</t>
  </si>
  <si>
    <t>فیلتر ممبران لبشور 8 اینچ تولید 9500 گالن بر روز حذف نمک 99.5 درصد سطح ممبرین 400 فوت مربع .</t>
  </si>
  <si>
    <t>32440204</t>
  </si>
  <si>
    <t>فیلتر ممبران دریایی 4 اینچ تولید 1700 گالن بر روز حذف نمک 99.6 درصد سطح ممبرین 85 فوت مربع .</t>
  </si>
  <si>
    <t>32440225</t>
  </si>
  <si>
    <t>فیلتر ممبران دریایی 8 اینچ تولید 9000 گالن بر روز حذف نمک 99.7 درصد سطح ممبرین 400 فوت مربع .</t>
  </si>
  <si>
    <t>32440301</t>
  </si>
  <si>
    <t>غلاف ممبران 4 اینچ تک المانه فشار 300psi اندپورت از جنس FRP_x000D_</t>
  </si>
  <si>
    <t>32440305</t>
  </si>
  <si>
    <t>غلاف ممبران 4 اینچ تک المانه فشار 1000psi اندپورت از جنس FRP_x000D_</t>
  </si>
  <si>
    <t>32440306</t>
  </si>
  <si>
    <t>غلاف ممبران 4 اینچ تک المانه فشار 1200psi اندپورت از جنس FRP_x000D_</t>
  </si>
  <si>
    <t>32440307</t>
  </si>
  <si>
    <t>غلاف ممبران 8 اینچ تک المانه فشار 300psi اندپورت از جنس FRP_x000D_</t>
  </si>
  <si>
    <t>32440311</t>
  </si>
  <si>
    <t>غلاف ممبران 8 اینچ تک المانه فشار 1000psi اندپورت از جنس FRP_x000D_</t>
  </si>
  <si>
    <t>32440312</t>
  </si>
  <si>
    <t>غلاف ممبران 8 اینچ تک المانه فشار 1200psi اندپورت از جنس FRP_x000D_</t>
  </si>
  <si>
    <t>32440617</t>
  </si>
  <si>
    <t xml:space="preserve">فیلتر کارتریج میله ای 5 میکرون قطر 2.5 اینچ طول 10 اینچ از جنس پلی پروپیلن_x000D_
</t>
  </si>
  <si>
    <t>32440630</t>
  </si>
  <si>
    <t>فیلتر کارتریج کیسه ای 5 میکرون قطر 7 اینچ طول 16 اینچ از جنس پلی پروپیلن</t>
  </si>
  <si>
    <t>32440639</t>
  </si>
  <si>
    <t>فیلتر کارتریج کیسه ای 5 میکرون قطر 7 اینچ طول 32 اینچ از جنس پلی پروپیلن</t>
  </si>
  <si>
    <t>32440647</t>
  </si>
  <si>
    <t>فیلتر کارتریج اولترافلو 5 میکرون قطر 6 اینچ طول 20 اینچ از جنس پلی پروپیلن</t>
  </si>
  <si>
    <t>32440656</t>
  </si>
  <si>
    <t>فیلتر کارتریج اولترافلو 5 میکرون قطر 6 اینچ طول 40 اینچ از جنس پلی پروپیلن</t>
  </si>
  <si>
    <t>32440665</t>
  </si>
  <si>
    <t>فیلتر کارتریج اولترافلو 5 میکرون قطر 6 اینچ طول 60 اینچ از جنس پلی پروپیلن</t>
  </si>
  <si>
    <t>,949,771.6</t>
  </si>
  <si>
    <t>تحلیل تابع توانی: P = a × S^b  |  رگرسیون در فضای لگاریتمی: ln(P) = ln(a) + b·ln(S)</t>
  </si>
  <si>
    <t>b&lt;1 → صرفه‌جویی مقیاس (Economy of Scale)  |  b≈1 → خطی  |  b&gt;1 → رشد فوق‌خطی  |  R² → کیفیت برازش مدل</t>
  </si>
  <si>
    <t>جدول خلاصه رگرسیون توانی در فضای لگاریتمی</t>
  </si>
  <si>
    <t>#</t>
  </si>
  <si>
    <t>تجهیز</t>
  </si>
  <si>
    <t>طبقه</t>
  </si>
  <si>
    <t>متغیر سایز</t>
  </si>
  <si>
    <t>ln(a)</t>
  </si>
  <si>
    <t>b (توان)</t>
  </si>
  <si>
    <t>R²</t>
  </si>
  <si>
    <t>تفسیر</t>
  </si>
  <si>
    <t>وقتی سایز ×۲</t>
  </si>
  <si>
    <t>قیمت ×</t>
  </si>
  <si>
    <t>فرمول</t>
  </si>
  <si>
    <t>کیفیت</t>
  </si>
  <si>
    <t>بلوئر هوادهی</t>
  </si>
  <si>
    <t>دوّار</t>
  </si>
  <si>
    <t>توان (kW)</t>
  </si>
  <si>
    <t>صرفه مقیاس متوسط</t>
  </si>
  <si>
    <t>سایز دو برابر</t>
  </si>
  <si>
    <t>ln(P) = 20.51 + 0.577·ln(S)</t>
  </si>
  <si>
    <t>خوب</t>
  </si>
  <si>
    <t>هواده سطحی</t>
  </si>
  <si>
    <t>ln(P) = 19.96 + 0.596·ln(S)</t>
  </si>
  <si>
    <t>عالی</t>
  </si>
  <si>
    <t>جرثقیل چهارکاره</t>
  </si>
  <si>
    <t>فلزات</t>
  </si>
  <si>
    <t>ظرفیت (تن)</t>
  </si>
  <si>
    <t>ln(P) = 20.14 + 0.544·ln(S)</t>
  </si>
  <si>
    <t>شیر پروانه‌ای فلزی</t>
  </si>
  <si>
    <t>شیرآلات</t>
  </si>
  <si>
    <t>قطر (mm)</t>
  </si>
  <si>
    <t>رشد فوق‌خطی</t>
  </si>
  <si>
    <t>ln(P) = 11.44 + 1.250·ln(S)</t>
  </si>
  <si>
    <t>فلومتر مغناطیسی</t>
  </si>
  <si>
    <t>ابزاردقیق</t>
  </si>
  <si>
    <t>ln(P) = 16.02 + 0.653·ln(S)</t>
  </si>
  <si>
    <t>بلوئر هوادهی  ◄  ln(P) = 20.51 + 0.577·ln(S)  |  R² = 0.9226</t>
  </si>
  <si>
    <t>قیمت واقعی (ریال)</t>
  </si>
  <si>
    <t>ln(سایز)</t>
  </si>
  <si>
    <t>ln(قیمت)</t>
  </si>
  <si>
    <t>ln(قیمت) تخمینی</t>
  </si>
  <si>
    <t>خطا لگاریتمی</t>
  </si>
  <si>
    <t>خطا قیمتی</t>
  </si>
  <si>
    <t>MAE = 17.0%</t>
  </si>
  <si>
    <t>هواده سطحی  ◄  ln(P) = 19.96 + 0.596·ln(S)  |  R² = 0.9861</t>
  </si>
  <si>
    <t>MAE = 5.2%</t>
  </si>
  <si>
    <t>جرثقیل چهارکاره  ◄  ln(P) = 20.14 + 0.544·ln(S)  |  R² = 0.8980</t>
  </si>
  <si>
    <t>شیر پروانه‌ای فلزی  ◄  ln(P) = 11.44 + 1.250·ln(S)  |  R² = 0.9742</t>
  </si>
  <si>
    <t>MAE = 16.1%</t>
  </si>
  <si>
    <t>فلومتر مغناطیسی  ◄  ln(P) = 16.02 + 0.653·ln(S)  |  R² = 0.9084</t>
  </si>
  <si>
    <t>MAE = 14.7%</t>
  </si>
  <si>
    <t>دوره‌ها</t>
  </si>
  <si>
    <t>کلید شاخص</t>
  </si>
  <si>
    <t>شماره تجهیز</t>
  </si>
  <si>
    <t>رگرسیون لگاریتمی دومتغیره: ln(I_t) = α + β·ln(FX_t) + ε_t</t>
  </si>
  <si>
    <t>مدل اقتصادسنجی: I=شاخص فهرست‌بها | FX=نرخ ارز یورو | β=الاستیسیته | ε=خطای تصادفی | R²=ضریب تعیین</t>
  </si>
  <si>
    <t>بخش الف: نتایج رگرسیون دومتغیره  ln(I) = α + β·ln(FX) + ε</t>
  </si>
  <si>
    <t>کلید</t>
  </si>
  <si>
    <t>شرح فصل</t>
  </si>
  <si>
    <t>n</t>
  </si>
  <si>
    <t>α</t>
  </si>
  <si>
    <t>β (الاستیسیته)</t>
  </si>
  <si>
    <t>SE(β)</t>
  </si>
  <si>
    <t>t-stat</t>
  </si>
  <si>
    <t>MSE(ε)</t>
  </si>
  <si>
    <t>فصل ۱۶ ابنیه فلزی</t>
  </si>
  <si>
    <t>ابنیه فلزی</t>
  </si>
  <si>
    <t>وابسته شدید به ارز</t>
  </si>
  <si>
    <t>فصل ۴ ابنیه</t>
  </si>
  <si>
    <t>قالب‌بندی</t>
  </si>
  <si>
    <t>فصل ۳۲ همزن</t>
  </si>
  <si>
    <t>همزن</t>
  </si>
  <si>
    <t>فصل ۱۲ اتصالات</t>
  </si>
  <si>
    <t>اتصالات</t>
  </si>
  <si>
    <t>فصل ۲۱ لوله‌کشی</t>
  </si>
  <si>
    <t>لوله‌کشی</t>
  </si>
  <si>
    <t>فصل ۲۸ فیلتر کارتریج</t>
  </si>
  <si>
    <t>فیلتر</t>
  </si>
  <si>
    <t>فصل ۳۴ دستمزدی مکانیک</t>
  </si>
  <si>
    <t>دستمزدی</t>
  </si>
  <si>
    <t>فصل ۳۰ فیلتراسیون</t>
  </si>
  <si>
    <t>فیلتراسیون</t>
  </si>
  <si>
    <t>فصل ۱۷ دیفیوزر</t>
  </si>
  <si>
    <t>دیفیوزر</t>
  </si>
  <si>
    <t>فصل ۶ فولاد</t>
  </si>
  <si>
    <t>فصل ۳۳ ابزاردقیق</t>
  </si>
  <si>
    <t>فصل ۷ آب‌بندی</t>
  </si>
  <si>
    <t>آب‌بندی</t>
  </si>
  <si>
    <t>فصل ۱۶ ابنیه</t>
  </si>
  <si>
    <t>ابنیه</t>
  </si>
  <si>
    <t>فصل ۱۴ کارهای فلزی</t>
  </si>
  <si>
    <t>فلزکاری</t>
  </si>
  <si>
    <t>فصل ۶ فولاد ابنیه</t>
  </si>
  <si>
    <t>فولاد عمران</t>
  </si>
  <si>
    <t>فصل ۲۴ پمپ‌ها</t>
  </si>
  <si>
    <t>فصل ۱ عمومی مکانیک</t>
  </si>
  <si>
    <t>عمومی</t>
  </si>
  <si>
    <t>فصل ۱۱ شیرآلات</t>
  </si>
  <si>
    <t>فصل ۲۲ عایق‌کاری</t>
  </si>
  <si>
    <t>عایق</t>
  </si>
  <si>
    <t>وابسته متوسط به ارز</t>
  </si>
  <si>
    <t>فصل ۱۵ دستمزد ابنیه</t>
  </si>
  <si>
    <t>دستمزد عمران</t>
  </si>
  <si>
    <t>مستقل از ارز (≈CPI)</t>
  </si>
  <si>
    <t>فصل ۵ دستمزد مکانیک</t>
  </si>
  <si>
    <t>دستمزد ≈ CPI</t>
  </si>
  <si>
    <t>بخش ب: جدول تفصیلی داده‌ها، پیش‌بینی و خطای ε هر فصل</t>
  </si>
  <si>
    <t>مکانیک-16 — فصل ۱۶ ابنیه فلزی  |  ln(I) = -11.102 + 1.516·ln(FX) + ε  |  R² = 0.9596</t>
  </si>
  <si>
    <t>دوره</t>
  </si>
  <si>
    <t>ln(FX)</t>
  </si>
  <si>
    <t>ln(I) واقعی</t>
  </si>
  <si>
    <t>ln(I) پیش‌بینی</t>
  </si>
  <si>
    <t>ε (خطا)</t>
  </si>
  <si>
    <t>|ε|</t>
  </si>
  <si>
    <t>I واقعی</t>
  </si>
  <si>
    <t>I پیش‌بینی</t>
  </si>
  <si>
    <t>خطا %</t>
  </si>
  <si>
    <t>MAE(ε) = 0.0690  |  √MSE = 0.0876  |  max|ε| = 0.1572</t>
  </si>
  <si>
    <t>ابنیه-4 — فصل ۴ ابنیه  |  ln(I) = -9.128 + 1.387·ln(FX) + ε  |  R² = 0.9115</t>
  </si>
  <si>
    <t>MAE(ε) = 0.1003  |  √MSE = 0.1218  |  max|ε| = 0.2033</t>
  </si>
  <si>
    <t>مکانیک-32 — فصل ۳۲ همزن  |  ln(I) = -8.673 + 1.349·ln(FX) + ε  |  R² = 0.8758</t>
  </si>
  <si>
    <t>MAE(ε) = 0.1155  |  √MSE = 0.1432  |  max|ε| = 0.2253</t>
  </si>
  <si>
    <t>مکانیک-12 — فصل ۱۲ اتصالات  |  ln(I) = -7.840 + 1.307·ln(FX) + ε  |  R² = 0.9372</t>
  </si>
  <si>
    <t>MAE(ε) = 0.0751  |  √MSE = 0.0953  |  max|ε| = 0.1577</t>
  </si>
  <si>
    <t>مکانیک-21 — فصل ۲۱ لوله‌کشی  |  ln(I) = -7.853 + 1.285·ln(FX) + ε  |  R² = 0.9209</t>
  </si>
  <si>
    <t>MAE(ε) = 0.0777  |  √MSE = 0.1061  |  max|ε| = 0.1946</t>
  </si>
  <si>
    <t>مکانیک-28 — فصل ۲۸ فیلتر کارتریج  |  ln(I) = -7.894 + 1.277·ln(FX) + ε  |  R² = 0.9487</t>
  </si>
  <si>
    <t>MAE(ε) = 0.0657  |  √MSE = 0.0837  |  max|ε| = 0.1335</t>
  </si>
  <si>
    <t>مکانیک-34 — فصل ۳۴ دستمزدی مکانیک  |  ln(I) = -7.190 + 1.214·ln(FX) + ε  |  R² = 0.8973</t>
  </si>
  <si>
    <t>MAE(ε) = 0.0970  |  √MSE = 0.1158  |  max|ε| = 0.1795</t>
  </si>
  <si>
    <t>مکانیک-30 — فصل ۳۰ فیلتراسیون  |  ln(I) = -5.572 + 1.139·ln(FX) + ε  |  R² = 0.9205</t>
  </si>
  <si>
    <t>MAE(ε) = 0.0774  |  √MSE = 0.0943  |  max|ε| = 0.1355</t>
  </si>
  <si>
    <t>Smart Dashboard v2  ◄  محاسبگر هوشمند ضریب تعدیل ارزبری</t>
  </si>
  <si>
    <t>فرمول‌محور (INDEX/MATCH)  •  بدون VBA  •  بدون توابع فرّار  •  ۱۲۳ قلم تجهیز  •  ۹۷ دوره  •  ۴۷۲ شاخص</t>
  </si>
  <si>
    <t>⚙ تنظیمات دوره و ارز</t>
  </si>
  <si>
    <t>⚖ تنظیمات وزن‌دهی</t>
  </si>
  <si>
    <t>📊 خلاصه نتایج آنی</t>
  </si>
  <si>
    <t>1401-Q4</t>
  </si>
  <si>
    <t>ارزبری پیش‌فرض:</t>
  </si>
  <si>
    <t>تعداد تجهیزات:</t>
  </si>
  <si>
    <t>قلم</t>
  </si>
  <si>
    <t>نرخ ارز مبنا (EUR/IRR):</t>
  </si>
  <si>
    <t>نرخ ارز جاری (EUR/IRR):</t>
  </si>
  <si>
    <t>ریالی خودکار:</t>
  </si>
  <si>
    <t>میانگین ضریب تعدیل:</t>
  </si>
  <si>
    <t>نسبت رشد ارز:</t>
  </si>
  <si>
    <t>فرمول کل:</t>
  </si>
  <si>
    <t>Σ(wi×Ii/I₀)+wFX×(FX₁/FX₀)</t>
  </si>
  <si>
    <t>بازه (حداقل — حداکثر):</t>
  </si>
  <si>
    <t>—</t>
  </si>
  <si>
    <t>فصل ریالی ① — شاخص اصلی</t>
  </si>
  <si>
    <t>فصل ریالی ② — شاخص فرعی</t>
  </si>
  <si>
    <t>فصل ریالی ③ — شاخص مکمل</t>
  </si>
  <si>
    <t>نتایج محاسبه</t>
  </si>
  <si>
    <t>FX%</t>
  </si>
  <si>
    <t>کلید①</t>
  </si>
  <si>
    <t>W₁%</t>
  </si>
  <si>
    <t>I₀①</t>
  </si>
  <si>
    <t>I₁①</t>
  </si>
  <si>
    <t>کلید②</t>
  </si>
  <si>
    <t>W₂%</t>
  </si>
  <si>
    <t>I₀②</t>
  </si>
  <si>
    <t>I₁②</t>
  </si>
  <si>
    <t>کلید③</t>
  </si>
  <si>
    <t>W₃%</t>
  </si>
  <si>
    <t>I₀③</t>
  </si>
  <si>
    <t>I₁③</t>
  </si>
  <si>
    <t>ضریب کل</t>
  </si>
  <si>
    <t>دریچه فولادی با پوشش مجهز به  محرک برقی و یا بادی</t>
  </si>
  <si>
    <t>نقاله های حلزونی، فشرده سازی آشغال، کلاسیفایر- فولاد  گالوانیزه</t>
  </si>
  <si>
    <t>تجهیزات کلرزنی، تزریق کننده گاز، رگولاتور خلاء، انژکتور، انژکتور ، تراپ مایع، تعویض کننده</t>
  </si>
  <si>
    <t>فیلتر شنی، فیلتر سرامیکی، دریچه بازدید، پنجره بازدید، تراپ گاز، تراپ کف، شعله گیر، تراپ مایع کندانس ، کلاهک گاز هاضم های بیهوازی لجن</t>
  </si>
  <si>
    <t>⚠ مجموع وزن ارزبری (C) + وزن فصول (E+I+M) هر ردیف باید = ۱.۰۰  |  سلول‌های زرد = ورودی  |  سلول‌های خاکستری = خودکار</t>
  </si>
  <si>
    <t>Econometric Analysis  ◄  تحلیل اقتصادسنجی الاستیسیته ارزی</t>
  </si>
  <si>
    <t>ln(I_t) = α + β·ln(FX_t) + ε_t   |   β = الاستیسیته   |   R² = نیکویی برازش   |   ε = باقیمانده (حباب‌سنج)   |   n ≤ 19 دوره</t>
  </si>
  <si>
    <t>بخش الف  ◄  خلاصه رگرسیون و طبقه‌بندی  |  FX-Driven  vs  Inflation-Driven</t>
  </si>
  <si>
    <t>کلید فصل</t>
  </si>
  <si>
    <t>شرح</t>
  </si>
  <si>
    <t>رشته</t>
  </si>
  <si>
    <t>طبقه‌بندی</t>
  </si>
  <si>
    <t>ε 1403-Q1</t>
  </si>
  <si>
    <t>ε 1403-Q2</t>
  </si>
  <si>
    <t>ε 1403-Q3</t>
  </si>
  <si>
    <t>ε 1403-Q4</t>
  </si>
  <si>
    <t>حباب‌سنج</t>
  </si>
  <si>
    <t>مکانیک</t>
  </si>
  <si>
    <t>FX-Driven</t>
  </si>
  <si>
    <t>● نرمال</t>
  </si>
  <si>
    <t>فصل ۴ قالب‌بندی</t>
  </si>
  <si>
    <t>⚠ حباب مثبت</t>
  </si>
  <si>
    <t>فصل ۳ بتن</t>
  </si>
  <si>
    <t>فصل ۱ عمومی</t>
  </si>
  <si>
    <t>فصل ۳۴ دستمزدی</t>
  </si>
  <si>
    <t>مکانیک — CPI</t>
  </si>
  <si>
    <t>فصل ۱۷ آسفالت</t>
  </si>
  <si>
    <t>فصل ۲۳ تأسیسات</t>
  </si>
  <si>
    <t>فصل ۱۶ فلز/چوب</t>
  </si>
  <si>
    <t>فصل ۱۴ فلزکاری</t>
  </si>
  <si>
    <t>فصل ۱۵ دستمزد</t>
  </si>
  <si>
    <t>ابنیه — CPI</t>
  </si>
  <si>
    <t>Wage / CPI</t>
  </si>
  <si>
    <t>فصل ۵ دستمزد</t>
  </si>
  <si>
    <t>بخش ب  ◄  جدول تفصیلی باقیمانده‌ها (ε) — ۶ فصل کلیدی مکانیک</t>
  </si>
  <si>
    <t>مکانیک-24  ◄  فصل ۲۴ پمپ‌ها  |  β = 1.168  |  R² = 0.7761  |  n = 17</t>
  </si>
  <si>
    <t>FX (EUR/IRR)</t>
  </si>
  <si>
    <t>ε (باقیمانده)</t>
  </si>
  <si>
    <t>I تخمینی</t>
  </si>
  <si>
    <t>Σε تجمعی</t>
  </si>
  <si>
    <t>MAE = 0.1293   |   RMSE = 0.1866   |   max|ε| = 0.4158</t>
  </si>
  <si>
    <t>مکانیک-6  ◄  فصل ۶ فولاد  |  β = 1.344  |  R² = 0.8609  |  n = 17</t>
  </si>
  <si>
    <t>MAE = 0.1192   |   RMSE = 0.1607   |   max|ε| = 0.4093</t>
  </si>
  <si>
    <t>مکانیک-11  ◄  فصل ۱۱ شیرآلات  |  β = 1.029  |  R² = 0.7814  |  n = 17</t>
  </si>
  <si>
    <t>MAE = 0.1186   |   RMSE = 0.1619   |   max|ε| = 0.3496</t>
  </si>
  <si>
    <t>مکانیک-16  ◄  فصل ۱۶ ابنیه فلزی  |  β = 1.573  |  R² = 0.8888  |  n = 17</t>
  </si>
  <si>
    <t>MAE = 0.1184   |   RMSE = 0.1655   |   max|ε| = 0.4357</t>
  </si>
  <si>
    <t>مکانیک-30  ◄  فصل ۳۰ فیلتراسیون  |  β = 1.255  |  R² = 0.8923  |  n = 17</t>
  </si>
  <si>
    <t>MAE = 0.0937   |   RMSE = 0.1298   |   max|ε| = 0.3103</t>
  </si>
  <si>
    <t>مکانیک-33  ◄  فصل ۳۳ ابزاردقیق  |  β = 1.248  |  R² = 0.8485  |  n = 17</t>
  </si>
  <si>
    <t>MAE = 0.1168   |   RMSE = 0.1569   |   max|ε| = 0.3860</t>
  </si>
  <si>
    <t>بخش ج  ◄  راهنمای تفسیر</t>
  </si>
  <si>
    <t>β &gt; 0.8</t>
  </si>
  <si>
    <t>وابستگی شدید به ارز — هجینگ و خرید زودهنگام ضروری</t>
  </si>
  <si>
    <t>0.4 &lt; β ≤ 0.8</t>
  </si>
  <si>
    <t>Mixed</t>
  </si>
  <si>
    <t>ترکیبی ارز + تورم — رصد ارز و تعدیل فصلی</t>
  </si>
  <si>
    <t>0.05 &lt; β ≤ 0.4</t>
  </si>
  <si>
    <t>Inflation-Driven</t>
  </si>
  <si>
    <t>عمدتاً تورم داخلی — تعدیل سالانه کافی</t>
  </si>
  <si>
    <t>β ≈ 0</t>
  </si>
  <si>
    <t>مستقل از ارز — صرفاً رشد دستمزد</t>
  </si>
  <si>
    <t>ε &gt; +0.06</t>
  </si>
  <si>
    <t>قیمت بالاتر از مدل — ریسک اصلاح نزولی</t>
  </si>
  <si>
    <t>ε &lt; -0.06</t>
  </si>
  <si>
    <t>✓ زیر قیمت</t>
  </si>
  <si>
    <t>قیمت پایین‌تر از مدل — فرصت تأمین</t>
  </si>
  <si>
    <t>|ε| &lt; 0.04</t>
  </si>
  <si>
    <t>در محدوده طبیعی انحراف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</si>
</sst>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43" formatCode="_(* #,##0.00_);_(* \(#,##0.00\);_(* &quot;-&quot;??_);_(@_)"/>
    <numFmt numFmtId="164" formatCode="0.0000"/>
    <numFmt numFmtId="165" formatCode="yyyy\-mm\-dd"/>
    <numFmt numFmtId="166" formatCode="_(* #,##0_);_(* \(#,##0\);_(* &quot;-&quot;??_);_(@_)"/>
    <numFmt numFmtId="167" formatCode="_(* #,##0.0_);_(* \(#,##0.0\);_(* &quot;-&quot;?_);_(@_)"/>
    <numFmt numFmtId="168" formatCode="_(* #,##0.00_);_(* \(#,##0.00\);_(* &quot;-&quot;?_);_(@_)"/>
    <numFmt numFmtId="169" formatCode="_(* #,##0.0000_);_(* \(#,##0.0000\);_(* &quot;-&quot;??_);_(@_)"/>
    <numFmt numFmtId="170" formatCode="_(* #,##0.0_);_(* \(#,##0.0\);_(* &quot;-&quot;??_);_(@_)"/>
    <numFmt numFmtId="171" formatCode="[$-10409]#,##0.###;\(#,##0.###\)"/>
    <numFmt numFmtId="172" formatCode="0.0%"/>
    <numFmt numFmtId="173" formatCode="0.000"/>
    <numFmt numFmtId="174" formatCode="#,##0.0"/>
    <numFmt numFmtId="175" formatCode="\+0.000;\-0.000"/>
    <numFmt numFmtId="176" formatCode="\+0.0000;\-0.0000"/>
    <numFmt numFmtId="177" formatCode="\+0.0%;\-0.0%"/>
  </numFmts>
  <fonts count="51">
    <font>
      <sz val="11"/>
      <color theme="1"/>
      <name val="Arial"/>
      <family val="2"/>
      <scheme val="minor"/>
    </font>
    <font>
      <b/>
      <sz val="12"/>
      <color rgb="FFFFFFFF"/>
      <name val="Calibri"/>
      <family val="2"/>
    </font>
    <font>
      <b/>
      <sz val="11"/>
      <color rgb="FF1F4E79"/>
      <name val="Calibri"/>
      <family val="2"/>
    </font>
    <font>
      <sz val="11"/>
      <color rgb="FF333333"/>
      <name val="Calibri"/>
      <family val="2"/>
    </font>
    <font>
      <b/>
      <sz val="13"/>
      <color rgb="FFFFFFFF"/>
      <name val="B Nazanin"/>
      <charset val="178"/>
    </font>
    <font>
      <sz val="11"/>
      <color theme="1"/>
      <name val="Arial"/>
      <family val="2"/>
      <charset val="178"/>
      <scheme val="minor"/>
    </font>
    <font>
      <b/>
      <sz val="11"/>
      <color rgb="FFFFFFFF"/>
      <name val="B Nazanin"/>
      <charset val="178"/>
    </font>
    <font>
      <sz val="10"/>
      <name val="B Mitra"/>
    </font>
    <font>
      <sz val="10"/>
      <color theme="1"/>
      <name val="B Mitra"/>
    </font>
    <font>
      <sz val="11"/>
      <color theme="1"/>
      <name val="B Mitra"/>
    </font>
    <font>
      <sz val="11"/>
      <color rgb="FF333333"/>
      <name val="B Mitra"/>
    </font>
    <font>
      <sz val="11"/>
      <color rgb="FF333333"/>
      <name val="Arial"/>
      <family val="2"/>
      <charset val="178"/>
      <scheme val="minor"/>
    </font>
    <font>
      <sz val="12"/>
      <color rgb="FF333333"/>
      <name val="Arial"/>
      <family val="2"/>
    </font>
    <font>
      <sz val="12"/>
      <color rgb="FF333333"/>
      <name val="Mitra"/>
      <charset val="178"/>
    </font>
    <font>
      <sz val="10"/>
      <color rgb="FF000000"/>
      <name val="B Mitra"/>
    </font>
    <font>
      <sz val="11"/>
      <name val="B Mitra"/>
    </font>
    <font>
      <sz val="10"/>
      <color theme="1"/>
      <name val="Arial"/>
      <family val="2"/>
      <charset val="178"/>
      <scheme val="minor"/>
    </font>
    <font>
      <sz val="11"/>
      <color rgb="FF333333"/>
      <name val="B Mitra"/>
      <charset val="178"/>
    </font>
    <font>
      <b/>
      <sz val="11"/>
      <color rgb="FF333333"/>
      <name val="B Mitra"/>
    </font>
    <font>
      <sz val="12"/>
      <name val="B Mitra"/>
      <charset val="178"/>
    </font>
    <font>
      <sz val="11"/>
      <color theme="1"/>
      <name val="B Mitra"/>
      <charset val="178"/>
    </font>
    <font>
      <sz val="11"/>
      <color rgb="FF000000"/>
      <name val="B Mitra"/>
    </font>
    <font>
      <b/>
      <sz val="10"/>
      <name val="B Mitra"/>
    </font>
    <font>
      <sz val="10"/>
      <name val="B Mitra"/>
      <charset val="178"/>
    </font>
    <font>
      <sz val="12"/>
      <color rgb="FF333333"/>
      <name val="B Mitra"/>
      <charset val="178"/>
    </font>
    <font>
      <sz val="10"/>
      <color rgb="FF525252"/>
      <name val="B Mitra"/>
    </font>
    <font>
      <b/>
      <sz val="11"/>
      <name val="B Mitra"/>
    </font>
    <font>
      <sz val="11"/>
      <color rgb="FF333333"/>
      <name val="Tahoma"/>
      <family val="2"/>
    </font>
    <font>
      <b/>
      <sz val="13"/>
      <color rgb="FFFFFFFF"/>
      <name val="B Nazanin"/>
      <charset val="178"/>
    </font>
    <font>
      <b/>
      <sz val="11"/>
      <color rgb="FF1F4E79"/>
      <name val="B Nazanin"/>
      <charset val="178"/>
    </font>
    <font>
      <b/>
      <sz val="11"/>
      <color rgb="FFFFFFFF"/>
      <name val="B Nazanin"/>
      <charset val="178"/>
    </font>
    <font>
      <sz val="10"/>
      <color rgb="FF333333"/>
      <name val="B Mitra"/>
    </font>
    <font>
      <b/>
      <sz val="14"/>
      <color rgb="FFFFFFFF"/>
      <name val="B Nazanin"/>
      <charset val="178"/>
    </font>
    <font>
      <b/>
      <sz val="12"/>
      <color rgb="FFFFFFFF"/>
      <name val="B Nazanin"/>
      <charset val="178"/>
    </font>
    <font>
      <i/>
      <sz val="11"/>
      <color rgb="FF666666"/>
      <name val="B Mitra"/>
    </font>
    <font>
      <sz val="11"/>
      <color rgb="FF333333"/>
      <name val="B Mitra"/>
    </font>
    <font>
      <b/>
      <sz val="11"/>
      <color rgb="FF1F4E79"/>
      <name val="B Mitra"/>
    </font>
    <font>
      <b/>
      <sz val="12"/>
      <color rgb="FFC00000"/>
      <name val="B Nazanin"/>
      <charset val="178"/>
    </font>
    <font>
      <sz val="10"/>
      <color rgb="FF1F4E79"/>
      <name val="Consolas"/>
      <family val="3"/>
    </font>
    <font>
      <b/>
      <sz val="12"/>
      <color rgb="FF000080"/>
      <name val="B Nazanin"/>
      <charset val="178"/>
    </font>
    <font>
      <i/>
      <sz val="10"/>
      <color rgb="FF888888"/>
      <name val="B Mitra"/>
    </font>
    <font>
      <sz val="11"/>
      <color rgb="FF666666"/>
      <name val="B Mitra"/>
    </font>
    <font>
      <sz val="10"/>
      <color rgb="FF555555"/>
      <name val="B Mitra"/>
    </font>
    <font>
      <i/>
      <sz val="10"/>
      <color rgb="FFC00000"/>
      <name val="B Mitra"/>
    </font>
    <font>
      <i/>
      <sz val="11"/>
      <color rgb="FF555555"/>
      <name val="B Mitra"/>
    </font>
    <font>
      <b/>
      <sz val="16"/>
      <color rgb="FFFFFFFF"/>
      <name val="B Nazanin"/>
      <charset val="178"/>
    </font>
    <font>
      <i/>
      <sz val="10"/>
      <color rgb="FF7F8C8D"/>
      <name val="B Mitra"/>
    </font>
    <font>
      <b/>
      <sz val="11"/>
      <color rgb="FF2C3E50"/>
      <name val="B Nazanin"/>
      <charset val="178"/>
    </font>
    <font>
      <b/>
      <sz val="12"/>
      <color rgb="FFC0392B"/>
      <name val="B Nazanin"/>
      <charset val="178"/>
    </font>
    <font>
      <b/>
      <sz val="14"/>
      <color rgb="FFC0392B"/>
      <name val="B Nazanin"/>
      <charset val="178"/>
    </font>
    <font>
      <sz val="11"/>
      <color rgb="FF7F8C8D"/>
      <name val="B Mitra"/>
    </font>
  </fonts>
  <fills count="41">
    <fill>
      <patternFill patternType="none"/>
    </fill>
    <fill>
      <patternFill patternType="gray125"/>
    </fill>
    <fill>
      <patternFill patternType="solid">
        <fgColor rgb="FF1F4E79"/>
        <bgColor indexed="64"/>
      </patternFill>
    </fill>
    <fill>
      <patternFill patternType="solid">
        <fgColor rgb="FFD6E4F0"/>
        <bgColor indexed="64"/>
      </patternFill>
    </fill>
    <fill>
      <patternFill patternType="solid">
        <fgColor rgb="FFFFFFFF"/>
        <bgColor indexed="64"/>
      </patternFill>
    </fill>
    <fill>
      <patternFill patternType="solid">
        <fgColor rgb="FF2E75B6"/>
        <bgColor indexed="64"/>
      </patternFill>
    </fill>
    <fill>
      <patternFill patternType="solid">
        <fgColor rgb="FFACD4E3"/>
        <bgColor indexed="64"/>
      </patternFill>
    </fill>
    <fill>
      <patternFill patternType="solid">
        <fgColor rgb="FF1F4E79"/>
      </patternFill>
    </fill>
    <fill>
      <patternFill patternType="solid">
        <fgColor rgb="FFFFF2CC"/>
      </patternFill>
    </fill>
    <fill>
      <patternFill patternType="solid">
        <fgColor rgb="FF2E75B6"/>
      </patternFill>
    </fill>
    <fill>
      <patternFill patternType="solid">
        <fgColor rgb="FFD6E4F0"/>
      </patternFill>
    </fill>
    <fill>
      <patternFill patternType="solid">
        <fgColor rgb="FFFFFFFF"/>
      </patternFill>
    </fill>
    <fill>
      <patternFill patternType="solid">
        <fgColor rgb="FFF5F5F5"/>
      </patternFill>
    </fill>
    <fill>
      <patternFill patternType="solid">
        <fgColor rgb="FFEBF1F8"/>
      </patternFill>
    </fill>
    <fill>
      <patternFill patternType="solid">
        <fgColor rgb="FFFCE4EC"/>
      </patternFill>
    </fill>
    <fill>
      <patternFill patternType="solid">
        <fgColor rgb="FFE2EFDA"/>
      </patternFill>
    </fill>
    <fill>
      <patternFill patternType="solid">
        <fgColor rgb="FF2E4057"/>
      </patternFill>
    </fill>
    <fill>
      <patternFill patternType="solid">
        <fgColor rgb="FF34495E"/>
      </patternFill>
    </fill>
    <fill>
      <patternFill patternType="solid">
        <fgColor rgb="FFE8EAF6"/>
      </patternFill>
    </fill>
    <fill>
      <patternFill patternType="solid">
        <fgColor rgb="FFE0F7FA"/>
      </patternFill>
    </fill>
    <fill>
      <patternFill patternType="solid">
        <fgColor rgb="FFFFFFCC"/>
      </patternFill>
    </fill>
    <fill>
      <patternFill patternType="solid">
        <fgColor rgb="FFE8E8E8"/>
      </patternFill>
    </fill>
    <fill>
      <patternFill patternType="solid">
        <fgColor rgb="FFF0F8FF"/>
      </patternFill>
    </fill>
    <fill>
      <patternFill patternType="solid">
        <fgColor rgb="FFC0392B"/>
      </patternFill>
    </fill>
    <fill>
      <patternFill patternType="solid">
        <fgColor rgb="FF27AE60"/>
      </patternFill>
    </fill>
    <fill>
      <patternFill patternType="solid">
        <fgColor rgb="FF2980B9"/>
      </patternFill>
    </fill>
    <fill>
      <patternFill patternType="solid">
        <fgColor rgb="FF8E44AD"/>
      </patternFill>
    </fill>
    <fill>
      <patternFill patternType="solid">
        <fgColor rgb="FFD35400"/>
      </patternFill>
    </fill>
    <fill>
      <patternFill patternType="solid">
        <fgColor rgb="FF4A86C8"/>
      </patternFill>
    </fill>
    <fill>
      <patternFill patternType="solid">
        <fgColor rgb="FFE8F5E9"/>
      </patternFill>
    </fill>
    <fill>
      <patternFill patternType="solid">
        <fgColor rgb="FFFFEBEE"/>
      </patternFill>
    </fill>
    <fill>
      <patternFill patternType="solid">
        <fgColor rgb="FFFFE0E0"/>
      </patternFill>
    </fill>
    <fill>
      <patternFill patternType="solid">
        <fgColor rgb="FF2C3E50"/>
      </patternFill>
    </fill>
    <fill>
      <patternFill patternType="solid">
        <fgColor rgb="FFFFFFF0"/>
      </patternFill>
    </fill>
    <fill>
      <patternFill patternType="solid">
        <fgColor rgb="FFFFF8E1"/>
      </patternFill>
    </fill>
    <fill>
      <patternFill patternType="solid">
        <fgColor rgb="FF922B21"/>
      </patternFill>
    </fill>
    <fill>
      <patternFill patternType="solid">
        <fgColor rgb="FF1A5276"/>
      </patternFill>
    </fill>
    <fill>
      <patternFill patternType="solid">
        <fgColor rgb="FF6C3483"/>
      </patternFill>
    </fill>
    <fill>
      <patternFill patternType="solid">
        <fgColor rgb="FFBA4A00"/>
      </patternFill>
    </fill>
    <fill>
      <patternFill patternType="solid">
        <fgColor rgb="FFF0F0F0"/>
      </patternFill>
    </fill>
    <fill>
      <patternFill patternType="solid">
        <fgColor rgb="FFFFF3E0"/>
      </patternFill>
    </fill>
  </fills>
  <borders count="58">
    <border>
      <left/>
      <right/>
      <top/>
      <bottom/>
      <diagonal/>
    </border>
    <border>
      <left style="medium">
        <color rgb="FF1F4E79"/>
      </left>
      <right/>
      <top style="medium">
        <color rgb="FF1F4E79"/>
      </top>
      <bottom/>
      <diagonal/>
    </border>
    <border>
      <left style="thin">
        <color rgb="FF2E75B6"/>
      </left>
      <right/>
      <top style="medium">
        <color rgb="FF1F4E79"/>
      </top>
      <bottom/>
      <diagonal/>
    </border>
    <border>
      <left style="thin">
        <color rgb="FF2E75B6"/>
      </left>
      <right style="medium">
        <color rgb="FF1F4E79"/>
      </right>
      <top style="medium">
        <color rgb="FF1F4E79"/>
      </top>
      <bottom/>
      <diagonal/>
    </border>
    <border>
      <left style="medium">
        <color rgb="FF1F4E79"/>
      </left>
      <right/>
      <top style="medium">
        <color rgb="FF0D3B66"/>
      </top>
      <bottom/>
      <diagonal/>
    </border>
    <border>
      <left style="thin">
        <color rgb="FF9DC3E6"/>
      </left>
      <right/>
      <top style="medium">
        <color rgb="FF0D3B66"/>
      </top>
      <bottom/>
      <diagonal/>
    </border>
    <border>
      <left style="thin">
        <color rgb="FF9DC3E6"/>
      </left>
      <right style="medium">
        <color rgb="FF1F4E79"/>
      </right>
      <top style="medium">
        <color rgb="FF0D3B66"/>
      </top>
      <bottom/>
      <diagonal/>
    </border>
    <border>
      <left/>
      <right/>
      <top style="medium">
        <color rgb="FF1F4E79"/>
      </top>
      <bottom/>
      <diagonal/>
    </border>
    <border>
      <left style="thin">
        <color rgb="FF9DC3E6"/>
      </left>
      <right/>
      <top style="medium">
        <color rgb="FF1F4E79"/>
      </top>
      <bottom/>
      <diagonal/>
    </border>
    <border>
      <left style="thin">
        <color rgb="FF9DC3E6"/>
      </left>
      <right style="thin">
        <color rgb="FF9DC3E6"/>
      </right>
      <top style="medium">
        <color rgb="FF1F4E79"/>
      </top>
      <bottom/>
      <diagonal/>
    </border>
    <border>
      <left/>
      <right/>
      <top style="medium">
        <color rgb="FF1F4E79"/>
      </top>
      <bottom style="medium">
        <color rgb="FF1F4E79"/>
      </bottom>
      <diagonal/>
    </border>
    <border>
      <left style="thin">
        <color rgb="FF9DC3E6"/>
      </left>
      <right/>
      <top style="medium">
        <color rgb="FF1F4E79"/>
      </top>
      <bottom style="medium">
        <color rgb="FF1F4E79"/>
      </bottom>
      <diagonal/>
    </border>
    <border>
      <left style="thin">
        <color rgb="FF9DC3E6"/>
      </left>
      <right style="thin">
        <color rgb="FF9DC3E6"/>
      </right>
      <top style="medium">
        <color rgb="FF1F4E79"/>
      </top>
      <bottom style="medium">
        <color rgb="FF1F4E79"/>
      </bottom>
      <diagonal/>
    </border>
    <border>
      <left style="medium">
        <color rgb="FF1F4E79"/>
      </left>
      <right style="thin">
        <color rgb="FF2E75B6"/>
      </right>
      <top style="medium">
        <color rgb="FF1F4E79"/>
      </top>
      <bottom/>
      <diagonal/>
    </border>
    <border>
      <left style="thin">
        <color rgb="FF2E75B6"/>
      </left>
      <right style="thin">
        <color rgb="FF2E75B6"/>
      </right>
      <top style="medium">
        <color rgb="FF1F4E79"/>
      </top>
      <bottom/>
      <diagonal/>
    </border>
    <border>
      <left style="thin">
        <color rgb="FF2E75B6"/>
      </left>
      <right style="thin">
        <color rgb="FF2E75B6"/>
      </right>
      <top style="medium">
        <color rgb="FF1F4E79"/>
      </top>
      <bottom style="medium">
        <color indexed="64"/>
      </bottom>
      <diagonal/>
    </border>
    <border>
      <left style="thin">
        <color rgb="FF2E75B6"/>
      </left>
      <right/>
      <top/>
      <bottom/>
      <diagonal/>
    </border>
    <border>
      <left style="medium">
        <color rgb="FF1F4E79"/>
      </left>
      <right style="thin">
        <color rgb="FF5B9BD5"/>
      </right>
      <top/>
      <bottom style="medium">
        <color rgb="FF1F4E79"/>
      </bottom>
      <diagonal/>
    </border>
    <border>
      <left style="thin">
        <color rgb="FF5B9BD5"/>
      </left>
      <right style="thin">
        <color rgb="FF5B9BD5"/>
      </right>
      <top/>
      <bottom style="medium">
        <color rgb="FF1F4E79"/>
      </bottom>
      <diagonal/>
    </border>
    <border>
      <left style="thin">
        <color rgb="FF5B9BD5"/>
      </left>
      <right/>
      <top/>
      <bottom style="medium">
        <color rgb="FF1F4E79"/>
      </bottom>
      <diagonal/>
    </border>
    <border>
      <left style="medium">
        <color rgb="FF1F4E79"/>
      </left>
      <right style="thin">
        <color rgb="FFBDD7EE"/>
      </right>
      <top/>
      <bottom style="thin">
        <color rgb="FFBDD7EE"/>
      </bottom>
      <diagonal/>
    </border>
    <border>
      <left style="thin">
        <color rgb="FFBDD7EE"/>
      </left>
      <right style="thin">
        <color rgb="FFBDD7EE"/>
      </right>
      <top/>
      <bottom style="thin">
        <color rgb="FFBDD7EE"/>
      </bottom>
      <diagonal/>
    </border>
    <border>
      <left style="thin">
        <color rgb="FFBDD7EE"/>
      </left>
      <right style="medium">
        <color rgb="FF1F4E79"/>
      </right>
      <top/>
      <bottom style="thin">
        <color rgb="FFBDD7EE"/>
      </bottom>
      <diagonal/>
    </border>
    <border>
      <left style="medium">
        <color rgb="FF1F4E79"/>
      </left>
      <right style="thin">
        <color rgb="FFBDD7EE"/>
      </right>
      <top style="thin">
        <color rgb="FFBDD7EE"/>
      </top>
      <bottom style="thin">
        <color rgb="FFBDD7EE"/>
      </bottom>
      <diagonal/>
    </border>
    <border>
      <left style="thin">
        <color rgb="FFBDD7EE"/>
      </left>
      <right style="thin">
        <color rgb="FFBDD7EE"/>
      </right>
      <top style="thin">
        <color rgb="FFBDD7EE"/>
      </top>
      <bottom style="thin">
        <color rgb="FFBDD7EE"/>
      </bottom>
      <diagonal/>
    </border>
    <border>
      <left style="thin">
        <color rgb="FFBDD7EE"/>
      </left>
      <right style="medium">
        <color rgb="FF1F4E79"/>
      </right>
      <top style="thin">
        <color rgb="FFBDD7EE"/>
      </top>
      <bottom style="thin">
        <color rgb="FFBDD7EE"/>
      </bottom>
      <diagonal/>
    </border>
    <border>
      <left/>
      <right style="thin">
        <color indexed="64"/>
      </right>
      <top style="thin">
        <color indexed="64"/>
      </top>
      <bottom style="thin">
        <color indexed="64"/>
      </bottom>
      <diagonal/>
    </border>
    <border>
      <left style="medium">
        <color rgb="FF1F4E79"/>
      </left>
      <right style="thin">
        <color rgb="FFBDD7EE"/>
      </right>
      <top style="thin">
        <color rgb="FFBDD7EE"/>
      </top>
      <bottom style="medium">
        <color rgb="FF1F4E79"/>
      </bottom>
      <diagonal/>
    </border>
    <border>
      <left style="thin">
        <color rgb="FFBDD7EE"/>
      </left>
      <right style="thin">
        <color rgb="FFBDD7EE"/>
      </right>
      <top style="thin">
        <color rgb="FFBDD7EE"/>
      </top>
      <bottom style="medium">
        <color rgb="FF1F4E79"/>
      </bottom>
      <diagonal/>
    </border>
    <border>
      <left style="thin">
        <color rgb="FFBDD7EE"/>
      </left>
      <right style="medium">
        <color rgb="FF1F4E79"/>
      </right>
      <top style="thin">
        <color rgb="FFBDD7EE"/>
      </top>
      <bottom style="medium">
        <color rgb="FF1F4E79"/>
      </bottom>
      <diagonal/>
    </border>
    <border>
      <left style="thin">
        <color indexed="64"/>
      </left>
      <right style="thin">
        <color indexed="64"/>
      </right>
      <top/>
      <bottom style="thin">
        <color indexed="64"/>
      </bottom>
      <diagonal/>
    </border>
    <border>
      <left style="thin">
        <color rgb="FF5B9BD5"/>
      </left>
      <right style="medium">
        <color rgb="FF1F4E79"/>
      </right>
      <top/>
      <bottom style="medium">
        <color rgb="FF1F4E79"/>
      </bottom>
      <diagonal/>
    </border>
    <border>
      <left style="thin">
        <color indexed="64"/>
      </left>
      <right style="thin">
        <color indexed="64"/>
      </right>
      <top style="thin">
        <color indexed="64"/>
      </top>
      <bottom style="thin">
        <color indexed="64"/>
      </bottom>
      <diagonal/>
    </border>
    <border>
      <left style="medium">
        <color rgb="FF1F4E79"/>
      </left>
      <right style="thin">
        <color rgb="FF5B9BD5"/>
      </right>
      <top style="thin">
        <color indexed="64"/>
      </top>
      <bottom style="medium">
        <color rgb="FF1F4E79"/>
      </bottom>
      <diagonal/>
    </border>
    <border>
      <left style="thin">
        <color rgb="FF5B9BD5"/>
      </left>
      <right style="thin">
        <color rgb="FF5B9BD5"/>
      </right>
      <top style="thin">
        <color indexed="64"/>
      </top>
      <bottom style="medium">
        <color rgb="FF1F4E79"/>
      </bottom>
      <diagonal/>
    </border>
    <border>
      <left style="thin">
        <color rgb="FF5B9BD5"/>
      </left>
      <right style="medium">
        <color rgb="FF1F4E79"/>
      </right>
      <top style="thin">
        <color indexed="64"/>
      </top>
      <bottom style="medium">
        <color rgb="FF1F4E79"/>
      </bottom>
      <diagonal/>
    </border>
    <border>
      <left style="thin">
        <color indexed="64"/>
      </left>
      <right/>
      <top/>
      <bottom style="thin">
        <color indexed="64"/>
      </bottom>
      <diagonal/>
    </border>
    <border>
      <left style="medium">
        <color rgb="FFDAE2E8"/>
      </left>
      <right/>
      <top/>
      <bottom/>
      <diagonal/>
    </border>
    <border>
      <left style="thin">
        <color rgb="FFB0B0B0"/>
      </left>
      <right style="thin">
        <color rgb="FFB0B0B0"/>
      </right>
      <top style="thin">
        <color rgb="FFB0B0B0"/>
      </top>
      <bottom style="thin">
        <color rgb="FFB0B0B0"/>
      </bottom>
      <diagonal/>
    </border>
    <border>
      <left/>
      <right/>
      <top style="thin">
        <color rgb="FFB0B0B0"/>
      </top>
      <bottom style="thin">
        <color rgb="FFB0B0B0"/>
      </bottom>
      <diagonal/>
    </border>
    <border>
      <left/>
      <right style="thin">
        <color rgb="FFB0B0B0"/>
      </right>
      <top style="thin">
        <color rgb="FFB0B0B0"/>
      </top>
      <bottom style="thin">
        <color rgb="FFB0B0B0"/>
      </bottom>
      <diagonal/>
    </border>
    <border>
      <left/>
      <right style="thin">
        <color rgb="FF2E75B6"/>
      </right>
      <top style="medium">
        <color rgb="FF1F4E79"/>
      </top>
      <bottom/>
      <diagonal/>
    </border>
    <border>
      <left/>
      <right/>
      <top style="medium">
        <color rgb="FF1F4E79"/>
      </top>
      <bottom style="medium">
        <color indexed="64"/>
      </bottom>
      <diagonal/>
    </border>
    <border>
      <left/>
      <right style="thin">
        <color rgb="FF2E75B6"/>
      </right>
      <top style="medium">
        <color rgb="FF1F4E79"/>
      </top>
      <bottom style="medium">
        <color indexed="64"/>
      </bottom>
      <diagonal/>
    </border>
    <border>
      <left/>
      <right style="thin">
        <color rgb="FF5B9BD5"/>
      </right>
      <top/>
      <bottom style="medium">
        <color rgb="FF1F4E79"/>
      </bottom>
      <diagonal/>
    </border>
    <border>
      <left style="thin">
        <color rgb="FFA0A0A0"/>
      </left>
      <right style="thin">
        <color rgb="FFA0A0A0"/>
      </right>
      <top style="thin">
        <color rgb="FFA0A0A0"/>
      </top>
      <bottom style="thin">
        <color rgb="FFA0A0A0"/>
      </bottom>
      <diagonal/>
    </border>
    <border>
      <left style="thin">
        <color rgb="FFA0A0A0"/>
      </left>
      <right style="thin">
        <color rgb="FFA0A0A0"/>
      </right>
      <top style="thin">
        <color rgb="FFA0A0A0"/>
      </top>
      <bottom style="medium">
        <color rgb="FF1F4E79"/>
      </bottom>
      <diagonal/>
    </border>
    <border>
      <left/>
      <right/>
      <top style="thin">
        <color rgb="FFA0A0A0"/>
      </top>
      <bottom/>
      <diagonal/>
    </border>
    <border>
      <left/>
      <right style="thin">
        <color rgb="FFA0A0A0"/>
      </right>
      <top style="thin">
        <color rgb="FFA0A0A0"/>
      </top>
      <bottom/>
      <diagonal/>
    </border>
    <border>
      <left/>
      <right/>
      <top style="thin">
        <color rgb="FFA0A0A0"/>
      </top>
      <bottom style="thin">
        <color rgb="FFA0A0A0"/>
      </bottom>
      <diagonal/>
    </border>
    <border>
      <left/>
      <right style="thin">
        <color rgb="FFA0A0A0"/>
      </right>
      <top style="thin">
        <color rgb="FFA0A0A0"/>
      </top>
      <bottom style="thin">
        <color rgb="FFA0A0A0"/>
      </bottom>
      <diagonal/>
    </border>
    <border>
      <left style="thin">
        <color rgb="FFA0A0A0"/>
      </left>
      <right/>
      <top/>
      <bottom style="thin">
        <color rgb="FFA0A0A0"/>
      </bottom>
      <diagonal/>
    </border>
    <border>
      <left/>
      <right/>
      <top/>
      <bottom style="thin">
        <color rgb="FFA0A0A0"/>
      </bottom>
      <diagonal/>
    </border>
    <border>
      <left/>
      <right style="thin">
        <color rgb="FFA0A0A0"/>
      </right>
      <top/>
      <bottom style="thin">
        <color rgb="FFA0A0A0"/>
      </bottom>
      <diagonal/>
    </border>
    <border>
      <left style="thin">
        <color rgb="FFBDC3C7"/>
      </left>
      <right style="thin">
        <color rgb="FFBDC3C7"/>
      </right>
      <top style="thin">
        <color rgb="FFBDC3C7"/>
      </top>
      <bottom style="thin">
        <color rgb="FFBDC3C7"/>
      </bottom>
      <diagonal/>
    </border>
    <border>
      <left/>
      <right style="thin">
        <color rgb="FFBDC3C7"/>
      </right>
      <top style="thin">
        <color rgb="FFBDC3C7"/>
      </top>
      <bottom style="thin">
        <color rgb="FFBDC3C7"/>
      </bottom>
      <diagonal/>
    </border>
    <border>
      <left/>
      <right/>
      <top style="thin">
        <color rgb="FFBDC3C7"/>
      </top>
      <bottom style="thin">
        <color rgb="FFBDC3C7"/>
      </bottom>
      <diagonal/>
    </border>
    <border>
      <left style="thin">
        <color rgb="FFBDC3C7"/>
      </left>
      <right style="thin">
        <color rgb="FFBDC3C7"/>
      </right>
      <top style="thin">
        <color rgb="FFBDC3C7"/>
      </top>
      <bottom style="medium">
        <color rgb="FF1F4E79"/>
      </bottom>
      <diagonal/>
    </border>
  </borders>
  <cellStyleXfs count="1">
    <xf numFmtId="0" fontId="0" fillId="0" borderId="0"/>
  </cellStyleXfs>
  <cellXfs count="323">
    <xf numFmtId="0" fontId="0" fillId="0" borderId="0" xfId="0"/>
    <xf numFmtId="0" fontId="30" fillId="9" borderId="38" xfId="0" applyFont="1" applyFill="1" applyBorder="1" applyAlignment="1">
      <alignment horizontal="center" vertical="center" wrapText="1" readingOrder="2"/>
    </xf>
    <xf numFmtId="0" fontId="7" fillId="10" borderId="38" xfId="0" applyFont="1" applyFill="1" applyBorder="1" applyAlignment="1">
      <alignment horizontal="right" vertical="center" wrapText="1" readingOrder="2"/>
    </xf>
    <xf numFmtId="0" fontId="31" fillId="10" borderId="38" xfId="0" applyFont="1" applyFill="1" applyBorder="1" applyAlignment="1">
      <alignment horizontal="center" vertical="center" wrapText="1" readingOrder="2"/>
    </xf>
    <xf numFmtId="0" fontId="7" fillId="11" borderId="38" xfId="0" applyFont="1" applyFill="1" applyBorder="1" applyAlignment="1">
      <alignment horizontal="right" vertical="center" wrapText="1" readingOrder="2"/>
    </xf>
    <xf numFmtId="0" fontId="31" fillId="11" borderId="38" xfId="0" applyFont="1" applyFill="1" applyBorder="1" applyAlignment="1">
      <alignment horizontal="center" vertical="center" wrapText="1" readingOrder="2"/>
    </xf>
    <xf numFmtId="0" fontId="28" fillId="7" borderId="38" xfId="0" applyFont="1" applyFill="1" applyBorder="1" applyAlignment="1">
      <alignment horizontal="center" vertical="center" wrapText="1" readingOrder="2"/>
    </xf>
    <xf numFmtId="0" fontId="29" fillId="0" borderId="38" xfId="0" applyFont="1" applyBorder="1" applyAlignment="1">
      <alignment horizontal="right" vertical="center" readingOrder="2"/>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2" fillId="3" borderId="4" xfId="0" applyFont="1" applyFill="1" applyBorder="1" applyAlignment="1">
      <alignment horizontal="center" vertical="top" wrapText="1"/>
    </xf>
    <xf numFmtId="165" fontId="3" fillId="3" borderId="5" xfId="0" applyNumberFormat="1" applyFont="1" applyFill="1" applyBorder="1" applyAlignment="1">
      <alignment horizontal="center" vertical="top" wrapText="1"/>
    </xf>
    <xf numFmtId="0" fontId="3" fillId="3" borderId="5" xfId="0" applyFont="1" applyFill="1" applyBorder="1" applyAlignment="1">
      <alignment vertical="top" wrapText="1"/>
    </xf>
    <xf numFmtId="0" fontId="3" fillId="3" borderId="6" xfId="0" applyFont="1" applyFill="1" applyBorder="1" applyAlignment="1">
      <alignment vertical="top" wrapText="1"/>
    </xf>
    <xf numFmtId="0" fontId="2" fillId="4" borderId="7" xfId="0" applyFont="1" applyFill="1" applyBorder="1" applyAlignment="1">
      <alignment horizontal="center" vertical="top" wrapText="1"/>
    </xf>
    <xf numFmtId="14" fontId="3" fillId="4" borderId="8" xfId="0" applyNumberFormat="1" applyFont="1" applyFill="1" applyBorder="1" applyAlignment="1">
      <alignment horizontal="center" vertical="top" wrapText="1"/>
    </xf>
    <xf numFmtId="0" fontId="3" fillId="4" borderId="8" xfId="0" applyFont="1" applyFill="1" applyBorder="1" applyAlignment="1">
      <alignment vertical="top" wrapText="1"/>
    </xf>
    <xf numFmtId="0" fontId="3" fillId="4" borderId="9" xfId="0" applyFont="1" applyFill="1" applyBorder="1" applyAlignment="1">
      <alignment vertical="top" wrapText="1"/>
    </xf>
    <xf numFmtId="0" fontId="2" fillId="3" borderId="7" xfId="0" applyFont="1" applyFill="1" applyBorder="1" applyAlignment="1">
      <alignment horizontal="center" vertical="top" wrapText="1"/>
    </xf>
    <xf numFmtId="14" fontId="3" fillId="3" borderId="8" xfId="0" applyNumberFormat="1" applyFont="1" applyFill="1" applyBorder="1" applyAlignment="1">
      <alignment horizontal="center" vertical="top" wrapText="1"/>
    </xf>
    <xf numFmtId="0" fontId="3" fillId="3" borderId="8" xfId="0" applyFont="1" applyFill="1" applyBorder="1" applyAlignment="1">
      <alignment vertical="top" wrapText="1"/>
    </xf>
    <xf numFmtId="0" fontId="3" fillId="3" borderId="9" xfId="0" applyFont="1" applyFill="1" applyBorder="1" applyAlignment="1">
      <alignment vertical="top" wrapText="1"/>
    </xf>
    <xf numFmtId="0" fontId="2" fillId="4" borderId="10" xfId="0" applyFont="1" applyFill="1" applyBorder="1" applyAlignment="1">
      <alignment horizontal="center" vertical="top" wrapText="1"/>
    </xf>
    <xf numFmtId="14" fontId="3" fillId="4" borderId="11" xfId="0" applyNumberFormat="1" applyFont="1" applyFill="1" applyBorder="1" applyAlignment="1">
      <alignment horizontal="center" vertical="top" wrapText="1"/>
    </xf>
    <xf numFmtId="0" fontId="3" fillId="4" borderId="11" xfId="0" applyFont="1" applyFill="1" applyBorder="1" applyAlignment="1">
      <alignment vertical="top" wrapText="1"/>
    </xf>
    <xf numFmtId="0" fontId="3" fillId="4" borderId="12" xfId="0" applyFont="1" applyFill="1" applyBorder="1" applyAlignment="1">
      <alignment vertical="top" wrapText="1"/>
    </xf>
    <xf numFmtId="0" fontId="4" fillId="2" borderId="13" xfId="0" applyFont="1" applyFill="1" applyBorder="1" applyAlignment="1">
      <alignment horizontal="center" vertical="center" wrapText="1" readingOrder="2"/>
    </xf>
    <xf numFmtId="0" fontId="4" fillId="2" borderId="14" xfId="0" applyFont="1" applyFill="1" applyBorder="1" applyAlignment="1">
      <alignment horizontal="center" vertical="center" wrapText="1" readingOrder="2"/>
    </xf>
    <xf numFmtId="0" fontId="5" fillId="0" borderId="16" xfId="0" applyFont="1" applyBorder="1"/>
    <xf numFmtId="3" fontId="6" fillId="5" borderId="17" xfId="0" applyNumberFormat="1" applyFont="1" applyFill="1" applyBorder="1" applyAlignment="1">
      <alignment horizontal="center" vertical="center" wrapText="1" readingOrder="2"/>
    </xf>
    <xf numFmtId="0" fontId="6" fillId="5" borderId="18" xfId="0" applyFont="1" applyFill="1" applyBorder="1" applyAlignment="1">
      <alignment horizontal="center" vertical="center" wrapText="1" readingOrder="2"/>
    </xf>
    <xf numFmtId="166" fontId="6" fillId="5" borderId="18" xfId="0" applyNumberFormat="1" applyFont="1" applyFill="1" applyBorder="1" applyAlignment="1">
      <alignment horizontal="center" vertical="center" wrapText="1" readingOrder="2"/>
    </xf>
    <xf numFmtId="0" fontId="5" fillId="0" borderId="19" xfId="0" applyFont="1" applyBorder="1"/>
    <xf numFmtId="0" fontId="7" fillId="3" borderId="20" xfId="0" applyFont="1" applyFill="1" applyBorder="1" applyAlignment="1">
      <alignment horizontal="center" vertical="center" wrapText="1" readingOrder="2"/>
    </xf>
    <xf numFmtId="0" fontId="8" fillId="3" borderId="21" xfId="0" applyFont="1" applyFill="1" applyBorder="1" applyAlignment="1">
      <alignment horizontal="right" vertical="center" wrapText="1" readingOrder="2"/>
    </xf>
    <xf numFmtId="0" fontId="9" fillId="3" borderId="21" xfId="0" applyFont="1" applyFill="1" applyBorder="1" applyAlignment="1">
      <alignment horizontal="center" vertical="center" wrapText="1" readingOrder="2"/>
    </xf>
    <xf numFmtId="3" fontId="10" fillId="3" borderId="21" xfId="0" applyNumberFormat="1" applyFont="1" applyFill="1" applyBorder="1" applyAlignment="1">
      <alignment horizontal="center" vertical="center" wrapText="1" readingOrder="2"/>
    </xf>
    <xf numFmtId="3" fontId="10" fillId="3" borderId="22" xfId="0" applyNumberFormat="1" applyFont="1" applyFill="1" applyBorder="1" applyAlignment="1">
      <alignment horizontal="center" vertical="center" wrapText="1" readingOrder="2"/>
    </xf>
    <xf numFmtId="0" fontId="11" fillId="3" borderId="0" xfId="0" applyFont="1" applyFill="1" applyAlignment="1">
      <alignment horizontal="center"/>
    </xf>
    <xf numFmtId="0" fontId="7" fillId="4" borderId="23" xfId="0" applyFont="1" applyFill="1" applyBorder="1" applyAlignment="1">
      <alignment horizontal="center" vertical="center" wrapText="1" readingOrder="2"/>
    </xf>
    <xf numFmtId="0" fontId="8" fillId="4" borderId="24" xfId="0" applyFont="1" applyFill="1" applyBorder="1" applyAlignment="1">
      <alignment horizontal="right" vertical="center" wrapText="1" readingOrder="2"/>
    </xf>
    <xf numFmtId="0" fontId="9" fillId="4" borderId="24" xfId="0" applyFont="1" applyFill="1" applyBorder="1" applyAlignment="1">
      <alignment horizontal="center" vertical="center" wrapText="1" readingOrder="2"/>
    </xf>
    <xf numFmtId="3" fontId="10" fillId="4" borderId="24" xfId="0" applyNumberFormat="1" applyFont="1" applyFill="1" applyBorder="1" applyAlignment="1">
      <alignment horizontal="center" vertical="center" wrapText="1" readingOrder="2"/>
    </xf>
    <xf numFmtId="3" fontId="10" fillId="4" borderId="25" xfId="0" applyNumberFormat="1" applyFont="1" applyFill="1" applyBorder="1" applyAlignment="1">
      <alignment horizontal="center" vertical="center" wrapText="1" readingOrder="2"/>
    </xf>
    <xf numFmtId="0" fontId="11" fillId="4" borderId="0" xfId="0" applyFont="1" applyFill="1" applyAlignment="1">
      <alignment horizontal="center"/>
    </xf>
    <xf numFmtId="0" fontId="7" fillId="3" borderId="23" xfId="0" applyFont="1" applyFill="1" applyBorder="1" applyAlignment="1">
      <alignment horizontal="center" vertical="center" wrapText="1" readingOrder="2"/>
    </xf>
    <xf numFmtId="0" fontId="8" fillId="3" borderId="24" xfId="0" applyFont="1" applyFill="1" applyBorder="1" applyAlignment="1">
      <alignment horizontal="right" vertical="center" wrapText="1" readingOrder="2"/>
    </xf>
    <xf numFmtId="0" fontId="9" fillId="3" borderId="24" xfId="0" applyFont="1" applyFill="1" applyBorder="1" applyAlignment="1">
      <alignment horizontal="center" vertical="center" wrapText="1" readingOrder="2"/>
    </xf>
    <xf numFmtId="3" fontId="10" fillId="3" borderId="24" xfId="0" applyNumberFormat="1" applyFont="1" applyFill="1" applyBorder="1" applyAlignment="1">
      <alignment horizontal="center" vertical="center" wrapText="1" readingOrder="2"/>
    </xf>
    <xf numFmtId="3" fontId="10" fillId="3" borderId="25" xfId="0" applyNumberFormat="1" applyFont="1" applyFill="1" applyBorder="1" applyAlignment="1">
      <alignment horizontal="center" vertical="center" wrapText="1" readingOrder="2"/>
    </xf>
    <xf numFmtId="0" fontId="8" fillId="3" borderId="23" xfId="0" applyFont="1" applyFill="1" applyBorder="1" applyAlignment="1">
      <alignment horizontal="center" vertical="center" wrapText="1" readingOrder="2"/>
    </xf>
    <xf numFmtId="0" fontId="8" fillId="4" borderId="23" xfId="0" applyFont="1" applyFill="1" applyBorder="1" applyAlignment="1">
      <alignment horizontal="center" vertical="center" wrapText="1" readingOrder="2"/>
    </xf>
    <xf numFmtId="0" fontId="12" fillId="3" borderId="0" xfId="0" applyFont="1" applyFill="1" applyAlignment="1">
      <alignment horizontal="center"/>
    </xf>
    <xf numFmtId="0" fontId="12" fillId="4" borderId="0" xfId="0" applyFont="1" applyFill="1" applyAlignment="1">
      <alignment horizontal="center"/>
    </xf>
    <xf numFmtId="0" fontId="13" fillId="4" borderId="26" xfId="0" applyFont="1" applyFill="1" applyBorder="1" applyAlignment="1">
      <alignment horizontal="center" vertical="center" wrapText="1"/>
    </xf>
    <xf numFmtId="0" fontId="13" fillId="3" borderId="26" xfId="0" applyFont="1" applyFill="1" applyBorder="1" applyAlignment="1">
      <alignment horizontal="center" vertical="center" wrapText="1"/>
    </xf>
    <xf numFmtId="0" fontId="14" fillId="4" borderId="24" xfId="0" applyFont="1" applyFill="1" applyBorder="1" applyAlignment="1">
      <alignment horizontal="right" vertical="center" wrapText="1" readingOrder="2"/>
    </xf>
    <xf numFmtId="0" fontId="15" fillId="4" borderId="24" xfId="0" applyFont="1" applyFill="1" applyBorder="1" applyAlignment="1">
      <alignment horizontal="center" vertical="center" wrapText="1" readingOrder="2"/>
    </xf>
    <xf numFmtId="0" fontId="14" fillId="3" borderId="24" xfId="0" applyFont="1" applyFill="1" applyBorder="1" applyAlignment="1">
      <alignment horizontal="right" vertical="center" wrapText="1" readingOrder="2"/>
    </xf>
    <xf numFmtId="0" fontId="15" fillId="3" borderId="24" xfId="0" applyFont="1" applyFill="1" applyBorder="1" applyAlignment="1">
      <alignment horizontal="center" vertical="center" wrapText="1" readingOrder="2"/>
    </xf>
    <xf numFmtId="0" fontId="7" fillId="3" borderId="27" xfId="0" applyFont="1" applyFill="1" applyBorder="1" applyAlignment="1">
      <alignment horizontal="center" vertical="center" wrapText="1" readingOrder="2"/>
    </xf>
    <xf numFmtId="0" fontId="14" fillId="3" borderId="28" xfId="0" applyFont="1" applyFill="1" applyBorder="1" applyAlignment="1">
      <alignment horizontal="right" vertical="center" wrapText="1" readingOrder="2"/>
    </xf>
    <xf numFmtId="0" fontId="15" fillId="3" borderId="28" xfId="0" applyFont="1" applyFill="1" applyBorder="1" applyAlignment="1">
      <alignment horizontal="center" vertical="center" wrapText="1" readingOrder="2"/>
    </xf>
    <xf numFmtId="3" fontId="10" fillId="3" borderId="28" xfId="0" applyNumberFormat="1" applyFont="1" applyFill="1" applyBorder="1" applyAlignment="1">
      <alignment horizontal="center" vertical="center" wrapText="1" readingOrder="2"/>
    </xf>
    <xf numFmtId="3" fontId="10" fillId="3" borderId="29" xfId="0" applyNumberFormat="1" applyFont="1" applyFill="1" applyBorder="1" applyAlignment="1">
      <alignment horizontal="center" vertical="center" wrapText="1" readingOrder="2"/>
    </xf>
    <xf numFmtId="0" fontId="16" fillId="4" borderId="0" xfId="0" applyFont="1" applyFill="1" applyAlignment="1">
      <alignment horizontal="center"/>
    </xf>
    <xf numFmtId="0" fontId="16" fillId="4" borderId="0" xfId="0" applyFont="1" applyFill="1" applyAlignment="1">
      <alignment horizontal="right"/>
    </xf>
    <xf numFmtId="0" fontId="5" fillId="4" borderId="0" xfId="0" applyFont="1" applyFill="1" applyAlignment="1">
      <alignment horizontal="center"/>
    </xf>
    <xf numFmtId="166" fontId="11" fillId="4" borderId="30" xfId="0" applyNumberFormat="1" applyFont="1" applyFill="1" applyBorder="1" applyAlignment="1">
      <alignment horizontal="center"/>
    </xf>
    <xf numFmtId="0" fontId="11" fillId="4" borderId="30" xfId="0" applyFont="1" applyFill="1" applyBorder="1" applyAlignment="1">
      <alignment horizontal="center"/>
    </xf>
    <xf numFmtId="166" fontId="17" fillId="4" borderId="30" xfId="0" applyNumberFormat="1" applyFont="1" applyFill="1" applyBorder="1" applyAlignment="1">
      <alignment horizontal="center"/>
    </xf>
    <xf numFmtId="0" fontId="4" fillId="2" borderId="3" xfId="0" applyFont="1" applyFill="1" applyBorder="1" applyAlignment="1">
      <alignment horizontal="center" vertical="center" wrapText="1" readingOrder="2"/>
    </xf>
    <xf numFmtId="0" fontId="6" fillId="5" borderId="17" xfId="0" applyFont="1" applyFill="1" applyBorder="1" applyAlignment="1">
      <alignment horizontal="center" vertical="center" wrapText="1" readingOrder="2"/>
    </xf>
    <xf numFmtId="0" fontId="6" fillId="5" borderId="31" xfId="0" applyFont="1" applyFill="1" applyBorder="1" applyAlignment="1">
      <alignment horizontal="center" vertical="center" wrapText="1" readingOrder="2"/>
    </xf>
    <xf numFmtId="0" fontId="8" fillId="3" borderId="20" xfId="0" applyFont="1" applyFill="1" applyBorder="1" applyAlignment="1">
      <alignment horizontal="center" vertical="center" wrapText="1" readingOrder="2"/>
    </xf>
    <xf numFmtId="3" fontId="18" fillId="3" borderId="21" xfId="0" applyNumberFormat="1" applyFont="1" applyFill="1" applyBorder="1" applyAlignment="1">
      <alignment horizontal="center" vertical="center" wrapText="1" readingOrder="2"/>
    </xf>
    <xf numFmtId="0" fontId="8" fillId="3" borderId="28" xfId="0" applyFont="1" applyFill="1" applyBorder="1" applyAlignment="1">
      <alignment horizontal="right" vertical="center" wrapText="1" readingOrder="2"/>
    </xf>
    <xf numFmtId="0" fontId="9" fillId="3" borderId="28" xfId="0" applyFont="1" applyFill="1" applyBorder="1" applyAlignment="1">
      <alignment horizontal="center" vertical="center" wrapText="1" readingOrder="2"/>
    </xf>
    <xf numFmtId="0" fontId="19" fillId="0" borderId="32" xfId="0" applyFont="1" applyBorder="1" applyAlignment="1">
      <alignment horizontal="center"/>
    </xf>
    <xf numFmtId="0" fontId="20" fillId="0" borderId="32" xfId="0" applyFont="1" applyBorder="1" applyAlignment="1">
      <alignment horizontal="center" wrapText="1"/>
    </xf>
    <xf numFmtId="166" fontId="4" fillId="2" borderId="14" xfId="0" applyNumberFormat="1" applyFont="1" applyFill="1" applyBorder="1" applyAlignment="1">
      <alignment horizontal="center" vertical="center" wrapText="1" readingOrder="2"/>
    </xf>
    <xf numFmtId="9" fontId="4" fillId="2" borderId="14" xfId="0" applyNumberFormat="1" applyFont="1" applyFill="1" applyBorder="1" applyAlignment="1">
      <alignment horizontal="center" vertical="center" wrapText="1" readingOrder="2"/>
    </xf>
    <xf numFmtId="9" fontId="6" fillId="5" borderId="18" xfId="0" applyNumberFormat="1" applyFont="1" applyFill="1" applyBorder="1" applyAlignment="1">
      <alignment horizontal="center" vertical="center" wrapText="1" readingOrder="2"/>
    </xf>
    <xf numFmtId="0" fontId="8" fillId="3" borderId="27" xfId="0" applyFont="1" applyFill="1" applyBorder="1" applyAlignment="1">
      <alignment horizontal="center" vertical="center" wrapText="1" readingOrder="2"/>
    </xf>
    <xf numFmtId="3" fontId="6" fillId="5" borderId="18" xfId="0" applyNumberFormat="1" applyFont="1" applyFill="1" applyBorder="1" applyAlignment="1">
      <alignment horizontal="center" vertical="center" wrapText="1" readingOrder="2"/>
    </xf>
    <xf numFmtId="1" fontId="7" fillId="3" borderId="20" xfId="0" applyNumberFormat="1" applyFont="1" applyFill="1" applyBorder="1" applyAlignment="1">
      <alignment horizontal="center" vertical="center" wrapText="1" readingOrder="2"/>
    </xf>
    <xf numFmtId="0" fontId="14" fillId="3" borderId="21" xfId="0" applyFont="1" applyFill="1" applyBorder="1" applyAlignment="1">
      <alignment horizontal="right" vertical="center" wrapText="1" readingOrder="2"/>
    </xf>
    <xf numFmtId="0" fontId="21" fillId="3" borderId="21" xfId="0" applyFont="1" applyFill="1" applyBorder="1" applyAlignment="1">
      <alignment horizontal="center" vertical="center" wrapText="1" readingOrder="2"/>
    </xf>
    <xf numFmtId="1" fontId="7" fillId="4" borderId="23" xfId="0" applyNumberFormat="1" applyFont="1" applyFill="1" applyBorder="1" applyAlignment="1">
      <alignment horizontal="center" vertical="center" wrapText="1" readingOrder="2"/>
    </xf>
    <xf numFmtId="0" fontId="21" fillId="4" borderId="24" xfId="0" applyFont="1" applyFill="1" applyBorder="1" applyAlignment="1">
      <alignment horizontal="center" vertical="center" wrapText="1" readingOrder="2"/>
    </xf>
    <xf numFmtId="1" fontId="7" fillId="3" borderId="23" xfId="0" applyNumberFormat="1" applyFont="1" applyFill="1" applyBorder="1" applyAlignment="1">
      <alignment horizontal="center" vertical="center" wrapText="1" readingOrder="2"/>
    </xf>
    <xf numFmtId="0" fontId="21" fillId="3" borderId="24" xfId="0" applyFont="1" applyFill="1" applyBorder="1" applyAlignment="1">
      <alignment horizontal="center" vertical="center" wrapText="1" readingOrder="2"/>
    </xf>
    <xf numFmtId="1" fontId="7" fillId="3" borderId="27" xfId="0" applyNumberFormat="1" applyFont="1" applyFill="1" applyBorder="1" applyAlignment="1">
      <alignment horizontal="center" vertical="center" wrapText="1" readingOrder="2"/>
    </xf>
    <xf numFmtId="166" fontId="11" fillId="4" borderId="0" xfId="0" applyNumberFormat="1" applyFont="1" applyFill="1" applyAlignment="1">
      <alignment horizontal="center"/>
    </xf>
    <xf numFmtId="0" fontId="7" fillId="3" borderId="21" xfId="0" applyFont="1" applyFill="1" applyBorder="1" applyAlignment="1">
      <alignment horizontal="right" vertical="center" wrapText="1" readingOrder="2"/>
    </xf>
    <xf numFmtId="0" fontId="7" fillId="4" borderId="24" xfId="0" applyFont="1" applyFill="1" applyBorder="1" applyAlignment="1">
      <alignment horizontal="right" vertical="center" wrapText="1" readingOrder="2"/>
    </xf>
    <xf numFmtId="0" fontId="7" fillId="3" borderId="24" xfId="0" applyFont="1" applyFill="1" applyBorder="1" applyAlignment="1">
      <alignment horizontal="right" vertical="center" wrapText="1" readingOrder="2"/>
    </xf>
    <xf numFmtId="0" fontId="7" fillId="3" borderId="28" xfId="0" applyFont="1" applyFill="1" applyBorder="1" applyAlignment="1">
      <alignment horizontal="right" vertical="center" wrapText="1" readingOrder="2"/>
    </xf>
    <xf numFmtId="0" fontId="22" fillId="3" borderId="20" xfId="0" applyFont="1" applyFill="1" applyBorder="1" applyAlignment="1">
      <alignment horizontal="center" vertical="center" wrapText="1" readingOrder="2"/>
    </xf>
    <xf numFmtId="0" fontId="15" fillId="3" borderId="21" xfId="0" applyFont="1" applyFill="1" applyBorder="1" applyAlignment="1">
      <alignment horizontal="center" vertical="center" wrapText="1" readingOrder="2"/>
    </xf>
    <xf numFmtId="167" fontId="6" fillId="5" borderId="18" xfId="0" applyNumberFormat="1" applyFont="1" applyFill="1" applyBorder="1" applyAlignment="1">
      <alignment horizontal="center" vertical="center" wrapText="1" readingOrder="2"/>
    </xf>
    <xf numFmtId="168" fontId="6" fillId="5" borderId="18" xfId="0" applyNumberFormat="1" applyFont="1" applyFill="1" applyBorder="1" applyAlignment="1">
      <alignment horizontal="center" vertical="center" wrapText="1" readingOrder="2"/>
    </xf>
    <xf numFmtId="0" fontId="6" fillId="5" borderId="33" xfId="0" applyFont="1" applyFill="1" applyBorder="1" applyAlignment="1">
      <alignment horizontal="center" vertical="center" wrapText="1" readingOrder="2"/>
    </xf>
    <xf numFmtId="0" fontId="6" fillId="5" borderId="34" xfId="0" applyFont="1" applyFill="1" applyBorder="1" applyAlignment="1">
      <alignment horizontal="center" vertical="center" wrapText="1" readingOrder="2"/>
    </xf>
    <xf numFmtId="43" fontId="6" fillId="5" borderId="34" xfId="0" applyNumberFormat="1" applyFont="1" applyFill="1" applyBorder="1" applyAlignment="1">
      <alignment horizontal="center" vertical="center" wrapText="1" readingOrder="2"/>
    </xf>
    <xf numFmtId="166" fontId="6" fillId="5" borderId="34" xfId="0" applyNumberFormat="1" applyFont="1" applyFill="1" applyBorder="1" applyAlignment="1">
      <alignment horizontal="center" vertical="center" wrapText="1" readingOrder="2"/>
    </xf>
    <xf numFmtId="0" fontId="6" fillId="5" borderId="35" xfId="0" applyFont="1" applyFill="1" applyBorder="1" applyAlignment="1">
      <alignment horizontal="center" vertical="center" wrapText="1" readingOrder="2"/>
    </xf>
    <xf numFmtId="0" fontId="19" fillId="0" borderId="0" xfId="0" applyFont="1"/>
    <xf numFmtId="0" fontId="23" fillId="4" borderId="30" xfId="0" applyFont="1" applyFill="1" applyBorder="1" applyAlignment="1">
      <alignment horizontal="center"/>
    </xf>
    <xf numFmtId="0" fontId="23" fillId="4" borderId="30" xfId="0" applyFont="1" applyFill="1" applyBorder="1" applyAlignment="1">
      <alignment horizontal="right"/>
    </xf>
    <xf numFmtId="0" fontId="19" fillId="4" borderId="30" xfId="0" applyFont="1" applyFill="1" applyBorder="1" applyAlignment="1">
      <alignment horizontal="center"/>
    </xf>
    <xf numFmtId="0" fontId="24" fillId="4" borderId="30" xfId="0" applyFont="1" applyFill="1" applyBorder="1" applyAlignment="1">
      <alignment horizontal="center"/>
    </xf>
    <xf numFmtId="0" fontId="24" fillId="4" borderId="36" xfId="0" applyFont="1" applyFill="1" applyBorder="1" applyAlignment="1">
      <alignment horizontal="center"/>
    </xf>
    <xf numFmtId="43" fontId="6" fillId="5" borderId="18" xfId="0" applyNumberFormat="1" applyFont="1" applyFill="1" applyBorder="1" applyAlignment="1">
      <alignment horizontal="center" vertical="center" wrapText="1" readingOrder="2"/>
    </xf>
    <xf numFmtId="0" fontId="8" fillId="4" borderId="24" xfId="0" applyFont="1" applyFill="1" applyBorder="1" applyAlignment="1">
      <alignment horizontal="right" vertical="center" wrapText="1" indent="1" readingOrder="2"/>
    </xf>
    <xf numFmtId="0" fontId="8" fillId="3" borderId="24" xfId="0" applyFont="1" applyFill="1" applyBorder="1" applyAlignment="1">
      <alignment horizontal="right" vertical="center" wrapText="1" indent="1" readingOrder="2"/>
    </xf>
    <xf numFmtId="169" fontId="19" fillId="0" borderId="0" xfId="0" applyNumberFormat="1" applyFont="1"/>
    <xf numFmtId="0" fontId="25" fillId="4" borderId="23" xfId="0" applyFont="1" applyFill="1" applyBorder="1" applyAlignment="1">
      <alignment horizontal="center" vertical="center" wrapText="1" indent="1" readingOrder="2"/>
    </xf>
    <xf numFmtId="0" fontId="8" fillId="4" borderId="27" xfId="0" applyFont="1" applyFill="1" applyBorder="1" applyAlignment="1">
      <alignment horizontal="center" vertical="center" wrapText="1" readingOrder="2"/>
    </xf>
    <xf numFmtId="0" fontId="8" fillId="4" borderId="28" xfId="0" applyFont="1" applyFill="1" applyBorder="1" applyAlignment="1">
      <alignment horizontal="right" vertical="center" wrapText="1" readingOrder="2"/>
    </xf>
    <xf numFmtId="0" fontId="9" fillId="4" borderId="28" xfId="0" applyFont="1" applyFill="1" applyBorder="1" applyAlignment="1">
      <alignment horizontal="center" vertical="center" wrapText="1" readingOrder="2"/>
    </xf>
    <xf numFmtId="3" fontId="10" fillId="4" borderId="28" xfId="0" applyNumberFormat="1" applyFont="1" applyFill="1" applyBorder="1" applyAlignment="1">
      <alignment horizontal="center" vertical="center" wrapText="1" readingOrder="2"/>
    </xf>
    <xf numFmtId="3" fontId="10" fillId="4" borderId="29" xfId="0" applyNumberFormat="1" applyFont="1" applyFill="1" applyBorder="1" applyAlignment="1">
      <alignment horizontal="center" vertical="center" wrapText="1" readingOrder="2"/>
    </xf>
    <xf numFmtId="43" fontId="4" fillId="2" borderId="14" xfId="0" applyNumberFormat="1" applyFont="1" applyFill="1" applyBorder="1" applyAlignment="1">
      <alignment horizontal="center" vertical="center" wrapText="1" readingOrder="2"/>
    </xf>
    <xf numFmtId="170" fontId="4" fillId="2" borderId="14" xfId="0" applyNumberFormat="1" applyFont="1" applyFill="1" applyBorder="1" applyAlignment="1">
      <alignment horizontal="center" vertical="center" wrapText="1" readingOrder="2"/>
    </xf>
    <xf numFmtId="170" fontId="6" fillId="5" borderId="18" xfId="0" applyNumberFormat="1" applyFont="1" applyFill="1" applyBorder="1" applyAlignment="1">
      <alignment horizontal="center" vertical="center" wrapText="1" readingOrder="2"/>
    </xf>
    <xf numFmtId="0" fontId="7" fillId="4" borderId="27" xfId="0" applyFont="1" applyFill="1" applyBorder="1" applyAlignment="1">
      <alignment horizontal="center" vertical="center" wrapText="1" readingOrder="2"/>
    </xf>
    <xf numFmtId="0" fontId="7" fillId="4" borderId="28" xfId="0" applyFont="1" applyFill="1" applyBorder="1" applyAlignment="1">
      <alignment horizontal="right" vertical="center" wrapText="1" readingOrder="2"/>
    </xf>
    <xf numFmtId="166" fontId="14" fillId="3" borderId="21" xfId="0" applyNumberFormat="1" applyFont="1" applyFill="1" applyBorder="1" applyAlignment="1">
      <alignment horizontal="right" vertical="center" wrapText="1" readingOrder="2"/>
    </xf>
    <xf numFmtId="166" fontId="21" fillId="3" borderId="21" xfId="0" applyNumberFormat="1" applyFont="1" applyFill="1" applyBorder="1" applyAlignment="1">
      <alignment horizontal="center" vertical="center" wrapText="1" readingOrder="2"/>
    </xf>
    <xf numFmtId="166" fontId="14" fillId="4" borderId="24" xfId="0" applyNumberFormat="1" applyFont="1" applyFill="1" applyBorder="1" applyAlignment="1">
      <alignment horizontal="right" vertical="center" wrapText="1" readingOrder="2"/>
    </xf>
    <xf numFmtId="166" fontId="21" fillId="4" borderId="24" xfId="0" applyNumberFormat="1" applyFont="1" applyFill="1" applyBorder="1" applyAlignment="1">
      <alignment horizontal="center" vertical="center" wrapText="1" readingOrder="2"/>
    </xf>
    <xf numFmtId="166" fontId="14" fillId="3" borderId="24" xfId="0" applyNumberFormat="1" applyFont="1" applyFill="1" applyBorder="1" applyAlignment="1">
      <alignment horizontal="right" vertical="center" wrapText="1" readingOrder="2"/>
    </xf>
    <xf numFmtId="166" fontId="21" fillId="3" borderId="24" xfId="0" applyNumberFormat="1" applyFont="1" applyFill="1" applyBorder="1" applyAlignment="1">
      <alignment horizontal="center" vertical="center" wrapText="1" readingOrder="2"/>
    </xf>
    <xf numFmtId="166" fontId="14" fillId="4" borderId="28" xfId="0" applyNumberFormat="1" applyFont="1" applyFill="1" applyBorder="1" applyAlignment="1">
      <alignment horizontal="right" vertical="center" wrapText="1" readingOrder="2"/>
    </xf>
    <xf numFmtId="166" fontId="21" fillId="4" borderId="28" xfId="0" applyNumberFormat="1" applyFont="1" applyFill="1" applyBorder="1" applyAlignment="1">
      <alignment horizontal="center" vertical="center" wrapText="1" readingOrder="2"/>
    </xf>
    <xf numFmtId="0" fontId="22" fillId="4" borderId="24" xfId="0" applyFont="1" applyFill="1" applyBorder="1" applyAlignment="1">
      <alignment horizontal="right" vertical="center" wrapText="1" readingOrder="2"/>
    </xf>
    <xf numFmtId="0" fontId="26" fillId="4" borderId="24" xfId="0" applyFont="1" applyFill="1" applyBorder="1" applyAlignment="1">
      <alignment horizontal="center" vertical="center" wrapText="1" readingOrder="2"/>
    </xf>
    <xf numFmtId="3" fontId="18" fillId="4" borderId="24" xfId="0" applyNumberFormat="1" applyFont="1" applyFill="1" applyBorder="1" applyAlignment="1">
      <alignment horizontal="center" vertical="center" wrapText="1" readingOrder="2"/>
    </xf>
    <xf numFmtId="0" fontId="15" fillId="4" borderId="28" xfId="0" applyFont="1" applyFill="1" applyBorder="1" applyAlignment="1">
      <alignment horizontal="center" vertical="center" wrapText="1" readingOrder="2"/>
    </xf>
    <xf numFmtId="171" fontId="6" fillId="5" borderId="31" xfId="0" applyNumberFormat="1" applyFont="1" applyFill="1" applyBorder="1" applyAlignment="1">
      <alignment horizontal="center" vertical="center" wrapText="1" readingOrder="2"/>
    </xf>
    <xf numFmtId="43" fontId="6" fillId="5" borderId="31" xfId="0" applyNumberFormat="1" applyFont="1" applyFill="1" applyBorder="1" applyAlignment="1">
      <alignment horizontal="center" vertical="center" wrapText="1" readingOrder="2"/>
    </xf>
    <xf numFmtId="0" fontId="27" fillId="0" borderId="0" xfId="0" applyFont="1"/>
    <xf numFmtId="4" fontId="27" fillId="6" borderId="37" xfId="0" applyNumberFormat="1" applyFont="1" applyFill="1" applyBorder="1" applyAlignment="1">
      <alignment horizontal="right" vertical="center" wrapText="1"/>
    </xf>
    <xf numFmtId="0" fontId="33" fillId="9" borderId="38" xfId="0" applyFont="1" applyFill="1" applyBorder="1" applyAlignment="1">
      <alignment horizontal="center" vertical="center" wrapText="1" readingOrder="2"/>
    </xf>
    <xf numFmtId="0" fontId="15" fillId="0" borderId="38" xfId="0" applyFont="1" applyBorder="1"/>
    <xf numFmtId="0" fontId="29" fillId="8" borderId="38" xfId="0" applyFont="1" applyFill="1" applyBorder="1" applyAlignment="1">
      <alignment horizontal="center" vertical="center" readingOrder="2"/>
    </xf>
    <xf numFmtId="0" fontId="15" fillId="10" borderId="38" xfId="0" applyFont="1" applyFill="1" applyBorder="1" applyAlignment="1">
      <alignment horizontal="center" vertical="center" wrapText="1" readingOrder="2"/>
    </xf>
    <xf numFmtId="0" fontId="15" fillId="10" borderId="38" xfId="0" applyFont="1" applyFill="1" applyBorder="1" applyAlignment="1">
      <alignment horizontal="right" vertical="center" wrapText="1" readingOrder="2"/>
    </xf>
    <xf numFmtId="0" fontId="35" fillId="10" borderId="38" xfId="0" applyFont="1" applyFill="1" applyBorder="1" applyAlignment="1">
      <alignment horizontal="center" vertical="center" wrapText="1" readingOrder="2"/>
    </xf>
    <xf numFmtId="4" fontId="35" fillId="10" borderId="38" xfId="0" applyNumberFormat="1" applyFont="1" applyFill="1" applyBorder="1" applyAlignment="1">
      <alignment horizontal="center" vertical="center" wrapText="1" readingOrder="2"/>
    </xf>
    <xf numFmtId="164" fontId="35" fillId="10" borderId="38" xfId="0" applyNumberFormat="1" applyFont="1" applyFill="1" applyBorder="1" applyAlignment="1">
      <alignment horizontal="center" vertical="center" wrapText="1" readingOrder="2"/>
    </xf>
    <xf numFmtId="0" fontId="15" fillId="11" borderId="38" xfId="0" applyFont="1" applyFill="1" applyBorder="1" applyAlignment="1">
      <alignment horizontal="center" vertical="center" wrapText="1" readingOrder="2"/>
    </xf>
    <xf numFmtId="0" fontId="15" fillId="11" borderId="38" xfId="0" applyFont="1" applyFill="1" applyBorder="1" applyAlignment="1">
      <alignment horizontal="right" vertical="center" wrapText="1" readingOrder="2"/>
    </xf>
    <xf numFmtId="0" fontId="35" fillId="11" borderId="38" xfId="0" applyFont="1" applyFill="1" applyBorder="1" applyAlignment="1">
      <alignment horizontal="center" vertical="center" wrapText="1" readingOrder="2"/>
    </xf>
    <xf numFmtId="4" fontId="35" fillId="11" borderId="38" xfId="0" applyNumberFormat="1" applyFont="1" applyFill="1" applyBorder="1" applyAlignment="1">
      <alignment horizontal="center" vertical="center" wrapText="1" readingOrder="2"/>
    </xf>
    <xf numFmtId="164" fontId="35" fillId="11" borderId="38" xfId="0" applyNumberFormat="1" applyFont="1" applyFill="1" applyBorder="1" applyAlignment="1">
      <alignment horizontal="center" vertical="center" wrapText="1" readingOrder="2"/>
    </xf>
    <xf numFmtId="0" fontId="33" fillId="9" borderId="45" xfId="0" applyFont="1" applyFill="1" applyBorder="1" applyAlignment="1">
      <alignment horizontal="center" vertical="center" wrapText="1" readingOrder="2"/>
    </xf>
    <xf numFmtId="0" fontId="33" fillId="9" borderId="46" xfId="0" applyFont="1" applyFill="1" applyBorder="1" applyAlignment="1">
      <alignment horizontal="center" vertical="center" wrapText="1" readingOrder="2"/>
    </xf>
    <xf numFmtId="0" fontId="35" fillId="13" borderId="45" xfId="0" applyFont="1" applyFill="1" applyBorder="1" applyAlignment="1">
      <alignment horizontal="center" vertical="center" wrapText="1" readingOrder="2"/>
    </xf>
    <xf numFmtId="0" fontId="29" fillId="10" borderId="45" xfId="0" applyFont="1" applyFill="1" applyBorder="1" applyAlignment="1">
      <alignment horizontal="right" vertical="center" wrapText="1" readingOrder="2"/>
    </xf>
    <xf numFmtId="0" fontId="36" fillId="13" borderId="45" xfId="0" applyFont="1" applyFill="1" applyBorder="1" applyAlignment="1">
      <alignment horizontal="right" vertical="center" wrapText="1" readingOrder="2"/>
    </xf>
    <xf numFmtId="0" fontId="36" fillId="13" borderId="45" xfId="0" applyFont="1" applyFill="1" applyBorder="1" applyAlignment="1">
      <alignment horizontal="center" vertical="center" wrapText="1" readingOrder="2"/>
    </xf>
    <xf numFmtId="0" fontId="35" fillId="13" borderId="45" xfId="0" applyFont="1" applyFill="1" applyBorder="1" applyAlignment="1">
      <alignment horizontal="right" vertical="center" wrapText="1" readingOrder="2"/>
    </xf>
    <xf numFmtId="0" fontId="35" fillId="11" borderId="45" xfId="0" applyFont="1" applyFill="1" applyBorder="1" applyAlignment="1">
      <alignment horizontal="center" vertical="center" wrapText="1" readingOrder="2"/>
    </xf>
    <xf numFmtId="0" fontId="36" fillId="11" borderId="45" xfId="0" applyFont="1" applyFill="1" applyBorder="1" applyAlignment="1">
      <alignment horizontal="right" vertical="center" wrapText="1" readingOrder="2"/>
    </xf>
    <xf numFmtId="0" fontId="36" fillId="11" borderId="45" xfId="0" applyFont="1" applyFill="1" applyBorder="1" applyAlignment="1">
      <alignment horizontal="center" vertical="center" wrapText="1" readingOrder="2"/>
    </xf>
    <xf numFmtId="0" fontId="35" fillId="11" borderId="45" xfId="0" applyFont="1" applyFill="1" applyBorder="1" applyAlignment="1">
      <alignment horizontal="right" vertical="center" wrapText="1" readingOrder="2"/>
    </xf>
    <xf numFmtId="0" fontId="30" fillId="8" borderId="45" xfId="0" applyFont="1" applyFill="1" applyBorder="1" applyAlignment="1">
      <alignment horizontal="center" vertical="center" wrapText="1" readingOrder="2"/>
    </xf>
    <xf numFmtId="0" fontId="30" fillId="15" borderId="45" xfId="0" applyFont="1" applyFill="1" applyBorder="1" applyAlignment="1">
      <alignment horizontal="center" vertical="center" wrapText="1" readingOrder="2"/>
    </xf>
    <xf numFmtId="3" fontId="35" fillId="13" borderId="45" xfId="0" applyNumberFormat="1" applyFont="1" applyFill="1" applyBorder="1" applyAlignment="1">
      <alignment horizontal="center" vertical="center" wrapText="1" readingOrder="2"/>
    </xf>
    <xf numFmtId="173" fontId="37" fillId="8" borderId="45" xfId="0" applyNumberFormat="1" applyFont="1" applyFill="1" applyBorder="1" applyAlignment="1">
      <alignment horizontal="center" vertical="center" wrapText="1" readingOrder="2"/>
    </xf>
    <xf numFmtId="173" fontId="36" fillId="13" borderId="45" xfId="0" applyNumberFormat="1" applyFont="1" applyFill="1" applyBorder="1" applyAlignment="1">
      <alignment horizontal="center" vertical="center" wrapText="1" readingOrder="2"/>
    </xf>
    <xf numFmtId="2" fontId="36" fillId="15" borderId="45" xfId="0" applyNumberFormat="1" applyFont="1" applyFill="1" applyBorder="1" applyAlignment="1">
      <alignment horizontal="center" vertical="center" wrapText="1" readingOrder="2"/>
    </xf>
    <xf numFmtId="0" fontId="38" fillId="13" borderId="45" xfId="0" applyFont="1" applyFill="1" applyBorder="1" applyAlignment="1">
      <alignment horizontal="center" vertical="center" wrapText="1" readingOrder="2"/>
    </xf>
    <xf numFmtId="3" fontId="35" fillId="11" borderId="45" xfId="0" applyNumberFormat="1" applyFont="1" applyFill="1" applyBorder="1" applyAlignment="1">
      <alignment horizontal="center" vertical="center" wrapText="1" readingOrder="2"/>
    </xf>
    <xf numFmtId="173" fontId="36" fillId="11" borderId="45" xfId="0" applyNumberFormat="1" applyFont="1" applyFill="1" applyBorder="1" applyAlignment="1">
      <alignment horizontal="center" vertical="center" wrapText="1" readingOrder="2"/>
    </xf>
    <xf numFmtId="0" fontId="38" fillId="11" borderId="45" xfId="0" applyFont="1" applyFill="1" applyBorder="1" applyAlignment="1">
      <alignment horizontal="center" vertical="center" wrapText="1" readingOrder="2"/>
    </xf>
    <xf numFmtId="2" fontId="36" fillId="14" borderId="45" xfId="0" applyNumberFormat="1" applyFont="1" applyFill="1" applyBorder="1" applyAlignment="1">
      <alignment horizontal="center" vertical="center" wrapText="1" readingOrder="2"/>
    </xf>
    <xf numFmtId="174" fontId="36" fillId="13" borderId="45" xfId="0" applyNumberFormat="1" applyFont="1" applyFill="1" applyBorder="1" applyAlignment="1">
      <alignment horizontal="center" vertical="center" wrapText="1" readingOrder="2"/>
    </xf>
    <xf numFmtId="173" fontId="35" fillId="13" borderId="45" xfId="0" applyNumberFormat="1" applyFont="1" applyFill="1" applyBorder="1" applyAlignment="1">
      <alignment horizontal="center" vertical="center" wrapText="1" readingOrder="2"/>
    </xf>
    <xf numFmtId="172" fontId="35" fillId="8" borderId="45" xfId="0" applyNumberFormat="1" applyFont="1" applyFill="1" applyBorder="1" applyAlignment="1">
      <alignment horizontal="center" vertical="center" wrapText="1" readingOrder="2"/>
    </xf>
    <xf numFmtId="174" fontId="36" fillId="11" borderId="45" xfId="0" applyNumberFormat="1" applyFont="1" applyFill="1" applyBorder="1" applyAlignment="1">
      <alignment horizontal="center" vertical="center" wrapText="1" readingOrder="2"/>
    </xf>
    <xf numFmtId="173" fontId="35" fillId="11" borderId="45" xfId="0" applyNumberFormat="1" applyFont="1" applyFill="1" applyBorder="1" applyAlignment="1">
      <alignment horizontal="center" vertical="center" wrapText="1" readingOrder="2"/>
    </xf>
    <xf numFmtId="172" fontId="35" fillId="15" borderId="45" xfId="0" applyNumberFormat="1" applyFont="1" applyFill="1" applyBorder="1" applyAlignment="1">
      <alignment horizontal="center" vertical="center" wrapText="1" readingOrder="2"/>
    </xf>
    <xf numFmtId="172" fontId="35" fillId="14" borderId="45" xfId="0" applyNumberFormat="1" applyFont="1" applyFill="1" applyBorder="1" applyAlignment="1">
      <alignment horizontal="center" vertical="center" wrapText="1" readingOrder="2"/>
    </xf>
    <xf numFmtId="0" fontId="35" fillId="18" borderId="45" xfId="0" applyFont="1" applyFill="1" applyBorder="1" applyAlignment="1">
      <alignment horizontal="center" vertical="center" wrapText="1" readingOrder="2"/>
    </xf>
    <xf numFmtId="172" fontId="37" fillId="8" borderId="45" xfId="0" applyNumberFormat="1" applyFont="1" applyFill="1" applyBorder="1" applyAlignment="1">
      <alignment horizontal="center" vertical="center" wrapText="1" readingOrder="2"/>
    </xf>
    <xf numFmtId="173" fontId="35" fillId="8" borderId="45" xfId="0" applyNumberFormat="1" applyFont="1" applyFill="1" applyBorder="1" applyAlignment="1">
      <alignment horizontal="center" vertical="center" wrapText="1" readingOrder="2"/>
    </xf>
    <xf numFmtId="173" fontId="35" fillId="15" borderId="45" xfId="0" applyNumberFormat="1" applyFont="1" applyFill="1" applyBorder="1" applyAlignment="1">
      <alignment horizontal="center" vertical="center" wrapText="1" readingOrder="2"/>
    </xf>
    <xf numFmtId="173" fontId="35" fillId="14" borderId="45" xfId="0" applyNumberFormat="1" applyFont="1" applyFill="1" applyBorder="1" applyAlignment="1">
      <alignment horizontal="center" vertical="center" wrapText="1" readingOrder="2"/>
    </xf>
    <xf numFmtId="0" fontId="39" fillId="20" borderId="45" xfId="0" applyFont="1" applyFill="1" applyBorder="1" applyAlignment="1">
      <alignment horizontal="center" vertical="center" wrapText="1" readingOrder="2"/>
    </xf>
    <xf numFmtId="9" fontId="39" fillId="20" borderId="45" xfId="0" applyNumberFormat="1" applyFont="1" applyFill="1" applyBorder="1" applyAlignment="1">
      <alignment horizontal="center" vertical="center" wrapText="1" readingOrder="2"/>
    </xf>
    <xf numFmtId="3" fontId="39" fillId="20" borderId="45" xfId="0" applyNumberFormat="1" applyFont="1" applyFill="1" applyBorder="1" applyAlignment="1">
      <alignment horizontal="center" vertical="center" wrapText="1" readingOrder="2"/>
    </xf>
    <xf numFmtId="0" fontId="33" fillId="23" borderId="45" xfId="0" applyFont="1" applyFill="1" applyBorder="1" applyAlignment="1">
      <alignment horizontal="center" vertical="center" wrapText="1" readingOrder="2"/>
    </xf>
    <xf numFmtId="0" fontId="33" fillId="24" borderId="45" xfId="0" applyFont="1" applyFill="1" applyBorder="1" applyAlignment="1">
      <alignment horizontal="center" vertical="center" wrapText="1" readingOrder="2"/>
    </xf>
    <xf numFmtId="0" fontId="30" fillId="28" borderId="46" xfId="0" applyFont="1" applyFill="1" applyBorder="1" applyAlignment="1">
      <alignment horizontal="center" vertical="center" wrapText="1" readingOrder="2"/>
    </xf>
    <xf numFmtId="9" fontId="41" fillId="15" borderId="45" xfId="0" applyNumberFormat="1" applyFont="1" applyFill="1" applyBorder="1" applyAlignment="1">
      <alignment horizontal="center" vertical="center" wrapText="1" readingOrder="2"/>
    </xf>
    <xf numFmtId="174" fontId="41" fillId="21" borderId="45" xfId="0" applyNumberFormat="1" applyFont="1" applyFill="1" applyBorder="1" applyAlignment="1">
      <alignment horizontal="center" vertical="center" wrapText="1" readingOrder="2"/>
    </xf>
    <xf numFmtId="173" fontId="36" fillId="29" borderId="45" xfId="0" applyNumberFormat="1" applyFont="1" applyFill="1" applyBorder="1" applyAlignment="1">
      <alignment horizontal="center" vertical="center" wrapText="1" readingOrder="2"/>
    </xf>
    <xf numFmtId="173" fontId="36" fillId="30" borderId="45" xfId="0" applyNumberFormat="1" applyFont="1" applyFill="1" applyBorder="1" applyAlignment="1">
      <alignment horizontal="center" vertical="center" wrapText="1" readingOrder="2"/>
    </xf>
    <xf numFmtId="173" fontId="36" fillId="15" borderId="45" xfId="0" applyNumberFormat="1" applyFont="1" applyFill="1" applyBorder="1" applyAlignment="1">
      <alignment horizontal="center" vertical="center" wrapText="1" readingOrder="2"/>
    </xf>
    <xf numFmtId="164" fontId="35" fillId="13" borderId="45" xfId="0" applyNumberFormat="1" applyFont="1" applyFill="1" applyBorder="1" applyAlignment="1">
      <alignment horizontal="center" vertical="center" wrapText="1" readingOrder="2"/>
    </xf>
    <xf numFmtId="164" fontId="35" fillId="11" borderId="45" xfId="0" applyNumberFormat="1" applyFont="1" applyFill="1" applyBorder="1" applyAlignment="1">
      <alignment horizontal="center" vertical="center" wrapText="1" readingOrder="2"/>
    </xf>
    <xf numFmtId="164" fontId="36" fillId="14" borderId="45" xfId="0" applyNumberFormat="1" applyFont="1" applyFill="1" applyBorder="1" applyAlignment="1">
      <alignment horizontal="center" vertical="center" wrapText="1" readingOrder="2"/>
    </xf>
    <xf numFmtId="174" fontId="35" fillId="13" borderId="45" xfId="0" applyNumberFormat="1" applyFont="1" applyFill="1" applyBorder="1" applyAlignment="1">
      <alignment horizontal="center" vertical="center" wrapText="1" readingOrder="2"/>
    </xf>
    <xf numFmtId="164" fontId="36" fillId="8" borderId="45" xfId="0" applyNumberFormat="1" applyFont="1" applyFill="1" applyBorder="1" applyAlignment="1">
      <alignment horizontal="center" vertical="center" wrapText="1" readingOrder="2"/>
    </xf>
    <xf numFmtId="174" fontId="35" fillId="11" borderId="45" xfId="0" applyNumberFormat="1" applyFont="1" applyFill="1" applyBorder="1" applyAlignment="1">
      <alignment horizontal="center" vertical="center" wrapText="1" readingOrder="2"/>
    </xf>
    <xf numFmtId="164" fontId="36" fillId="15" borderId="45" xfId="0" applyNumberFormat="1" applyFont="1" applyFill="1" applyBorder="1" applyAlignment="1">
      <alignment horizontal="center" vertical="center" wrapText="1" readingOrder="2"/>
    </xf>
    <xf numFmtId="164" fontId="37" fillId="8" borderId="45" xfId="0" applyNumberFormat="1" applyFont="1" applyFill="1" applyBorder="1" applyAlignment="1">
      <alignment horizontal="center" vertical="center" wrapText="1" readingOrder="2"/>
    </xf>
    <xf numFmtId="0" fontId="39" fillId="33" borderId="54" xfId="0" applyFont="1" applyFill="1" applyBorder="1" applyAlignment="1">
      <alignment horizontal="center" vertical="center" wrapText="1" readingOrder="2"/>
    </xf>
    <xf numFmtId="0" fontId="35" fillId="12" borderId="54" xfId="0" applyFont="1" applyFill="1" applyBorder="1" applyAlignment="1">
      <alignment horizontal="center" vertical="center" wrapText="1" readingOrder="2"/>
    </xf>
    <xf numFmtId="0" fontId="36" fillId="11" borderId="54" xfId="0" applyFont="1" applyFill="1" applyBorder="1" applyAlignment="1">
      <alignment horizontal="center" vertical="center" wrapText="1" readingOrder="2"/>
    </xf>
    <xf numFmtId="3" fontId="39" fillId="33" borderId="54" xfId="0" applyNumberFormat="1" applyFont="1" applyFill="1" applyBorder="1" applyAlignment="1">
      <alignment horizontal="center" vertical="center" wrapText="1" readingOrder="2"/>
    </xf>
    <xf numFmtId="173" fontId="49" fillId="34" borderId="54" xfId="0" applyNumberFormat="1" applyFont="1" applyFill="1" applyBorder="1" applyAlignment="1">
      <alignment horizontal="center" vertical="center" wrapText="1" readingOrder="2"/>
    </xf>
    <xf numFmtId="9" fontId="39" fillId="33" borderId="54" xfId="0" applyNumberFormat="1" applyFont="1" applyFill="1" applyBorder="1" applyAlignment="1">
      <alignment horizontal="center" vertical="center" wrapText="1" readingOrder="2"/>
    </xf>
    <xf numFmtId="173" fontId="48" fillId="34" borderId="54" xfId="0" applyNumberFormat="1" applyFont="1" applyFill="1" applyBorder="1" applyAlignment="1">
      <alignment horizontal="center" vertical="center" wrapText="1" readingOrder="2"/>
    </xf>
    <xf numFmtId="173" fontId="36" fillId="11" borderId="54" xfId="0" applyNumberFormat="1" applyFont="1" applyFill="1" applyBorder="1" applyAlignment="1">
      <alignment horizontal="center" vertical="center" wrapText="1" readingOrder="2"/>
    </xf>
    <xf numFmtId="0" fontId="35" fillId="11" borderId="54" xfId="0" applyFont="1" applyFill="1" applyBorder="1" applyAlignment="1">
      <alignment horizontal="center" vertical="center" wrapText="1" readingOrder="2"/>
    </xf>
    <xf numFmtId="0" fontId="28" fillId="35" borderId="54" xfId="0" applyFont="1" applyFill="1" applyBorder="1" applyAlignment="1">
      <alignment horizontal="center" vertical="center" wrapText="1" readingOrder="2"/>
    </xf>
    <xf numFmtId="0" fontId="30" fillId="9" borderId="57" xfId="0" applyFont="1" applyFill="1" applyBorder="1" applyAlignment="1">
      <alignment horizontal="center" vertical="center" wrapText="1" readingOrder="2"/>
    </xf>
    <xf numFmtId="0" fontId="35" fillId="13" borderId="54" xfId="0" applyFont="1" applyFill="1" applyBorder="1" applyAlignment="1">
      <alignment horizontal="center" vertical="center" wrapText="1" readingOrder="2"/>
    </xf>
    <xf numFmtId="0" fontId="36" fillId="13" borderId="54" xfId="0" applyFont="1" applyFill="1" applyBorder="1" applyAlignment="1">
      <alignment horizontal="right" vertical="center" wrapText="1" readingOrder="2"/>
    </xf>
    <xf numFmtId="174" fontId="35" fillId="39" borderId="54" xfId="0" applyNumberFormat="1" applyFont="1" applyFill="1" applyBorder="1" applyAlignment="1">
      <alignment horizontal="center" vertical="center" wrapText="1" readingOrder="2"/>
    </xf>
    <xf numFmtId="173" fontId="36" fillId="29" borderId="54" xfId="0" applyNumberFormat="1" applyFont="1" applyFill="1" applyBorder="1" applyAlignment="1">
      <alignment horizontal="center" vertical="center" wrapText="1" readingOrder="2"/>
    </xf>
    <xf numFmtId="173" fontId="36" fillId="30" borderId="54" xfId="0" applyNumberFormat="1" applyFont="1" applyFill="1" applyBorder="1" applyAlignment="1">
      <alignment horizontal="center" vertical="center" wrapText="1" readingOrder="2"/>
    </xf>
    <xf numFmtId="0" fontId="36" fillId="11" borderId="54" xfId="0" applyFont="1" applyFill="1" applyBorder="1" applyAlignment="1">
      <alignment horizontal="right" vertical="center" wrapText="1" readingOrder="2"/>
    </xf>
    <xf numFmtId="0" fontId="36" fillId="13" borderId="54" xfId="0" applyFont="1" applyFill="1" applyBorder="1" applyAlignment="1">
      <alignment horizontal="center" vertical="center" wrapText="1" readingOrder="2"/>
    </xf>
    <xf numFmtId="0" fontId="29" fillId="10" borderId="54" xfId="0" applyFont="1" applyFill="1" applyBorder="1" applyAlignment="1">
      <alignment horizontal="right" vertical="center" wrapText="1" readingOrder="2"/>
    </xf>
    <xf numFmtId="173" fontId="35" fillId="13" borderId="54" xfId="0" applyNumberFormat="1" applyFont="1" applyFill="1" applyBorder="1" applyAlignment="1">
      <alignment horizontal="center" vertical="center" wrapText="1" readingOrder="2"/>
    </xf>
    <xf numFmtId="2" fontId="36" fillId="29" borderId="54" xfId="0" applyNumberFormat="1" applyFont="1" applyFill="1" applyBorder="1" applyAlignment="1">
      <alignment horizontal="center" vertical="center" wrapText="1" readingOrder="2"/>
    </xf>
    <xf numFmtId="0" fontId="30" fillId="30" borderId="54" xfId="0" applyFont="1" applyFill="1" applyBorder="1" applyAlignment="1">
      <alignment horizontal="center" vertical="center" wrapText="1" readingOrder="2"/>
    </xf>
    <xf numFmtId="175" fontId="35" fillId="30" borderId="54" xfId="0" applyNumberFormat="1" applyFont="1" applyFill="1" applyBorder="1" applyAlignment="1">
      <alignment horizontal="center" vertical="center" wrapText="1" readingOrder="2"/>
    </xf>
    <xf numFmtId="175" fontId="35" fillId="8" borderId="54" xfId="0" applyNumberFormat="1" applyFont="1" applyFill="1" applyBorder="1" applyAlignment="1">
      <alignment horizontal="center" vertical="center" wrapText="1" readingOrder="2"/>
    </xf>
    <xf numFmtId="173" fontId="35" fillId="11" borderId="54" xfId="0" applyNumberFormat="1" applyFont="1" applyFill="1" applyBorder="1" applyAlignment="1">
      <alignment horizontal="center" vertical="center" wrapText="1" readingOrder="2"/>
    </xf>
    <xf numFmtId="173" fontId="36" fillId="8" borderId="54" xfId="0" applyNumberFormat="1" applyFont="1" applyFill="1" applyBorder="1" applyAlignment="1">
      <alignment horizontal="center" vertical="center" wrapText="1" readingOrder="2"/>
    </xf>
    <xf numFmtId="0" fontId="36" fillId="30" borderId="54" xfId="0" applyFont="1" applyFill="1" applyBorder="1" applyAlignment="1">
      <alignment horizontal="center" vertical="center" wrapText="1" readingOrder="2"/>
    </xf>
    <xf numFmtId="175" fontId="35" fillId="29" borderId="54" xfId="0" applyNumberFormat="1" applyFont="1" applyFill="1" applyBorder="1" applyAlignment="1">
      <alignment horizontal="center" vertical="center" wrapText="1" readingOrder="2"/>
    </xf>
    <xf numFmtId="0" fontId="30" fillId="19" borderId="54" xfId="0" applyFont="1" applyFill="1" applyBorder="1" applyAlignment="1">
      <alignment horizontal="center" vertical="center" wrapText="1" readingOrder="2"/>
    </xf>
    <xf numFmtId="173" fontId="36" fillId="13" borderId="54" xfId="0" applyNumberFormat="1" applyFont="1" applyFill="1" applyBorder="1" applyAlignment="1">
      <alignment horizontal="center" vertical="center" wrapText="1" readingOrder="2"/>
    </xf>
    <xf numFmtId="2" fontId="36" fillId="30" borderId="54" xfId="0" applyNumberFormat="1" applyFont="1" applyFill="1" applyBorder="1" applyAlignment="1">
      <alignment horizontal="center" vertical="center" wrapText="1" readingOrder="2"/>
    </xf>
    <xf numFmtId="0" fontId="30" fillId="28" borderId="57" xfId="0" applyFont="1" applyFill="1" applyBorder="1" applyAlignment="1">
      <alignment horizontal="center" vertical="center" wrapText="1" readingOrder="2"/>
    </xf>
    <xf numFmtId="176" fontId="36" fillId="8" borderId="54" xfId="0" applyNumberFormat="1" applyFont="1" applyFill="1" applyBorder="1" applyAlignment="1">
      <alignment horizontal="center" vertical="center" wrapText="1" readingOrder="2"/>
    </xf>
    <xf numFmtId="164" fontId="35" fillId="13" borderId="54" xfId="0" applyNumberFormat="1" applyFont="1" applyFill="1" applyBorder="1" applyAlignment="1">
      <alignment horizontal="center" vertical="center" wrapText="1" readingOrder="2"/>
    </xf>
    <xf numFmtId="174" fontId="35" fillId="13" borderId="54" xfId="0" applyNumberFormat="1" applyFont="1" applyFill="1" applyBorder="1" applyAlignment="1">
      <alignment horizontal="center" vertical="center" wrapText="1" readingOrder="2"/>
    </xf>
    <xf numFmtId="177" fontId="35" fillId="8" borderId="54" xfId="0" applyNumberFormat="1" applyFont="1" applyFill="1" applyBorder="1" applyAlignment="1">
      <alignment horizontal="center" vertical="center" wrapText="1" readingOrder="2"/>
    </xf>
    <xf numFmtId="3" fontId="35" fillId="13" borderId="54" xfId="0" applyNumberFormat="1" applyFont="1" applyFill="1" applyBorder="1" applyAlignment="1">
      <alignment horizontal="center" vertical="center" wrapText="1" readingOrder="2"/>
    </xf>
    <xf numFmtId="175" fontId="35" fillId="13" borderId="54" xfId="0" applyNumberFormat="1" applyFont="1" applyFill="1" applyBorder="1" applyAlignment="1">
      <alignment horizontal="center" vertical="center" wrapText="1" readingOrder="2"/>
    </xf>
    <xf numFmtId="176" fontId="36" fillId="30" borderId="54" xfId="0" applyNumberFormat="1" applyFont="1" applyFill="1" applyBorder="1" applyAlignment="1">
      <alignment horizontal="center" vertical="center" wrapText="1" readingOrder="2"/>
    </xf>
    <xf numFmtId="164" fontId="35" fillId="11" borderId="54" xfId="0" applyNumberFormat="1" applyFont="1" applyFill="1" applyBorder="1" applyAlignment="1">
      <alignment horizontal="center" vertical="center" wrapText="1" readingOrder="2"/>
    </xf>
    <xf numFmtId="174" fontId="35" fillId="11" borderId="54" xfId="0" applyNumberFormat="1" applyFont="1" applyFill="1" applyBorder="1" applyAlignment="1">
      <alignment horizontal="center" vertical="center" wrapText="1" readingOrder="2"/>
    </xf>
    <xf numFmtId="177" fontId="35" fillId="30" borderId="54" xfId="0" applyNumberFormat="1" applyFont="1" applyFill="1" applyBorder="1" applyAlignment="1">
      <alignment horizontal="center" vertical="center" wrapText="1" readingOrder="2"/>
    </xf>
    <xf numFmtId="3" fontId="35" fillId="11" borderId="54" xfId="0" applyNumberFormat="1" applyFont="1" applyFill="1" applyBorder="1" applyAlignment="1">
      <alignment horizontal="center" vertical="center" wrapText="1" readingOrder="2"/>
    </xf>
    <xf numFmtId="175" fontId="35" fillId="11" borderId="54" xfId="0" applyNumberFormat="1" applyFont="1" applyFill="1" applyBorder="1" applyAlignment="1">
      <alignment horizontal="center" vertical="center" wrapText="1" readingOrder="2"/>
    </xf>
    <xf numFmtId="176" fontId="36" fillId="29" borderId="54" xfId="0" applyNumberFormat="1" applyFont="1" applyFill="1" applyBorder="1" applyAlignment="1">
      <alignment horizontal="center" vertical="center" wrapText="1" readingOrder="2"/>
    </xf>
    <xf numFmtId="177" fontId="35" fillId="29" borderId="54" xfId="0" applyNumberFormat="1" applyFont="1" applyFill="1" applyBorder="1" applyAlignment="1">
      <alignment horizontal="center" vertical="center" wrapText="1" readingOrder="2"/>
    </xf>
    <xf numFmtId="0" fontId="35" fillId="34" borderId="54" xfId="0" applyFont="1" applyFill="1" applyBorder="1" applyAlignment="1">
      <alignment horizontal="center" vertical="center" wrapText="1" readingOrder="2"/>
    </xf>
    <xf numFmtId="0" fontId="36" fillId="34" borderId="54" xfId="0" applyFont="1" applyFill="1" applyBorder="1" applyAlignment="1">
      <alignment horizontal="center" vertical="center" wrapText="1" readingOrder="2"/>
    </xf>
    <xf numFmtId="173" fontId="35" fillId="34" borderId="54" xfId="0" applyNumberFormat="1" applyFont="1" applyFill="1" applyBorder="1" applyAlignment="1">
      <alignment horizontal="center" vertical="center" wrapText="1" readingOrder="2"/>
    </xf>
    <xf numFmtId="164" fontId="35" fillId="34" borderId="54" xfId="0" applyNumberFormat="1" applyFont="1" applyFill="1" applyBorder="1" applyAlignment="1">
      <alignment horizontal="center" vertical="center" wrapText="1" readingOrder="2"/>
    </xf>
    <xf numFmtId="174" fontId="35" fillId="34" borderId="54" xfId="0" applyNumberFormat="1" applyFont="1" applyFill="1" applyBorder="1" applyAlignment="1">
      <alignment horizontal="center" vertical="center" wrapText="1" readingOrder="2"/>
    </xf>
    <xf numFmtId="3" fontId="35" fillId="34" borderId="54" xfId="0" applyNumberFormat="1" applyFont="1" applyFill="1" applyBorder="1" applyAlignment="1">
      <alignment horizontal="center" vertical="center" wrapText="1" readingOrder="2"/>
    </xf>
    <xf numFmtId="175" fontId="35" fillId="34" borderId="54" xfId="0" applyNumberFormat="1" applyFont="1" applyFill="1" applyBorder="1" applyAlignment="1">
      <alignment horizontal="center" vertical="center" wrapText="1" readingOrder="2"/>
    </xf>
    <xf numFmtId="164" fontId="48" fillId="34" borderId="54" xfId="0" applyNumberFormat="1" applyFont="1" applyFill="1" applyBorder="1" applyAlignment="1">
      <alignment horizontal="center" vertical="center" wrapText="1" readingOrder="2"/>
    </xf>
    <xf numFmtId="0" fontId="38" fillId="12" borderId="54" xfId="0" applyFont="1" applyFill="1" applyBorder="1" applyAlignment="1">
      <alignment horizontal="center" vertical="center" wrapText="1" readingOrder="2"/>
    </xf>
    <xf numFmtId="0" fontId="30" fillId="8" borderId="54" xfId="0" applyFont="1" applyFill="1" applyBorder="1" applyAlignment="1">
      <alignment horizontal="center" vertical="center" wrapText="1" readingOrder="2"/>
    </xf>
    <xf numFmtId="0" fontId="30" fillId="29" borderId="54" xfId="0" applyFont="1" applyFill="1" applyBorder="1" applyAlignment="1">
      <alignment horizontal="center" vertical="center" wrapText="1" readingOrder="2"/>
    </xf>
    <xf numFmtId="0" fontId="30" fillId="13" borderId="54" xfId="0" applyFont="1" applyFill="1" applyBorder="1" applyAlignment="1">
      <alignment horizontal="center" vertical="center" wrapText="1" readingOrder="2"/>
    </xf>
    <xf numFmtId="0" fontId="46" fillId="12" borderId="54" xfId="0" applyFont="1" applyFill="1" applyBorder="1" applyAlignment="1">
      <alignment horizontal="right" vertical="center" wrapText="1" readingOrder="2"/>
    </xf>
    <xf numFmtId="9" fontId="36" fillId="39" borderId="54" xfId="0" applyNumberFormat="1" applyFont="1" applyFill="1" applyBorder="1" applyAlignment="1">
      <alignment horizontal="center" vertical="center" wrapText="1" readingOrder="2"/>
    </xf>
    <xf numFmtId="0" fontId="42" fillId="22" borderId="45" xfId="0" applyFont="1" applyFill="1" applyBorder="1" applyAlignment="1">
      <alignment horizontal="right" vertical="center" wrapText="1" readingOrder="2"/>
    </xf>
    <xf numFmtId="0" fontId="0" fillId="0" borderId="47" xfId="0" applyBorder="1"/>
    <xf numFmtId="0" fontId="0" fillId="0" borderId="48" xfId="0" applyBorder="1"/>
    <xf numFmtId="0" fontId="0" fillId="0" borderId="51" xfId="0" applyBorder="1"/>
    <xf numFmtId="0" fontId="0" fillId="0" borderId="52" xfId="0" applyBorder="1"/>
    <xf numFmtId="0" fontId="0" fillId="0" borderId="53" xfId="0" applyBorder="1"/>
    <xf numFmtId="0" fontId="39" fillId="20" borderId="45" xfId="0" applyFont="1" applyFill="1" applyBorder="1" applyAlignment="1">
      <alignment horizontal="center" vertical="center" wrapText="1" readingOrder="2"/>
    </xf>
    <xf numFmtId="0" fontId="0" fillId="0" borderId="50" xfId="0" applyBorder="1"/>
    <xf numFmtId="0" fontId="33" fillId="9" borderId="45" xfId="0" applyFont="1" applyFill="1" applyBorder="1" applyAlignment="1">
      <alignment horizontal="center" vertical="center" wrapText="1" readingOrder="2"/>
    </xf>
    <xf numFmtId="0" fontId="29" fillId="31" borderId="45" xfId="0" applyFont="1" applyFill="1" applyBorder="1" applyAlignment="1">
      <alignment horizontal="right" vertical="center" wrapText="1" readingOrder="2"/>
    </xf>
    <xf numFmtId="0" fontId="33" fillId="16" borderId="45" xfId="0" applyFont="1" applyFill="1" applyBorder="1" applyAlignment="1">
      <alignment horizontal="center" vertical="center" wrapText="1" readingOrder="2"/>
    </xf>
    <xf numFmtId="0" fontId="0" fillId="0" borderId="49" xfId="0" applyBorder="1"/>
    <xf numFmtId="0" fontId="29" fillId="10" borderId="45" xfId="0" applyFont="1" applyFill="1" applyBorder="1" applyAlignment="1">
      <alignment horizontal="right" vertical="center" wrapText="1" readingOrder="2"/>
    </xf>
    <xf numFmtId="0" fontId="43" fillId="31" borderId="45" xfId="0" applyFont="1" applyFill="1" applyBorder="1" applyAlignment="1">
      <alignment horizontal="right" vertical="center" wrapText="1" readingOrder="2"/>
    </xf>
    <xf numFmtId="0" fontId="32" fillId="7" borderId="45" xfId="0" applyFont="1" applyFill="1" applyBorder="1" applyAlignment="1">
      <alignment horizontal="center" vertical="center" wrapText="1" readingOrder="2"/>
    </xf>
    <xf numFmtId="0" fontId="33" fillId="26" borderId="45" xfId="0" applyFont="1" applyFill="1" applyBorder="1" applyAlignment="1">
      <alignment horizontal="center" vertical="center" wrapText="1" readingOrder="2"/>
    </xf>
    <xf numFmtId="0" fontId="40" fillId="12" borderId="45" xfId="0" applyFont="1" applyFill="1" applyBorder="1" applyAlignment="1">
      <alignment horizontal="right" vertical="center" wrapText="1" readingOrder="2"/>
    </xf>
    <xf numFmtId="0" fontId="33" fillId="25" borderId="45" xfId="0" applyFont="1" applyFill="1" applyBorder="1" applyAlignment="1">
      <alignment horizontal="center" vertical="center" wrapText="1" readingOrder="2"/>
    </xf>
    <xf numFmtId="0" fontId="33" fillId="27" borderId="45" xfId="0" applyFont="1" applyFill="1" applyBorder="1" applyAlignment="1">
      <alignment horizontal="center" vertical="center" wrapText="1" readingOrder="2"/>
    </xf>
    <xf numFmtId="0" fontId="28" fillId="7" borderId="38" xfId="0" applyFont="1" applyFill="1" applyBorder="1" applyAlignment="1">
      <alignment horizontal="center" vertical="center" wrapText="1" readingOrder="2"/>
    </xf>
    <xf numFmtId="0" fontId="0" fillId="0" borderId="39" xfId="0" applyBorder="1"/>
    <xf numFmtId="0" fontId="0" fillId="0" borderId="40" xfId="0" applyBorder="1"/>
    <xf numFmtId="0" fontId="4" fillId="2" borderId="15" xfId="0" applyFont="1" applyFill="1" applyBorder="1" applyAlignment="1">
      <alignment horizontal="center" vertical="center" wrapText="1" readingOrder="2"/>
    </xf>
    <xf numFmtId="0" fontId="0" fillId="0" borderId="42" xfId="0" applyBorder="1"/>
    <xf numFmtId="0" fontId="0" fillId="0" borderId="43" xfId="0" applyBorder="1"/>
    <xf numFmtId="0" fontId="4" fillId="2" borderId="14" xfId="0" applyFont="1" applyFill="1" applyBorder="1" applyAlignment="1">
      <alignment horizontal="center" vertical="center" wrapText="1" readingOrder="2"/>
    </xf>
    <xf numFmtId="0" fontId="0" fillId="0" borderId="7" xfId="0" applyBorder="1"/>
    <xf numFmtId="0" fontId="0" fillId="0" borderId="41" xfId="0" applyBorder="1"/>
    <xf numFmtId="0" fontId="6" fillId="5" borderId="18" xfId="0" applyFont="1" applyFill="1" applyBorder="1" applyAlignment="1">
      <alignment horizontal="center" vertical="center" wrapText="1" readingOrder="2"/>
    </xf>
    <xf numFmtId="0" fontId="0" fillId="0" borderId="44" xfId="0" applyBorder="1"/>
    <xf numFmtId="0" fontId="0" fillId="0" borderId="18" xfId="0" applyBorder="1"/>
    <xf numFmtId="0" fontId="4" fillId="2" borderId="13" xfId="0" applyFont="1" applyFill="1" applyBorder="1" applyAlignment="1">
      <alignment horizontal="center" vertical="center" wrapText="1" readingOrder="2"/>
    </xf>
    <xf numFmtId="0" fontId="33" fillId="17" borderId="45" xfId="0" applyFont="1" applyFill="1" applyBorder="1" applyAlignment="1">
      <alignment horizontal="center" vertical="center" wrapText="1" readingOrder="2"/>
    </xf>
    <xf numFmtId="0" fontId="36" fillId="18" borderId="45" xfId="0" applyFont="1" applyFill="1" applyBorder="1" applyAlignment="1">
      <alignment horizontal="right" vertical="center" wrapText="1" readingOrder="2"/>
    </xf>
    <xf numFmtId="0" fontId="34" fillId="12" borderId="45" xfId="0" applyFont="1" applyFill="1" applyBorder="1" applyAlignment="1">
      <alignment horizontal="center" vertical="center" wrapText="1" readingOrder="2"/>
    </xf>
    <xf numFmtId="0" fontId="44" fillId="12" borderId="45" xfId="0" applyFont="1" applyFill="1" applyBorder="1" applyAlignment="1">
      <alignment horizontal="center" vertical="center" wrapText="1" readingOrder="2"/>
    </xf>
    <xf numFmtId="0" fontId="28" fillId="36" borderId="54" xfId="0" applyFont="1" applyFill="1" applyBorder="1" applyAlignment="1">
      <alignment horizontal="center" vertical="center" wrapText="1" readingOrder="2"/>
    </xf>
    <xf numFmtId="0" fontId="28" fillId="38" borderId="54" xfId="0" applyFont="1" applyFill="1" applyBorder="1" applyAlignment="1">
      <alignment horizontal="center" vertical="center" wrapText="1" readingOrder="2"/>
    </xf>
    <xf numFmtId="0" fontId="47" fillId="10" borderId="54" xfId="0" applyFont="1" applyFill="1" applyBorder="1" applyAlignment="1">
      <alignment horizontal="right" vertical="center" wrapText="1" readingOrder="2"/>
    </xf>
    <xf numFmtId="0" fontId="0" fillId="0" borderId="55" xfId="0" applyBorder="1"/>
    <xf numFmtId="0" fontId="0" fillId="0" borderId="56" xfId="0" applyBorder="1"/>
    <xf numFmtId="0" fontId="46" fillId="12" borderId="54" xfId="0" applyFont="1" applyFill="1" applyBorder="1" applyAlignment="1">
      <alignment horizontal="center" vertical="center" wrapText="1" readingOrder="2"/>
    </xf>
    <xf numFmtId="0" fontId="28" fillId="32" borderId="54" xfId="0" applyFont="1" applyFill="1" applyBorder="1" applyAlignment="1">
      <alignment horizontal="center" vertical="center" wrapText="1" readingOrder="2"/>
    </xf>
    <xf numFmtId="0" fontId="46" fillId="40" borderId="54" xfId="0" applyFont="1" applyFill="1" applyBorder="1" applyAlignment="1">
      <alignment horizontal="center" vertical="center" wrapText="1" readingOrder="2"/>
    </xf>
    <xf numFmtId="0" fontId="28" fillId="37" borderId="54" xfId="0" applyFont="1" applyFill="1" applyBorder="1" applyAlignment="1">
      <alignment horizontal="center" vertical="center" wrapText="1" readingOrder="2"/>
    </xf>
    <xf numFmtId="0" fontId="45" fillId="7" borderId="54" xfId="0" applyFont="1" applyFill="1" applyBorder="1" applyAlignment="1">
      <alignment horizontal="center" vertical="center" wrapText="1" readingOrder="2"/>
    </xf>
    <xf numFmtId="0" fontId="28" fillId="7" borderId="54" xfId="0" applyFont="1" applyFill="1" applyBorder="1" applyAlignment="1">
      <alignment horizontal="center" vertical="center" wrapText="1" readingOrder="2"/>
    </xf>
    <xf numFmtId="0" fontId="38" fillId="12" borderId="54" xfId="0" applyFont="1" applyFill="1" applyBorder="1" applyAlignment="1">
      <alignment horizontal="center" vertical="center" wrapText="1" readingOrder="2"/>
    </xf>
    <xf numFmtId="0" fontId="35" fillId="11" borderId="54" xfId="0" applyFont="1" applyFill="1" applyBorder="1" applyAlignment="1">
      <alignment horizontal="right" vertical="center" wrapText="1" readingOrder="2"/>
    </xf>
    <xf numFmtId="0" fontId="36" fillId="18" borderId="54" xfId="0" applyFont="1" applyFill="1" applyBorder="1" applyAlignment="1">
      <alignment horizontal="right" vertical="center" wrapText="1" readingOrder="2"/>
    </xf>
    <xf numFmtId="0" fontId="28" fillId="17" borderId="54" xfId="0" applyFont="1" applyFill="1" applyBorder="1" applyAlignment="1">
      <alignment horizontal="center" vertical="center" wrapText="1" readingOrder="2"/>
    </xf>
    <xf numFmtId="0" fontId="50" fillId="12" borderId="54" xfId="0" applyFont="1" applyFill="1" applyBorder="1" applyAlignment="1">
      <alignment horizontal="center" vertical="center" wrapText="1" readingOrder="2"/>
    </xf>
  </cellXfs>
  <cellStyles count="1">
    <cellStyle name="Normal" xfId="0" builtinId="0"/>
  </cellStyles>
  <dxfs count="0"/>
  <tableStyles count="1" defaultTableStyle="TableStyleMedium9" defaultPivotStyle="PivotStyleLight16">
    <tableStyle name="Invisible"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10"/>
  <c:chart>
    <c:title>
      <c:tx>
        <c:rich>
          <a:bodyPr/>
          <a:lstStyle/>
          <a:p>
            <a:pPr>
              <a:defRPr/>
            </a:pPr>
            <a:r>
              <a:rPr lang="fa-IR"/>
              <a:t>الاستیسیته ارزی (</a:t>
            </a:r>
            <a:r>
              <a:rPr lang="el-GR"/>
              <a:t>β) </a:t>
            </a:r>
            <a:r>
              <a:rPr lang="fa-IR"/>
              <a:t>فصول فهرست‌بها</a:t>
            </a:r>
          </a:p>
        </c:rich>
      </c:tx>
      <c:overlay val="1"/>
    </c:title>
    <c:autoTitleDeleted val="0"/>
    <c:plotArea>
      <c:layout/>
      <c:barChart>
        <c:barDir val="bar"/>
        <c:grouping val="clustered"/>
        <c:varyColors val="1"/>
        <c:ser>
          <c:idx val="0"/>
          <c:order val="0"/>
          <c:tx>
            <c:strRef>
              <c:f>Econometric_Analysis!$G$5</c:f>
              <c:strCache>
                <c:ptCount val="1"/>
                <c:pt idx="0">
                  <c:v>β (الاستیسیته)</c:v>
                </c:pt>
              </c:strCache>
            </c:strRef>
          </c:tx>
          <c:spPr>
            <a:solidFill>
              <a:srgbClr val="2E75B6"/>
            </a:solidFill>
            <a:ln>
              <a:prstDash val="solid"/>
            </a:ln>
          </c:spPr>
          <c:invertIfNegative val="1"/>
          <c:cat>
            <c:strRef>
              <c:f>Econometric_Analysis!$B$6:$B$30</c:f>
              <c:strCache>
                <c:ptCount val="25"/>
                <c:pt idx="0">
                  <c:v>مکانیک-16</c:v>
                </c:pt>
                <c:pt idx="1">
                  <c:v>ابنیه-4</c:v>
                </c:pt>
                <c:pt idx="2">
                  <c:v>مکانیک-32</c:v>
                </c:pt>
                <c:pt idx="3">
                  <c:v>ابنیه-3</c:v>
                </c:pt>
                <c:pt idx="4">
                  <c:v>مکانیک-12</c:v>
                </c:pt>
                <c:pt idx="5">
                  <c:v>ابنیه-1</c:v>
                </c:pt>
                <c:pt idx="6">
                  <c:v>مکانیک-17</c:v>
                </c:pt>
                <c:pt idx="7">
                  <c:v>مکانیک-34</c:v>
                </c:pt>
                <c:pt idx="8">
                  <c:v>ابنیه-17</c:v>
                </c:pt>
                <c:pt idx="9">
                  <c:v>مکانیک-6</c:v>
                </c:pt>
                <c:pt idx="10">
                  <c:v>مکانیک-28</c:v>
                </c:pt>
                <c:pt idx="11">
                  <c:v>مکانیک-21</c:v>
                </c:pt>
                <c:pt idx="12">
                  <c:v>ابنیه-23</c:v>
                </c:pt>
                <c:pt idx="13">
                  <c:v>مکانیک-30</c:v>
                </c:pt>
                <c:pt idx="14">
                  <c:v>مکانیک-33</c:v>
                </c:pt>
                <c:pt idx="15">
                  <c:v>ابنیه-16</c:v>
                </c:pt>
                <c:pt idx="16">
                  <c:v>مکانیک-24</c:v>
                </c:pt>
                <c:pt idx="17">
                  <c:v>مکانیک-7</c:v>
                </c:pt>
                <c:pt idx="18">
                  <c:v>ابنیه-6</c:v>
                </c:pt>
                <c:pt idx="19">
                  <c:v>مکانیک-1</c:v>
                </c:pt>
                <c:pt idx="20">
                  <c:v>مکانیک-11</c:v>
                </c:pt>
                <c:pt idx="21">
                  <c:v>مکانیک-14</c:v>
                </c:pt>
                <c:pt idx="22">
                  <c:v>مکانیک-22</c:v>
                </c:pt>
                <c:pt idx="23">
                  <c:v>ابنیه-15</c:v>
                </c:pt>
                <c:pt idx="24">
                  <c:v>مکانیک-5</c:v>
                </c:pt>
              </c:strCache>
            </c:strRef>
          </c:cat>
          <c:val>
            <c:numRef>
              <c:f>Econometric_Analysis!$G$6:$G$30</c:f>
              <c:numCache>
                <c:formatCode>0.000</c:formatCode>
                <c:ptCount val="25"/>
                <c:pt idx="0">
                  <c:v>1.5731037671757879</c:v>
                </c:pt>
                <c:pt idx="1">
                  <c:v>1.5066714410602191</c:v>
                </c:pt>
                <c:pt idx="2">
                  <c:v>1.448251058525224</c:v>
                </c:pt>
                <c:pt idx="3">
                  <c:v>1.4344476962170709</c:v>
                </c:pt>
                <c:pt idx="4">
                  <c:v>1.399143791202244</c:v>
                </c:pt>
                <c:pt idx="5">
                  <c:v>1.3711047003204091</c:v>
                </c:pt>
                <c:pt idx="6">
                  <c:v>1.3658796994218121</c:v>
                </c:pt>
                <c:pt idx="7">
                  <c:v>1.359525902457142</c:v>
                </c:pt>
                <c:pt idx="8">
                  <c:v>1.3511274307650361</c:v>
                </c:pt>
                <c:pt idx="9">
                  <c:v>1.343649447468493</c:v>
                </c:pt>
                <c:pt idx="10">
                  <c:v>1.3186497138426669</c:v>
                </c:pt>
                <c:pt idx="11">
                  <c:v>1.3162154017963521</c:v>
                </c:pt>
                <c:pt idx="12">
                  <c:v>1.2898712476268159</c:v>
                </c:pt>
                <c:pt idx="13">
                  <c:v>1.2553358995374719</c:v>
                </c:pt>
                <c:pt idx="14">
                  <c:v>1.248395692937166</c:v>
                </c:pt>
                <c:pt idx="15">
                  <c:v>1.173390016003256</c:v>
                </c:pt>
                <c:pt idx="16">
                  <c:v>1.1680179874733041</c:v>
                </c:pt>
                <c:pt idx="17">
                  <c:v>1.1097665019873679</c:v>
                </c:pt>
                <c:pt idx="18">
                  <c:v>1.0822087478655269</c:v>
                </c:pt>
                <c:pt idx="19">
                  <c:v>1.043187913169771</c:v>
                </c:pt>
                <c:pt idx="20">
                  <c:v>1.028846322017718</c:v>
                </c:pt>
                <c:pt idx="21">
                  <c:v>0.96493991403461754</c:v>
                </c:pt>
                <c:pt idx="22">
                  <c:v>0.85917125040281894</c:v>
                </c:pt>
                <c:pt idx="23">
                  <c:v>4.8363921616196917E-2</c:v>
                </c:pt>
                <c:pt idx="24">
                  <c:v>-9.0819360027401368E-3</c:v>
                </c:pt>
              </c:numCache>
            </c:numRef>
          </c:val>
          <c:extLst>
            <c:ext xmlns:c14="http://schemas.microsoft.com/office/drawing/2007/8/2/chart" uri="{6F2FDCE9-48DA-4B69-8628-5D25D57E5C99}">
              <c14:invertSolidFillFmt>
                <c14:spPr xmlns:c14="http://schemas.microsoft.com/office/drawing/2007/8/2/chart">
                  <a:solidFill>
                    <a:srgbClr val="FFFFFF"/>
                  </a:solidFill>
                  <a:ln>
                    <a:prstDash val="solid"/>
                  </a:ln>
                </c14:spPr>
              </c14:invertSolidFillFmt>
            </c:ext>
            <c:ext xmlns:c16="http://schemas.microsoft.com/office/drawing/2014/chart" uri="{C3380CC4-5D6E-409C-BE32-E72D297353CC}">
              <c16:uniqueId val="{00000000-98B3-44C6-80E3-46AC6C150695}"/>
            </c:ext>
          </c:extLst>
        </c:ser>
        <c:dLbls>
          <c:showLegendKey val="0"/>
          <c:showVal val="0"/>
          <c:showCatName val="0"/>
          <c:showSerName val="0"/>
          <c:showPercent val="0"/>
          <c:showBubbleSize val="0"/>
        </c:dLbls>
        <c:gapWidth val="150"/>
        <c:axId val="10"/>
        <c:axId val="100"/>
      </c:barChart>
      <c:catAx>
        <c:axId val="10"/>
        <c:scaling>
          <c:orientation val="minMax"/>
        </c:scaling>
        <c:delete val="1"/>
        <c:axPos val="l"/>
        <c:title>
          <c:tx>
            <c:rich>
              <a:bodyPr/>
              <a:lstStyle/>
              <a:p>
                <a:pPr>
                  <a:defRPr/>
                </a:pPr>
                <a:r>
                  <a:rPr lang="fa-IR"/>
                  <a:t>فصل</a:t>
                </a:r>
              </a:p>
            </c:rich>
          </c:tx>
          <c:overlay val="1"/>
        </c:title>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1"/>
        <c:axPos val="b"/>
        <c:majorGridlines/>
        <c:title>
          <c:tx>
            <c:rich>
              <a:bodyPr/>
              <a:lstStyle/>
              <a:p>
                <a:pPr>
                  <a:defRPr/>
                </a:pPr>
                <a:r>
                  <a:rPr lang="el-GR"/>
                  <a:t>β</a:t>
                </a:r>
              </a:p>
            </c:rich>
          </c:tx>
          <c:overlay val="1"/>
        </c:title>
        <c:numFmt formatCode="0.000" sourceLinked="1"/>
        <c:majorTickMark val="none"/>
        <c:minorTickMark val="none"/>
        <c:tickLblPos val="nextTo"/>
        <c:crossAx val="10"/>
        <c:crosses val="autoZero"/>
        <c:crossBetween val="between"/>
      </c:valAx>
    </c:plotArea>
    <c:legend>
      <c:legendPos val="r"/>
      <c:overlay val="0"/>
    </c:legend>
    <c:plotVisOnly val="1"/>
    <c:dispBlanksAs val="gap"/>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0</xdr:col>
      <xdr:colOff>0</xdr:colOff>
      <xdr:row>31</xdr:row>
      <xdr:rowOff>0</xdr:rowOff>
    </xdr:from>
    <xdr:ext cx="11520000" cy="5040000"/>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9.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V139"/>
  <sheetViews>
    <sheetView rightToLeft="1" workbookViewId="0">
      <pane xSplit="2" ySplit="8" topLeftCell="C9" activePane="bottomRight" state="frozen"/>
      <selection pane="topRight"/>
      <selection pane="bottomLeft"/>
      <selection pane="bottomRight" sqref="A1:V1"/>
    </sheetView>
  </sheetViews>
  <sheetFormatPr defaultRowHeight="13.5"/>
  <cols>
    <col min="1" max="1" width="6" customWidth="1"/>
    <col min="2" max="2" width="40" customWidth="1"/>
    <col min="3" max="4" width="10" customWidth="1"/>
    <col min="5" max="5" width="18" customWidth="1"/>
    <col min="6" max="6" width="8" customWidth="1"/>
    <col min="7" max="8" width="12" customWidth="1"/>
    <col min="9" max="9" width="10" customWidth="1"/>
    <col min="10" max="10" width="18" customWidth="1"/>
    <col min="11" max="11" width="8" customWidth="1"/>
    <col min="12" max="13" width="12" customWidth="1"/>
    <col min="14" max="14" width="10" customWidth="1"/>
    <col min="15" max="15" width="18" customWidth="1"/>
    <col min="16" max="16" width="8" customWidth="1"/>
    <col min="17" max="18" width="12" customWidth="1"/>
    <col min="19" max="19" width="10" customWidth="1"/>
    <col min="20" max="21" width="12" customWidth="1"/>
    <col min="22" max="22" width="14" customWidth="1"/>
  </cols>
  <sheetData>
    <row r="1" spans="1:22" ht="42" customHeight="1">
      <c r="A1" s="285" t="s">
        <v>570</v>
      </c>
      <c r="B1" s="282"/>
      <c r="C1" s="282"/>
      <c r="D1" s="282"/>
      <c r="E1" s="282"/>
      <c r="F1" s="282"/>
      <c r="G1" s="282"/>
      <c r="H1" s="282"/>
      <c r="I1" s="282"/>
      <c r="J1" s="282"/>
      <c r="K1" s="282"/>
      <c r="L1" s="282"/>
      <c r="M1" s="282"/>
      <c r="N1" s="282"/>
      <c r="O1" s="282"/>
      <c r="P1" s="282"/>
      <c r="Q1" s="282"/>
      <c r="R1" s="282"/>
      <c r="S1" s="282"/>
      <c r="T1" s="282"/>
      <c r="U1" s="282"/>
      <c r="V1" s="278"/>
    </row>
    <row r="3" spans="1:22" ht="30" customHeight="1">
      <c r="A3" s="281" t="s">
        <v>571</v>
      </c>
      <c r="B3" s="282"/>
      <c r="C3" s="282"/>
      <c r="D3" s="278"/>
      <c r="E3" s="281" t="s">
        <v>572</v>
      </c>
      <c r="F3" s="282"/>
      <c r="G3" s="282"/>
      <c r="H3" s="282"/>
      <c r="I3" s="282"/>
      <c r="J3" s="278"/>
      <c r="K3" s="281" t="s">
        <v>573</v>
      </c>
      <c r="L3" s="282"/>
      <c r="M3" s="282"/>
      <c r="N3" s="282"/>
      <c r="O3" s="282"/>
      <c r="P3" s="282"/>
      <c r="Q3" s="282"/>
      <c r="R3" s="282"/>
      <c r="S3" s="282"/>
      <c r="T3" s="282"/>
      <c r="U3" s="282"/>
      <c r="V3" s="278"/>
    </row>
    <row r="4" spans="1:22" ht="28.05" customHeight="1">
      <c r="A4" s="283" t="s">
        <v>574</v>
      </c>
      <c r="B4" s="278"/>
      <c r="C4" s="277" t="s">
        <v>87</v>
      </c>
      <c r="D4" s="278"/>
      <c r="E4" s="283" t="s">
        <v>575</v>
      </c>
      <c r="F4" s="282"/>
      <c r="G4" s="278"/>
      <c r="H4" s="193">
        <v>0.35</v>
      </c>
      <c r="I4" s="287" t="s">
        <v>576</v>
      </c>
      <c r="J4" s="278"/>
      <c r="K4" s="271" t="s">
        <v>577</v>
      </c>
      <c r="L4" s="272"/>
      <c r="M4" s="272"/>
      <c r="N4" s="272"/>
      <c r="O4" s="272"/>
      <c r="P4" s="272"/>
      <c r="Q4" s="272"/>
      <c r="R4" s="272"/>
      <c r="S4" s="272"/>
      <c r="T4" s="272"/>
      <c r="U4" s="272"/>
      <c r="V4" s="273"/>
    </row>
    <row r="5" spans="1:22" ht="28.05" customHeight="1">
      <c r="A5" s="283" t="s">
        <v>578</v>
      </c>
      <c r="B5" s="278"/>
      <c r="C5" s="277" t="s">
        <v>97</v>
      </c>
      <c r="D5" s="278"/>
      <c r="E5" s="283" t="s">
        <v>579</v>
      </c>
      <c r="F5" s="282"/>
      <c r="G5" s="278"/>
      <c r="H5" s="194"/>
      <c r="I5" s="161" t="s">
        <v>580</v>
      </c>
      <c r="J5" s="194"/>
      <c r="K5" s="274"/>
      <c r="L5" s="275"/>
      <c r="M5" s="275"/>
      <c r="N5" s="275"/>
      <c r="O5" s="275"/>
      <c r="P5" s="275"/>
      <c r="Q5" s="275"/>
      <c r="R5" s="275"/>
      <c r="S5" s="275"/>
      <c r="T5" s="275"/>
      <c r="U5" s="275"/>
      <c r="V5" s="276"/>
    </row>
    <row r="7" spans="1:22" ht="28.05" customHeight="1">
      <c r="A7" s="279" t="s">
        <v>581</v>
      </c>
      <c r="B7" s="278"/>
      <c r="C7" s="195" t="s">
        <v>582</v>
      </c>
      <c r="D7" s="196" t="s">
        <v>583</v>
      </c>
      <c r="E7" s="288" t="s">
        <v>584</v>
      </c>
      <c r="F7" s="282"/>
      <c r="G7" s="282"/>
      <c r="H7" s="282"/>
      <c r="I7" s="278"/>
      <c r="J7" s="286" t="s">
        <v>585</v>
      </c>
      <c r="K7" s="282"/>
      <c r="L7" s="282"/>
      <c r="M7" s="282"/>
      <c r="N7" s="278"/>
      <c r="O7" s="289" t="s">
        <v>586</v>
      </c>
      <c r="P7" s="282"/>
      <c r="Q7" s="282"/>
      <c r="R7" s="282"/>
      <c r="S7" s="278"/>
      <c r="T7" s="281" t="s">
        <v>587</v>
      </c>
      <c r="U7" s="282"/>
      <c r="V7" s="278"/>
    </row>
    <row r="8" spans="1:22" ht="30" customHeight="1">
      <c r="A8" s="197" t="s">
        <v>588</v>
      </c>
      <c r="B8" s="197" t="s">
        <v>589</v>
      </c>
      <c r="C8" s="197" t="s">
        <v>590</v>
      </c>
      <c r="D8" s="197" t="s">
        <v>591</v>
      </c>
      <c r="E8" s="197" t="s">
        <v>592</v>
      </c>
      <c r="F8" s="197" t="s">
        <v>593</v>
      </c>
      <c r="G8" s="197" t="s">
        <v>594</v>
      </c>
      <c r="H8" s="197" t="s">
        <v>595</v>
      </c>
      <c r="I8" s="197" t="s">
        <v>596</v>
      </c>
      <c r="J8" s="197" t="s">
        <v>597</v>
      </c>
      <c r="K8" s="197" t="s">
        <v>593</v>
      </c>
      <c r="L8" s="197" t="s">
        <v>594</v>
      </c>
      <c r="M8" s="197" t="s">
        <v>595</v>
      </c>
      <c r="N8" s="197" t="s">
        <v>596</v>
      </c>
      <c r="O8" s="197" t="s">
        <v>598</v>
      </c>
      <c r="P8" s="197" t="s">
        <v>593</v>
      </c>
      <c r="Q8" s="197" t="s">
        <v>594</v>
      </c>
      <c r="R8" s="197" t="s">
        <v>595</v>
      </c>
      <c r="S8" s="197" t="s">
        <v>596</v>
      </c>
      <c r="T8" s="197" t="s">
        <v>599</v>
      </c>
      <c r="U8" s="197" t="s">
        <v>600</v>
      </c>
      <c r="V8" s="197" t="s">
        <v>601</v>
      </c>
    </row>
    <row r="9" spans="1:22" ht="24" customHeight="1">
      <c r="A9" s="160">
        <v>1</v>
      </c>
      <c r="B9" s="162" t="s">
        <v>602</v>
      </c>
      <c r="C9" s="193">
        <v>0</v>
      </c>
      <c r="D9" s="198">
        <f t="shared" ref="D9:D40" si="0">1-C9</f>
        <v>1</v>
      </c>
      <c r="E9" s="192" t="s">
        <v>525</v>
      </c>
      <c r="F9" s="193">
        <v>1</v>
      </c>
      <c r="G9" s="199">
        <f>IFERROR(INDEX(Database!$B$2:$CT$473,MATCH(E9,Database!$A$2:$A$473,0),MATCH($C$4,Database!$B$1:$CT$1,0)),"")</f>
        <v>4795.8</v>
      </c>
      <c r="H9" s="199">
        <f>IFERROR(INDEX(Database!$B$2:$CT$473,MATCH(E9,Database!$A$2:$A$473,0),MATCH($C$5,Database!$B$1:$CT$1,0)),"")</f>
        <v>6686.9</v>
      </c>
      <c r="I9" s="173">
        <f t="shared" ref="I9:I40" si="1">IF(OR(G9="",G9=0),0,(H9/G9)*F9)</f>
        <v>1.3943242003419658</v>
      </c>
      <c r="J9" s="192"/>
      <c r="K9" s="193"/>
      <c r="L9" s="199" t="str">
        <f>IFERROR(INDEX(Database!$B$2:$CT$473,MATCH(J9,Database!$A$2:$A$473,0),MATCH($C$4,Database!$B$1:$CT$1,0)),"")</f>
        <v/>
      </c>
      <c r="M9" s="199" t="str">
        <f>IFERROR(INDEX(Database!$B$2:$CT$473,MATCH(J9,Database!$A$2:$A$473,0),MATCH($C$5,Database!$B$1:$CT$1,0)),"")</f>
        <v/>
      </c>
      <c r="N9" s="173">
        <f t="shared" ref="N9:N40" si="2">IF(OR(L9="",L9=0),0,(M9/L9)*K9)</f>
        <v>0</v>
      </c>
      <c r="O9" s="192"/>
      <c r="P9" s="193"/>
      <c r="Q9" s="199" t="str">
        <f>IFERROR(INDEX(Database!$B$2:$CT$473,MATCH(O9,Database!$A$2:$A$473,0),MATCH($C$4,Database!$B$1:$CT$1,0)),"")</f>
        <v/>
      </c>
      <c r="R9" s="199" t="str">
        <f>IFERROR(INDEX(Database!$B$2:$CT$473,MATCH(O9,Database!$A$2:$A$473,0),MATCH($C$5,Database!$B$1:$CT$1,0)),"")</f>
        <v/>
      </c>
      <c r="S9" s="173">
        <f t="shared" ref="S9:S40" si="3">IF(OR(Q9="",Q9=0),0,(R9/Q9)*P9)</f>
        <v>0</v>
      </c>
      <c r="T9" s="200">
        <f t="shared" ref="T9:T40" si="4">I9+N9+S9</f>
        <v>1.3943242003419658</v>
      </c>
      <c r="U9" s="201">
        <f t="shared" ref="U9:U40" si="5">IF(OR($H$5="",$H$5=0),C9,($J$5/$H$5)*C9)</f>
        <v>0</v>
      </c>
      <c r="V9" s="172">
        <f t="shared" ref="V9:V40" si="6">T9+U9</f>
        <v>1.3943242003419658</v>
      </c>
    </row>
    <row r="10" spans="1:22" ht="24" customHeight="1">
      <c r="A10" s="165">
        <v>2</v>
      </c>
      <c r="B10" s="166" t="s">
        <v>603</v>
      </c>
      <c r="C10" s="193">
        <v>0.2</v>
      </c>
      <c r="D10" s="198">
        <f t="shared" si="0"/>
        <v>0.8</v>
      </c>
      <c r="E10" s="192" t="s">
        <v>525</v>
      </c>
      <c r="F10" s="193">
        <v>0.8</v>
      </c>
      <c r="G10" s="199">
        <f>IFERROR(INDEX(Database!$B$2:$CT$473,MATCH(E10,Database!$A$2:$A$473,0),MATCH($C$4,Database!$B$1:$CT$1,0)),"")</f>
        <v>4795.8</v>
      </c>
      <c r="H10" s="199">
        <f>IFERROR(INDEX(Database!$B$2:$CT$473,MATCH(E10,Database!$A$2:$A$473,0),MATCH($C$5,Database!$B$1:$CT$1,0)),"")</f>
        <v>6686.9</v>
      </c>
      <c r="I10" s="177">
        <f t="shared" si="1"/>
        <v>1.1154593602735727</v>
      </c>
      <c r="J10" s="192"/>
      <c r="K10" s="193"/>
      <c r="L10" s="199" t="str">
        <f>IFERROR(INDEX(Database!$B$2:$CT$473,MATCH(J10,Database!$A$2:$A$473,0),MATCH($C$4,Database!$B$1:$CT$1,0)),"")</f>
        <v/>
      </c>
      <c r="M10" s="199" t="str">
        <f>IFERROR(INDEX(Database!$B$2:$CT$473,MATCH(J10,Database!$A$2:$A$473,0),MATCH($C$5,Database!$B$1:$CT$1,0)),"")</f>
        <v/>
      </c>
      <c r="N10" s="177">
        <f t="shared" si="2"/>
        <v>0</v>
      </c>
      <c r="O10" s="192"/>
      <c r="P10" s="193"/>
      <c r="Q10" s="199" t="str">
        <f>IFERROR(INDEX(Database!$B$2:$CT$473,MATCH(O10,Database!$A$2:$A$473,0),MATCH($C$4,Database!$B$1:$CT$1,0)),"")</f>
        <v/>
      </c>
      <c r="R10" s="199" t="str">
        <f>IFERROR(INDEX(Database!$B$2:$CT$473,MATCH(O10,Database!$A$2:$A$473,0),MATCH($C$5,Database!$B$1:$CT$1,0)),"")</f>
        <v/>
      </c>
      <c r="S10" s="177">
        <f t="shared" si="3"/>
        <v>0</v>
      </c>
      <c r="T10" s="200">
        <f t="shared" si="4"/>
        <v>1.1154593602735727</v>
      </c>
      <c r="U10" s="201">
        <f t="shared" si="5"/>
        <v>0.2</v>
      </c>
      <c r="V10" s="172">
        <f t="shared" si="6"/>
        <v>1.3154593602735727</v>
      </c>
    </row>
    <row r="11" spans="1:22" ht="24" customHeight="1">
      <c r="A11" s="160">
        <v>3</v>
      </c>
      <c r="B11" s="162" t="s">
        <v>604</v>
      </c>
      <c r="C11" s="193">
        <v>0.2</v>
      </c>
      <c r="D11" s="198">
        <f t="shared" si="0"/>
        <v>0.8</v>
      </c>
      <c r="E11" s="192" t="s">
        <v>525</v>
      </c>
      <c r="F11" s="193">
        <v>0.2</v>
      </c>
      <c r="G11" s="199">
        <f>IFERROR(INDEX(Database!$B$2:$CT$473,MATCH(E11,Database!$A$2:$A$473,0),MATCH($C$4,Database!$B$1:$CT$1,0)),"")</f>
        <v>4795.8</v>
      </c>
      <c r="H11" s="199">
        <f>IFERROR(INDEX(Database!$B$2:$CT$473,MATCH(E11,Database!$A$2:$A$473,0),MATCH($C$5,Database!$B$1:$CT$1,0)),"")</f>
        <v>6686.9</v>
      </c>
      <c r="I11" s="173">
        <f t="shared" si="1"/>
        <v>0.27886484006839318</v>
      </c>
      <c r="J11" s="192" t="s">
        <v>123</v>
      </c>
      <c r="K11" s="193">
        <v>0.6</v>
      </c>
      <c r="L11" s="199">
        <f>IFERROR(INDEX(Database!$B$2:$CT$473,MATCH(J11,Database!$A$2:$A$473,0),MATCH($C$4,Database!$B$1:$CT$1,0)),"")</f>
        <v>6783.9</v>
      </c>
      <c r="M11" s="199">
        <f>IFERROR(INDEX(Database!$B$2:$CT$473,MATCH(J11,Database!$A$2:$A$473,0),MATCH($C$5,Database!$B$1:$CT$1,0)),"")</f>
        <v>9344.2000000000007</v>
      </c>
      <c r="N11" s="173">
        <f t="shared" si="2"/>
        <v>0.82644496528545541</v>
      </c>
      <c r="O11" s="192"/>
      <c r="P11" s="193"/>
      <c r="Q11" s="199" t="str">
        <f>IFERROR(INDEX(Database!$B$2:$CT$473,MATCH(O11,Database!$A$2:$A$473,0),MATCH($C$4,Database!$B$1:$CT$1,0)),"")</f>
        <v/>
      </c>
      <c r="R11" s="199" t="str">
        <f>IFERROR(INDEX(Database!$B$2:$CT$473,MATCH(O11,Database!$A$2:$A$473,0),MATCH($C$5,Database!$B$1:$CT$1,0)),"")</f>
        <v/>
      </c>
      <c r="S11" s="173">
        <f t="shared" si="3"/>
        <v>0</v>
      </c>
      <c r="T11" s="200">
        <f t="shared" si="4"/>
        <v>1.1053098053538486</v>
      </c>
      <c r="U11" s="201">
        <f t="shared" si="5"/>
        <v>0.2</v>
      </c>
      <c r="V11" s="172">
        <f t="shared" si="6"/>
        <v>1.3053098053538486</v>
      </c>
    </row>
    <row r="12" spans="1:22" ht="24" customHeight="1">
      <c r="A12" s="165">
        <v>4</v>
      </c>
      <c r="B12" s="166" t="s">
        <v>605</v>
      </c>
      <c r="C12" s="193">
        <v>0</v>
      </c>
      <c r="D12" s="198">
        <f t="shared" si="0"/>
        <v>1</v>
      </c>
      <c r="E12" s="192" t="s">
        <v>123</v>
      </c>
      <c r="F12" s="193">
        <v>0.75</v>
      </c>
      <c r="G12" s="199">
        <f>IFERROR(INDEX(Database!$B$2:$CT$473,MATCH(E12,Database!$A$2:$A$473,0),MATCH($C$4,Database!$B$1:$CT$1,0)),"")</f>
        <v>6783.9</v>
      </c>
      <c r="H12" s="199">
        <f>IFERROR(INDEX(Database!$B$2:$CT$473,MATCH(E12,Database!$A$2:$A$473,0),MATCH($C$5,Database!$B$1:$CT$1,0)),"")</f>
        <v>9344.2000000000007</v>
      </c>
      <c r="I12" s="177">
        <f t="shared" si="1"/>
        <v>1.0330562066068194</v>
      </c>
      <c r="J12" s="192" t="s">
        <v>540</v>
      </c>
      <c r="K12" s="193">
        <v>0.25</v>
      </c>
      <c r="L12" s="199">
        <f>IFERROR(INDEX(Database!$B$2:$CT$473,MATCH(J12,Database!$A$2:$A$473,0),MATCH($C$4,Database!$B$1:$CT$1,0)),"")</f>
        <v>6976.7</v>
      </c>
      <c r="M12" s="199">
        <f>IFERROR(INDEX(Database!$B$2:$CT$473,MATCH(J12,Database!$A$2:$A$473,0),MATCH($C$5,Database!$B$1:$CT$1,0)),"")</f>
        <v>10444.1</v>
      </c>
      <c r="N12" s="177">
        <f t="shared" si="2"/>
        <v>0.37424928691215048</v>
      </c>
      <c r="O12" s="192"/>
      <c r="P12" s="193"/>
      <c r="Q12" s="199" t="str">
        <f>IFERROR(INDEX(Database!$B$2:$CT$473,MATCH(O12,Database!$A$2:$A$473,0),MATCH($C$4,Database!$B$1:$CT$1,0)),"")</f>
        <v/>
      </c>
      <c r="R12" s="199" t="str">
        <f>IFERROR(INDEX(Database!$B$2:$CT$473,MATCH(O12,Database!$A$2:$A$473,0),MATCH($C$5,Database!$B$1:$CT$1,0)),"")</f>
        <v/>
      </c>
      <c r="S12" s="177">
        <f t="shared" si="3"/>
        <v>0</v>
      </c>
      <c r="T12" s="200">
        <f t="shared" si="4"/>
        <v>1.4073054935189699</v>
      </c>
      <c r="U12" s="201">
        <f t="shared" si="5"/>
        <v>0</v>
      </c>
      <c r="V12" s="172">
        <f t="shared" si="6"/>
        <v>1.4073054935189699</v>
      </c>
    </row>
    <row r="13" spans="1:22" ht="24" customHeight="1">
      <c r="A13" s="160">
        <v>5</v>
      </c>
      <c r="B13" s="162" t="s">
        <v>606</v>
      </c>
      <c r="C13" s="193">
        <v>0.6</v>
      </c>
      <c r="D13" s="198">
        <f t="shared" si="0"/>
        <v>0.4</v>
      </c>
      <c r="E13" s="192" t="s">
        <v>123</v>
      </c>
      <c r="F13" s="193">
        <v>0.3</v>
      </c>
      <c r="G13" s="199">
        <f>IFERROR(INDEX(Database!$B$2:$CT$473,MATCH(E13,Database!$A$2:$A$473,0),MATCH($C$4,Database!$B$1:$CT$1,0)),"")</f>
        <v>6783.9</v>
      </c>
      <c r="H13" s="199">
        <f>IFERROR(INDEX(Database!$B$2:$CT$473,MATCH(E13,Database!$A$2:$A$473,0),MATCH($C$5,Database!$B$1:$CT$1,0)),"")</f>
        <v>9344.2000000000007</v>
      </c>
      <c r="I13" s="173">
        <f t="shared" si="1"/>
        <v>0.41322248264272771</v>
      </c>
      <c r="J13" s="192" t="s">
        <v>540</v>
      </c>
      <c r="K13" s="193">
        <v>0.1</v>
      </c>
      <c r="L13" s="199">
        <f>IFERROR(INDEX(Database!$B$2:$CT$473,MATCH(J13,Database!$A$2:$A$473,0),MATCH($C$4,Database!$B$1:$CT$1,0)),"")</f>
        <v>6976.7</v>
      </c>
      <c r="M13" s="199">
        <f>IFERROR(INDEX(Database!$B$2:$CT$473,MATCH(J13,Database!$A$2:$A$473,0),MATCH($C$5,Database!$B$1:$CT$1,0)),"")</f>
        <v>10444.1</v>
      </c>
      <c r="N13" s="173">
        <f t="shared" si="2"/>
        <v>0.14969971476486019</v>
      </c>
      <c r="O13" s="192"/>
      <c r="P13" s="193"/>
      <c r="Q13" s="199" t="str">
        <f>IFERROR(INDEX(Database!$B$2:$CT$473,MATCH(O13,Database!$A$2:$A$473,0),MATCH($C$4,Database!$B$1:$CT$1,0)),"")</f>
        <v/>
      </c>
      <c r="R13" s="199" t="str">
        <f>IFERROR(INDEX(Database!$B$2:$CT$473,MATCH(O13,Database!$A$2:$A$473,0),MATCH($C$5,Database!$B$1:$CT$1,0)),"")</f>
        <v/>
      </c>
      <c r="S13" s="173">
        <f t="shared" si="3"/>
        <v>0</v>
      </c>
      <c r="T13" s="200">
        <f t="shared" si="4"/>
        <v>0.56292219740758787</v>
      </c>
      <c r="U13" s="201">
        <f t="shared" si="5"/>
        <v>0.6</v>
      </c>
      <c r="V13" s="172">
        <f t="shared" si="6"/>
        <v>1.1629221974075878</v>
      </c>
    </row>
    <row r="14" spans="1:22" ht="24" customHeight="1">
      <c r="A14" s="165">
        <v>6</v>
      </c>
      <c r="B14" s="166" t="s">
        <v>607</v>
      </c>
      <c r="C14" s="193">
        <v>0.5</v>
      </c>
      <c r="D14" s="198">
        <f t="shared" si="0"/>
        <v>0.5</v>
      </c>
      <c r="E14" s="192" t="s">
        <v>123</v>
      </c>
      <c r="F14" s="193">
        <v>0.4</v>
      </c>
      <c r="G14" s="199">
        <f>IFERROR(INDEX(Database!$B$2:$CT$473,MATCH(E14,Database!$A$2:$A$473,0),MATCH($C$4,Database!$B$1:$CT$1,0)),"")</f>
        <v>6783.9</v>
      </c>
      <c r="H14" s="199">
        <f>IFERROR(INDEX(Database!$B$2:$CT$473,MATCH(E14,Database!$A$2:$A$473,0),MATCH($C$5,Database!$B$1:$CT$1,0)),"")</f>
        <v>9344.2000000000007</v>
      </c>
      <c r="I14" s="177">
        <f t="shared" si="1"/>
        <v>0.55096331019030365</v>
      </c>
      <c r="J14" s="192" t="s">
        <v>540</v>
      </c>
      <c r="K14" s="193">
        <v>0.1</v>
      </c>
      <c r="L14" s="199">
        <f>IFERROR(INDEX(Database!$B$2:$CT$473,MATCH(J14,Database!$A$2:$A$473,0),MATCH($C$4,Database!$B$1:$CT$1,0)),"")</f>
        <v>6976.7</v>
      </c>
      <c r="M14" s="199">
        <f>IFERROR(INDEX(Database!$B$2:$CT$473,MATCH(J14,Database!$A$2:$A$473,0),MATCH($C$5,Database!$B$1:$CT$1,0)),"")</f>
        <v>10444.1</v>
      </c>
      <c r="N14" s="177">
        <f t="shared" si="2"/>
        <v>0.14969971476486019</v>
      </c>
      <c r="O14" s="192"/>
      <c r="P14" s="193"/>
      <c r="Q14" s="199" t="str">
        <f>IFERROR(INDEX(Database!$B$2:$CT$473,MATCH(O14,Database!$A$2:$A$473,0),MATCH($C$4,Database!$B$1:$CT$1,0)),"")</f>
        <v/>
      </c>
      <c r="R14" s="199" t="str">
        <f>IFERROR(INDEX(Database!$B$2:$CT$473,MATCH(O14,Database!$A$2:$A$473,0),MATCH($C$5,Database!$B$1:$CT$1,0)),"")</f>
        <v/>
      </c>
      <c r="S14" s="177">
        <f t="shared" si="3"/>
        <v>0</v>
      </c>
      <c r="T14" s="200">
        <f t="shared" si="4"/>
        <v>0.70066302495516386</v>
      </c>
      <c r="U14" s="201">
        <f t="shared" si="5"/>
        <v>0.5</v>
      </c>
      <c r="V14" s="172">
        <f t="shared" si="6"/>
        <v>1.2006630249551637</v>
      </c>
    </row>
    <row r="15" spans="1:22" ht="24" customHeight="1">
      <c r="A15" s="160">
        <v>7</v>
      </c>
      <c r="B15" s="162" t="s">
        <v>608</v>
      </c>
      <c r="C15" s="193">
        <v>0.65</v>
      </c>
      <c r="D15" s="198">
        <f t="shared" si="0"/>
        <v>0.35</v>
      </c>
      <c r="E15" s="192" t="s">
        <v>123</v>
      </c>
      <c r="F15" s="193">
        <v>0.25</v>
      </c>
      <c r="G15" s="199">
        <f>IFERROR(INDEX(Database!$B$2:$CT$473,MATCH(E15,Database!$A$2:$A$473,0),MATCH($C$4,Database!$B$1:$CT$1,0)),"")</f>
        <v>6783.9</v>
      </c>
      <c r="H15" s="199">
        <f>IFERROR(INDEX(Database!$B$2:$CT$473,MATCH(E15,Database!$A$2:$A$473,0),MATCH($C$5,Database!$B$1:$CT$1,0)),"")</f>
        <v>9344.2000000000007</v>
      </c>
      <c r="I15" s="173">
        <f t="shared" si="1"/>
        <v>0.34435206886893976</v>
      </c>
      <c r="J15" s="192" t="s">
        <v>540</v>
      </c>
      <c r="K15" s="193">
        <v>0.1</v>
      </c>
      <c r="L15" s="199">
        <f>IFERROR(INDEX(Database!$B$2:$CT$473,MATCH(J15,Database!$A$2:$A$473,0),MATCH($C$4,Database!$B$1:$CT$1,0)),"")</f>
        <v>6976.7</v>
      </c>
      <c r="M15" s="199">
        <f>IFERROR(INDEX(Database!$B$2:$CT$473,MATCH(J15,Database!$A$2:$A$473,0),MATCH($C$5,Database!$B$1:$CT$1,0)),"")</f>
        <v>10444.1</v>
      </c>
      <c r="N15" s="173">
        <f t="shared" si="2"/>
        <v>0.14969971476486019</v>
      </c>
      <c r="O15" s="192"/>
      <c r="P15" s="193"/>
      <c r="Q15" s="199" t="str">
        <f>IFERROR(INDEX(Database!$B$2:$CT$473,MATCH(O15,Database!$A$2:$A$473,0),MATCH($C$4,Database!$B$1:$CT$1,0)),"")</f>
        <v/>
      </c>
      <c r="R15" s="199" t="str">
        <f>IFERROR(INDEX(Database!$B$2:$CT$473,MATCH(O15,Database!$A$2:$A$473,0),MATCH($C$5,Database!$B$1:$CT$1,0)),"")</f>
        <v/>
      </c>
      <c r="S15" s="173">
        <f t="shared" si="3"/>
        <v>0</v>
      </c>
      <c r="T15" s="200">
        <f t="shared" si="4"/>
        <v>0.49405178363379998</v>
      </c>
      <c r="U15" s="201">
        <f t="shared" si="5"/>
        <v>0.65</v>
      </c>
      <c r="V15" s="172">
        <f t="shared" si="6"/>
        <v>1.1440517836338</v>
      </c>
    </row>
    <row r="16" spans="1:22" ht="24" customHeight="1">
      <c r="A16" s="165">
        <v>8</v>
      </c>
      <c r="B16" s="166" t="s">
        <v>609</v>
      </c>
      <c r="C16" s="193">
        <v>0</v>
      </c>
      <c r="D16" s="198">
        <f t="shared" si="0"/>
        <v>1</v>
      </c>
      <c r="E16" s="192" t="s">
        <v>123</v>
      </c>
      <c r="F16" s="193">
        <v>1</v>
      </c>
      <c r="G16" s="199">
        <f>IFERROR(INDEX(Database!$B$2:$CT$473,MATCH(E16,Database!$A$2:$A$473,0),MATCH($C$4,Database!$B$1:$CT$1,0)),"")</f>
        <v>6783.9</v>
      </c>
      <c r="H16" s="199">
        <f>IFERROR(INDEX(Database!$B$2:$CT$473,MATCH(E16,Database!$A$2:$A$473,0),MATCH($C$5,Database!$B$1:$CT$1,0)),"")</f>
        <v>9344.2000000000007</v>
      </c>
      <c r="I16" s="177">
        <f t="shared" si="1"/>
        <v>1.3774082754757591</v>
      </c>
      <c r="J16" s="192"/>
      <c r="K16" s="193"/>
      <c r="L16" s="199" t="str">
        <f>IFERROR(INDEX(Database!$B$2:$CT$473,MATCH(J16,Database!$A$2:$A$473,0),MATCH($C$4,Database!$B$1:$CT$1,0)),"")</f>
        <v/>
      </c>
      <c r="M16" s="199" t="str">
        <f>IFERROR(INDEX(Database!$B$2:$CT$473,MATCH(J16,Database!$A$2:$A$473,0),MATCH($C$5,Database!$B$1:$CT$1,0)),"")</f>
        <v/>
      </c>
      <c r="N16" s="177">
        <f t="shared" si="2"/>
        <v>0</v>
      </c>
      <c r="O16" s="192"/>
      <c r="P16" s="193"/>
      <c r="Q16" s="199" t="str">
        <f>IFERROR(INDEX(Database!$B$2:$CT$473,MATCH(O16,Database!$A$2:$A$473,0),MATCH($C$4,Database!$B$1:$CT$1,0)),"")</f>
        <v/>
      </c>
      <c r="R16" s="199" t="str">
        <f>IFERROR(INDEX(Database!$B$2:$CT$473,MATCH(O16,Database!$A$2:$A$473,0),MATCH($C$5,Database!$B$1:$CT$1,0)),"")</f>
        <v/>
      </c>
      <c r="S16" s="177">
        <f t="shared" si="3"/>
        <v>0</v>
      </c>
      <c r="T16" s="200">
        <f t="shared" si="4"/>
        <v>1.3774082754757591</v>
      </c>
      <c r="U16" s="201">
        <f t="shared" si="5"/>
        <v>0</v>
      </c>
      <c r="V16" s="172">
        <f t="shared" si="6"/>
        <v>1.3774082754757591</v>
      </c>
    </row>
    <row r="17" spans="1:22" ht="24" customHeight="1">
      <c r="A17" s="160">
        <v>9</v>
      </c>
      <c r="B17" s="162" t="s">
        <v>610</v>
      </c>
      <c r="C17" s="193">
        <v>0.5</v>
      </c>
      <c r="D17" s="198">
        <f t="shared" si="0"/>
        <v>0.5</v>
      </c>
      <c r="E17" s="192" t="s">
        <v>123</v>
      </c>
      <c r="F17" s="193">
        <v>0.5</v>
      </c>
      <c r="G17" s="199">
        <f>IFERROR(INDEX(Database!$B$2:$CT$473,MATCH(E17,Database!$A$2:$A$473,0),MATCH($C$4,Database!$B$1:$CT$1,0)),"")</f>
        <v>6783.9</v>
      </c>
      <c r="H17" s="199">
        <f>IFERROR(INDEX(Database!$B$2:$CT$473,MATCH(E17,Database!$A$2:$A$473,0),MATCH($C$5,Database!$B$1:$CT$1,0)),"")</f>
        <v>9344.2000000000007</v>
      </c>
      <c r="I17" s="173">
        <f t="shared" si="1"/>
        <v>0.68870413773787953</v>
      </c>
      <c r="J17" s="192"/>
      <c r="K17" s="193"/>
      <c r="L17" s="199" t="str">
        <f>IFERROR(INDEX(Database!$B$2:$CT$473,MATCH(J17,Database!$A$2:$A$473,0),MATCH($C$4,Database!$B$1:$CT$1,0)),"")</f>
        <v/>
      </c>
      <c r="M17" s="199" t="str">
        <f>IFERROR(INDEX(Database!$B$2:$CT$473,MATCH(J17,Database!$A$2:$A$473,0),MATCH($C$5,Database!$B$1:$CT$1,0)),"")</f>
        <v/>
      </c>
      <c r="N17" s="173">
        <f t="shared" si="2"/>
        <v>0</v>
      </c>
      <c r="O17" s="192"/>
      <c r="P17" s="193"/>
      <c r="Q17" s="199" t="str">
        <f>IFERROR(INDEX(Database!$B$2:$CT$473,MATCH(O17,Database!$A$2:$A$473,0),MATCH($C$4,Database!$B$1:$CT$1,0)),"")</f>
        <v/>
      </c>
      <c r="R17" s="199" t="str">
        <f>IFERROR(INDEX(Database!$B$2:$CT$473,MATCH(O17,Database!$A$2:$A$473,0),MATCH($C$5,Database!$B$1:$CT$1,0)),"")</f>
        <v/>
      </c>
      <c r="S17" s="173">
        <f t="shared" si="3"/>
        <v>0</v>
      </c>
      <c r="T17" s="200">
        <f t="shared" si="4"/>
        <v>0.68870413773787953</v>
      </c>
      <c r="U17" s="201">
        <f t="shared" si="5"/>
        <v>0.5</v>
      </c>
      <c r="V17" s="172">
        <f t="shared" si="6"/>
        <v>1.1887041377378795</v>
      </c>
    </row>
    <row r="18" spans="1:22" ht="24" customHeight="1">
      <c r="A18" s="165">
        <v>10</v>
      </c>
      <c r="B18" s="166" t="s">
        <v>611</v>
      </c>
      <c r="C18" s="193">
        <v>0</v>
      </c>
      <c r="D18" s="198">
        <f t="shared" si="0"/>
        <v>1</v>
      </c>
      <c r="E18" s="192" t="s">
        <v>123</v>
      </c>
      <c r="F18" s="193">
        <v>1</v>
      </c>
      <c r="G18" s="199">
        <f>IFERROR(INDEX(Database!$B$2:$CT$473,MATCH(E18,Database!$A$2:$A$473,0),MATCH($C$4,Database!$B$1:$CT$1,0)),"")</f>
        <v>6783.9</v>
      </c>
      <c r="H18" s="199">
        <f>IFERROR(INDEX(Database!$B$2:$CT$473,MATCH(E18,Database!$A$2:$A$473,0),MATCH($C$5,Database!$B$1:$CT$1,0)),"")</f>
        <v>9344.2000000000007</v>
      </c>
      <c r="I18" s="177">
        <f t="shared" si="1"/>
        <v>1.3774082754757591</v>
      </c>
      <c r="J18" s="192"/>
      <c r="K18" s="193"/>
      <c r="L18" s="199" t="str">
        <f>IFERROR(INDEX(Database!$B$2:$CT$473,MATCH(J18,Database!$A$2:$A$473,0),MATCH($C$4,Database!$B$1:$CT$1,0)),"")</f>
        <v/>
      </c>
      <c r="M18" s="199" t="str">
        <f>IFERROR(INDEX(Database!$B$2:$CT$473,MATCH(J18,Database!$A$2:$A$473,0),MATCH($C$5,Database!$B$1:$CT$1,0)),"")</f>
        <v/>
      </c>
      <c r="N18" s="177">
        <f t="shared" si="2"/>
        <v>0</v>
      </c>
      <c r="O18" s="192"/>
      <c r="P18" s="193"/>
      <c r="Q18" s="199" t="str">
        <f>IFERROR(INDEX(Database!$B$2:$CT$473,MATCH(O18,Database!$A$2:$A$473,0),MATCH($C$4,Database!$B$1:$CT$1,0)),"")</f>
        <v/>
      </c>
      <c r="R18" s="199" t="str">
        <f>IFERROR(INDEX(Database!$B$2:$CT$473,MATCH(O18,Database!$A$2:$A$473,0),MATCH($C$5,Database!$B$1:$CT$1,0)),"")</f>
        <v/>
      </c>
      <c r="S18" s="177">
        <f t="shared" si="3"/>
        <v>0</v>
      </c>
      <c r="T18" s="200">
        <f t="shared" si="4"/>
        <v>1.3774082754757591</v>
      </c>
      <c r="U18" s="201">
        <f t="shared" si="5"/>
        <v>0</v>
      </c>
      <c r="V18" s="172">
        <f t="shared" si="6"/>
        <v>1.3774082754757591</v>
      </c>
    </row>
    <row r="19" spans="1:22" ht="24" customHeight="1">
      <c r="A19" s="160">
        <v>11</v>
      </c>
      <c r="B19" s="162" t="s">
        <v>612</v>
      </c>
      <c r="C19" s="193">
        <v>0.5</v>
      </c>
      <c r="D19" s="198">
        <f t="shared" si="0"/>
        <v>0.5</v>
      </c>
      <c r="E19" s="192" t="s">
        <v>123</v>
      </c>
      <c r="F19" s="193">
        <v>0.5</v>
      </c>
      <c r="G19" s="199">
        <f>IFERROR(INDEX(Database!$B$2:$CT$473,MATCH(E19,Database!$A$2:$A$473,0),MATCH($C$4,Database!$B$1:$CT$1,0)),"")</f>
        <v>6783.9</v>
      </c>
      <c r="H19" s="199">
        <f>IFERROR(INDEX(Database!$B$2:$CT$473,MATCH(E19,Database!$A$2:$A$473,0),MATCH($C$5,Database!$B$1:$CT$1,0)),"")</f>
        <v>9344.2000000000007</v>
      </c>
      <c r="I19" s="173">
        <f t="shared" si="1"/>
        <v>0.68870413773787953</v>
      </c>
      <c r="J19" s="192"/>
      <c r="K19" s="193"/>
      <c r="L19" s="199" t="str">
        <f>IFERROR(INDEX(Database!$B$2:$CT$473,MATCH(J19,Database!$A$2:$A$473,0),MATCH($C$4,Database!$B$1:$CT$1,0)),"")</f>
        <v/>
      </c>
      <c r="M19" s="199" t="str">
        <f>IFERROR(INDEX(Database!$B$2:$CT$473,MATCH(J19,Database!$A$2:$A$473,0),MATCH($C$5,Database!$B$1:$CT$1,0)),"")</f>
        <v/>
      </c>
      <c r="N19" s="173">
        <f t="shared" si="2"/>
        <v>0</v>
      </c>
      <c r="O19" s="192"/>
      <c r="P19" s="193"/>
      <c r="Q19" s="199" t="str">
        <f>IFERROR(INDEX(Database!$B$2:$CT$473,MATCH(O19,Database!$A$2:$A$473,0),MATCH($C$4,Database!$B$1:$CT$1,0)),"")</f>
        <v/>
      </c>
      <c r="R19" s="199" t="str">
        <f>IFERROR(INDEX(Database!$B$2:$CT$473,MATCH(O19,Database!$A$2:$A$473,0),MATCH($C$5,Database!$B$1:$CT$1,0)),"")</f>
        <v/>
      </c>
      <c r="S19" s="173">
        <f t="shared" si="3"/>
        <v>0</v>
      </c>
      <c r="T19" s="200">
        <f t="shared" si="4"/>
        <v>0.68870413773787953</v>
      </c>
      <c r="U19" s="201">
        <f t="shared" si="5"/>
        <v>0.5</v>
      </c>
      <c r="V19" s="172">
        <f t="shared" si="6"/>
        <v>1.1887041377378795</v>
      </c>
    </row>
    <row r="20" spans="1:22" ht="24" customHeight="1">
      <c r="A20" s="165">
        <v>12</v>
      </c>
      <c r="B20" s="166" t="s">
        <v>613</v>
      </c>
      <c r="C20" s="193">
        <v>0</v>
      </c>
      <c r="D20" s="198">
        <f t="shared" si="0"/>
        <v>1</v>
      </c>
      <c r="E20" s="192" t="s">
        <v>123</v>
      </c>
      <c r="F20" s="193">
        <v>0.5</v>
      </c>
      <c r="G20" s="199">
        <f>IFERROR(INDEX(Database!$B$2:$CT$473,MATCH(E20,Database!$A$2:$A$473,0),MATCH($C$4,Database!$B$1:$CT$1,0)),"")</f>
        <v>6783.9</v>
      </c>
      <c r="H20" s="199">
        <f>IFERROR(INDEX(Database!$B$2:$CT$473,MATCH(E20,Database!$A$2:$A$473,0),MATCH($C$5,Database!$B$1:$CT$1,0)),"")</f>
        <v>9344.2000000000007</v>
      </c>
      <c r="I20" s="177">
        <f t="shared" si="1"/>
        <v>0.68870413773787953</v>
      </c>
      <c r="J20" s="192" t="s">
        <v>525</v>
      </c>
      <c r="K20" s="193">
        <v>0.5</v>
      </c>
      <c r="L20" s="199">
        <f>IFERROR(INDEX(Database!$B$2:$CT$473,MATCH(J20,Database!$A$2:$A$473,0),MATCH($C$4,Database!$B$1:$CT$1,0)),"")</f>
        <v>4795.8</v>
      </c>
      <c r="M20" s="199">
        <f>IFERROR(INDEX(Database!$B$2:$CT$473,MATCH(J20,Database!$A$2:$A$473,0),MATCH($C$5,Database!$B$1:$CT$1,0)),"")</f>
        <v>6686.9</v>
      </c>
      <c r="N20" s="177">
        <f t="shared" si="2"/>
        <v>0.6971621001709829</v>
      </c>
      <c r="O20" s="192"/>
      <c r="P20" s="193"/>
      <c r="Q20" s="199" t="str">
        <f>IFERROR(INDEX(Database!$B$2:$CT$473,MATCH(O20,Database!$A$2:$A$473,0),MATCH($C$4,Database!$B$1:$CT$1,0)),"")</f>
        <v/>
      </c>
      <c r="R20" s="199" t="str">
        <f>IFERROR(INDEX(Database!$B$2:$CT$473,MATCH(O20,Database!$A$2:$A$473,0),MATCH($C$5,Database!$B$1:$CT$1,0)),"")</f>
        <v/>
      </c>
      <c r="S20" s="177">
        <f t="shared" si="3"/>
        <v>0</v>
      </c>
      <c r="T20" s="200">
        <f t="shared" si="4"/>
        <v>1.3858662379088624</v>
      </c>
      <c r="U20" s="201">
        <f t="shared" si="5"/>
        <v>0</v>
      </c>
      <c r="V20" s="172">
        <f t="shared" si="6"/>
        <v>1.3858662379088624</v>
      </c>
    </row>
    <row r="21" spans="1:22" ht="24" customHeight="1">
      <c r="A21" s="160">
        <v>13</v>
      </c>
      <c r="B21" s="162" t="s">
        <v>614</v>
      </c>
      <c r="C21" s="193">
        <v>0.5</v>
      </c>
      <c r="D21" s="198">
        <f t="shared" si="0"/>
        <v>0.5</v>
      </c>
      <c r="E21" s="192" t="s">
        <v>123</v>
      </c>
      <c r="F21" s="193">
        <v>0.25</v>
      </c>
      <c r="G21" s="199">
        <f>IFERROR(INDEX(Database!$B$2:$CT$473,MATCH(E21,Database!$A$2:$A$473,0),MATCH($C$4,Database!$B$1:$CT$1,0)),"")</f>
        <v>6783.9</v>
      </c>
      <c r="H21" s="199">
        <f>IFERROR(INDEX(Database!$B$2:$CT$473,MATCH(E21,Database!$A$2:$A$473,0),MATCH($C$5,Database!$B$1:$CT$1,0)),"")</f>
        <v>9344.2000000000007</v>
      </c>
      <c r="I21" s="173">
        <f t="shared" si="1"/>
        <v>0.34435206886893976</v>
      </c>
      <c r="J21" s="192" t="s">
        <v>525</v>
      </c>
      <c r="K21" s="193">
        <v>0.25</v>
      </c>
      <c r="L21" s="199">
        <f>IFERROR(INDEX(Database!$B$2:$CT$473,MATCH(J21,Database!$A$2:$A$473,0),MATCH($C$4,Database!$B$1:$CT$1,0)),"")</f>
        <v>4795.8</v>
      </c>
      <c r="M21" s="199">
        <f>IFERROR(INDEX(Database!$B$2:$CT$473,MATCH(J21,Database!$A$2:$A$473,0),MATCH($C$5,Database!$B$1:$CT$1,0)),"")</f>
        <v>6686.9</v>
      </c>
      <c r="N21" s="173">
        <f t="shared" si="2"/>
        <v>0.34858105008549145</v>
      </c>
      <c r="O21" s="192"/>
      <c r="P21" s="193"/>
      <c r="Q21" s="199" t="str">
        <f>IFERROR(INDEX(Database!$B$2:$CT$473,MATCH(O21,Database!$A$2:$A$473,0),MATCH($C$4,Database!$B$1:$CT$1,0)),"")</f>
        <v/>
      </c>
      <c r="R21" s="199" t="str">
        <f>IFERROR(INDEX(Database!$B$2:$CT$473,MATCH(O21,Database!$A$2:$A$473,0),MATCH($C$5,Database!$B$1:$CT$1,0)),"")</f>
        <v/>
      </c>
      <c r="S21" s="173">
        <f t="shared" si="3"/>
        <v>0</v>
      </c>
      <c r="T21" s="200">
        <f t="shared" si="4"/>
        <v>0.69293311895443122</v>
      </c>
      <c r="U21" s="201">
        <f t="shared" si="5"/>
        <v>0.5</v>
      </c>
      <c r="V21" s="172">
        <f t="shared" si="6"/>
        <v>1.1929331189544312</v>
      </c>
    </row>
    <row r="22" spans="1:22" ht="24" customHeight="1">
      <c r="A22" s="165">
        <v>14</v>
      </c>
      <c r="B22" s="166" t="s">
        <v>615</v>
      </c>
      <c r="C22" s="193">
        <v>0</v>
      </c>
      <c r="D22" s="198">
        <f t="shared" si="0"/>
        <v>1</v>
      </c>
      <c r="E22" s="192" t="s">
        <v>123</v>
      </c>
      <c r="F22" s="193">
        <v>0.5</v>
      </c>
      <c r="G22" s="199">
        <f>IFERROR(INDEX(Database!$B$2:$CT$473,MATCH(E22,Database!$A$2:$A$473,0),MATCH($C$4,Database!$B$1:$CT$1,0)),"")</f>
        <v>6783.9</v>
      </c>
      <c r="H22" s="199">
        <f>IFERROR(INDEX(Database!$B$2:$CT$473,MATCH(E22,Database!$A$2:$A$473,0),MATCH($C$5,Database!$B$1:$CT$1,0)),"")</f>
        <v>9344.2000000000007</v>
      </c>
      <c r="I22" s="177">
        <f t="shared" si="1"/>
        <v>0.68870413773787953</v>
      </c>
      <c r="J22" s="192" t="s">
        <v>525</v>
      </c>
      <c r="K22" s="193">
        <v>0.5</v>
      </c>
      <c r="L22" s="199">
        <f>IFERROR(INDEX(Database!$B$2:$CT$473,MATCH(J22,Database!$A$2:$A$473,0),MATCH($C$4,Database!$B$1:$CT$1,0)),"")</f>
        <v>4795.8</v>
      </c>
      <c r="M22" s="199">
        <f>IFERROR(INDEX(Database!$B$2:$CT$473,MATCH(J22,Database!$A$2:$A$473,0),MATCH($C$5,Database!$B$1:$CT$1,0)),"")</f>
        <v>6686.9</v>
      </c>
      <c r="N22" s="177">
        <f t="shared" si="2"/>
        <v>0.6971621001709829</v>
      </c>
      <c r="O22" s="192"/>
      <c r="P22" s="193"/>
      <c r="Q22" s="199" t="str">
        <f>IFERROR(INDEX(Database!$B$2:$CT$473,MATCH(O22,Database!$A$2:$A$473,0),MATCH($C$4,Database!$B$1:$CT$1,0)),"")</f>
        <v/>
      </c>
      <c r="R22" s="199" t="str">
        <f>IFERROR(INDEX(Database!$B$2:$CT$473,MATCH(O22,Database!$A$2:$A$473,0),MATCH($C$5,Database!$B$1:$CT$1,0)),"")</f>
        <v/>
      </c>
      <c r="S22" s="177">
        <f t="shared" si="3"/>
        <v>0</v>
      </c>
      <c r="T22" s="200">
        <f t="shared" si="4"/>
        <v>1.3858662379088624</v>
      </c>
      <c r="U22" s="201">
        <f t="shared" si="5"/>
        <v>0</v>
      </c>
      <c r="V22" s="172">
        <f t="shared" si="6"/>
        <v>1.3858662379088624</v>
      </c>
    </row>
    <row r="23" spans="1:22" ht="24" customHeight="1">
      <c r="A23" s="160">
        <v>15</v>
      </c>
      <c r="B23" s="162" t="s">
        <v>616</v>
      </c>
      <c r="C23" s="193">
        <v>0.5</v>
      </c>
      <c r="D23" s="198">
        <f t="shared" si="0"/>
        <v>0.5</v>
      </c>
      <c r="E23" s="192" t="s">
        <v>123</v>
      </c>
      <c r="F23" s="193">
        <v>0.25</v>
      </c>
      <c r="G23" s="199">
        <f>IFERROR(INDEX(Database!$B$2:$CT$473,MATCH(E23,Database!$A$2:$A$473,0),MATCH($C$4,Database!$B$1:$CT$1,0)),"")</f>
        <v>6783.9</v>
      </c>
      <c r="H23" s="199">
        <f>IFERROR(INDEX(Database!$B$2:$CT$473,MATCH(E23,Database!$A$2:$A$473,0),MATCH($C$5,Database!$B$1:$CT$1,0)),"")</f>
        <v>9344.2000000000007</v>
      </c>
      <c r="I23" s="173">
        <f t="shared" si="1"/>
        <v>0.34435206886893976</v>
      </c>
      <c r="J23" s="192" t="s">
        <v>525</v>
      </c>
      <c r="K23" s="193">
        <v>0.25</v>
      </c>
      <c r="L23" s="199">
        <f>IFERROR(INDEX(Database!$B$2:$CT$473,MATCH(J23,Database!$A$2:$A$473,0),MATCH($C$4,Database!$B$1:$CT$1,0)),"")</f>
        <v>4795.8</v>
      </c>
      <c r="M23" s="199">
        <f>IFERROR(INDEX(Database!$B$2:$CT$473,MATCH(J23,Database!$A$2:$A$473,0),MATCH($C$5,Database!$B$1:$CT$1,0)),"")</f>
        <v>6686.9</v>
      </c>
      <c r="N23" s="173">
        <f t="shared" si="2"/>
        <v>0.34858105008549145</v>
      </c>
      <c r="O23" s="192"/>
      <c r="P23" s="193"/>
      <c r="Q23" s="199" t="str">
        <f>IFERROR(INDEX(Database!$B$2:$CT$473,MATCH(O23,Database!$A$2:$A$473,0),MATCH($C$4,Database!$B$1:$CT$1,0)),"")</f>
        <v/>
      </c>
      <c r="R23" s="199" t="str">
        <f>IFERROR(INDEX(Database!$B$2:$CT$473,MATCH(O23,Database!$A$2:$A$473,0),MATCH($C$5,Database!$B$1:$CT$1,0)),"")</f>
        <v/>
      </c>
      <c r="S23" s="173">
        <f t="shared" si="3"/>
        <v>0</v>
      </c>
      <c r="T23" s="200">
        <f t="shared" si="4"/>
        <v>0.69293311895443122</v>
      </c>
      <c r="U23" s="201">
        <f t="shared" si="5"/>
        <v>0.5</v>
      </c>
      <c r="V23" s="172">
        <f t="shared" si="6"/>
        <v>1.1929331189544312</v>
      </c>
    </row>
    <row r="24" spans="1:22" ht="24" customHeight="1">
      <c r="A24" s="165">
        <v>16</v>
      </c>
      <c r="B24" s="166" t="s">
        <v>617</v>
      </c>
      <c r="C24" s="193">
        <v>0.5</v>
      </c>
      <c r="D24" s="198">
        <f t="shared" si="0"/>
        <v>0.5</v>
      </c>
      <c r="E24" s="192" t="s">
        <v>123</v>
      </c>
      <c r="F24" s="193">
        <v>0.25</v>
      </c>
      <c r="G24" s="199">
        <f>IFERROR(INDEX(Database!$B$2:$CT$473,MATCH(E24,Database!$A$2:$A$473,0),MATCH($C$4,Database!$B$1:$CT$1,0)),"")</f>
        <v>6783.9</v>
      </c>
      <c r="H24" s="199">
        <f>IFERROR(INDEX(Database!$B$2:$CT$473,MATCH(E24,Database!$A$2:$A$473,0),MATCH($C$5,Database!$B$1:$CT$1,0)),"")</f>
        <v>9344.2000000000007</v>
      </c>
      <c r="I24" s="177">
        <f t="shared" si="1"/>
        <v>0.34435206886893976</v>
      </c>
      <c r="J24" s="192" t="s">
        <v>525</v>
      </c>
      <c r="K24" s="193">
        <v>0.25</v>
      </c>
      <c r="L24" s="199">
        <f>IFERROR(INDEX(Database!$B$2:$CT$473,MATCH(J24,Database!$A$2:$A$473,0),MATCH($C$4,Database!$B$1:$CT$1,0)),"")</f>
        <v>4795.8</v>
      </c>
      <c r="M24" s="199">
        <f>IFERROR(INDEX(Database!$B$2:$CT$473,MATCH(J24,Database!$A$2:$A$473,0),MATCH($C$5,Database!$B$1:$CT$1,0)),"")</f>
        <v>6686.9</v>
      </c>
      <c r="N24" s="177">
        <f t="shared" si="2"/>
        <v>0.34858105008549145</v>
      </c>
      <c r="O24" s="192"/>
      <c r="P24" s="193"/>
      <c r="Q24" s="199" t="str">
        <f>IFERROR(INDEX(Database!$B$2:$CT$473,MATCH(O24,Database!$A$2:$A$473,0),MATCH($C$4,Database!$B$1:$CT$1,0)),"")</f>
        <v/>
      </c>
      <c r="R24" s="199" t="str">
        <f>IFERROR(INDEX(Database!$B$2:$CT$473,MATCH(O24,Database!$A$2:$A$473,0),MATCH($C$5,Database!$B$1:$CT$1,0)),"")</f>
        <v/>
      </c>
      <c r="S24" s="177">
        <f t="shared" si="3"/>
        <v>0</v>
      </c>
      <c r="T24" s="200">
        <f t="shared" si="4"/>
        <v>0.69293311895443122</v>
      </c>
      <c r="U24" s="201">
        <f t="shared" si="5"/>
        <v>0.5</v>
      </c>
      <c r="V24" s="172">
        <f t="shared" si="6"/>
        <v>1.1929331189544312</v>
      </c>
    </row>
    <row r="25" spans="1:22" ht="24" customHeight="1">
      <c r="A25" s="160">
        <v>17</v>
      </c>
      <c r="B25" s="162" t="s">
        <v>618</v>
      </c>
      <c r="C25" s="193">
        <v>0.7</v>
      </c>
      <c r="D25" s="198">
        <f t="shared" si="0"/>
        <v>0.30000000000000004</v>
      </c>
      <c r="E25" s="192" t="s">
        <v>123</v>
      </c>
      <c r="F25" s="193">
        <v>0.15</v>
      </c>
      <c r="G25" s="199">
        <f>IFERROR(INDEX(Database!$B$2:$CT$473,MATCH(E25,Database!$A$2:$A$473,0),MATCH($C$4,Database!$B$1:$CT$1,0)),"")</f>
        <v>6783.9</v>
      </c>
      <c r="H25" s="199">
        <f>IFERROR(INDEX(Database!$B$2:$CT$473,MATCH(E25,Database!$A$2:$A$473,0),MATCH($C$5,Database!$B$1:$CT$1,0)),"")</f>
        <v>9344.2000000000007</v>
      </c>
      <c r="I25" s="173">
        <f t="shared" si="1"/>
        <v>0.20661124132136385</v>
      </c>
      <c r="J25" s="192" t="s">
        <v>525</v>
      </c>
      <c r="K25" s="193">
        <v>0.15</v>
      </c>
      <c r="L25" s="199">
        <f>IFERROR(INDEX(Database!$B$2:$CT$473,MATCH(J25,Database!$A$2:$A$473,0),MATCH($C$4,Database!$B$1:$CT$1,0)),"")</f>
        <v>4795.8</v>
      </c>
      <c r="M25" s="199">
        <f>IFERROR(INDEX(Database!$B$2:$CT$473,MATCH(J25,Database!$A$2:$A$473,0),MATCH($C$5,Database!$B$1:$CT$1,0)),"")</f>
        <v>6686.9</v>
      </c>
      <c r="N25" s="173">
        <f t="shared" si="2"/>
        <v>0.20914863005129486</v>
      </c>
      <c r="O25" s="192"/>
      <c r="P25" s="193"/>
      <c r="Q25" s="199" t="str">
        <f>IFERROR(INDEX(Database!$B$2:$CT$473,MATCH(O25,Database!$A$2:$A$473,0),MATCH($C$4,Database!$B$1:$CT$1,0)),"")</f>
        <v/>
      </c>
      <c r="R25" s="199" t="str">
        <f>IFERROR(INDEX(Database!$B$2:$CT$473,MATCH(O25,Database!$A$2:$A$473,0),MATCH($C$5,Database!$B$1:$CT$1,0)),"")</f>
        <v/>
      </c>
      <c r="S25" s="173">
        <f t="shared" si="3"/>
        <v>0</v>
      </c>
      <c r="T25" s="200">
        <f t="shared" si="4"/>
        <v>0.41575987137265868</v>
      </c>
      <c r="U25" s="201">
        <f t="shared" si="5"/>
        <v>0.7</v>
      </c>
      <c r="V25" s="172">
        <f t="shared" si="6"/>
        <v>1.1157598713726586</v>
      </c>
    </row>
    <row r="26" spans="1:22" ht="24" customHeight="1">
      <c r="A26" s="165">
        <v>18</v>
      </c>
      <c r="B26" s="166" t="s">
        <v>619</v>
      </c>
      <c r="C26" s="193">
        <v>0</v>
      </c>
      <c r="D26" s="198">
        <f t="shared" si="0"/>
        <v>1</v>
      </c>
      <c r="E26" s="192" t="s">
        <v>123</v>
      </c>
      <c r="F26" s="193">
        <v>1</v>
      </c>
      <c r="G26" s="199">
        <f>IFERROR(INDEX(Database!$B$2:$CT$473,MATCH(E26,Database!$A$2:$A$473,0),MATCH($C$4,Database!$B$1:$CT$1,0)),"")</f>
        <v>6783.9</v>
      </c>
      <c r="H26" s="199">
        <f>IFERROR(INDEX(Database!$B$2:$CT$473,MATCH(E26,Database!$A$2:$A$473,0),MATCH($C$5,Database!$B$1:$CT$1,0)),"")</f>
        <v>9344.2000000000007</v>
      </c>
      <c r="I26" s="177">
        <f t="shared" si="1"/>
        <v>1.3774082754757591</v>
      </c>
      <c r="J26" s="192"/>
      <c r="K26" s="193"/>
      <c r="L26" s="199" t="str">
        <f>IFERROR(INDEX(Database!$B$2:$CT$473,MATCH(J26,Database!$A$2:$A$473,0),MATCH($C$4,Database!$B$1:$CT$1,0)),"")</f>
        <v/>
      </c>
      <c r="M26" s="199" t="str">
        <f>IFERROR(INDEX(Database!$B$2:$CT$473,MATCH(J26,Database!$A$2:$A$473,0),MATCH($C$5,Database!$B$1:$CT$1,0)),"")</f>
        <v/>
      </c>
      <c r="N26" s="177">
        <f t="shared" si="2"/>
        <v>0</v>
      </c>
      <c r="O26" s="192"/>
      <c r="P26" s="193"/>
      <c r="Q26" s="199" t="str">
        <f>IFERROR(INDEX(Database!$B$2:$CT$473,MATCH(O26,Database!$A$2:$A$473,0),MATCH($C$4,Database!$B$1:$CT$1,0)),"")</f>
        <v/>
      </c>
      <c r="R26" s="199" t="str">
        <f>IFERROR(INDEX(Database!$B$2:$CT$473,MATCH(O26,Database!$A$2:$A$473,0),MATCH($C$5,Database!$B$1:$CT$1,0)),"")</f>
        <v/>
      </c>
      <c r="S26" s="177">
        <f t="shared" si="3"/>
        <v>0</v>
      </c>
      <c r="T26" s="200">
        <f t="shared" si="4"/>
        <v>1.3774082754757591</v>
      </c>
      <c r="U26" s="201">
        <f t="shared" si="5"/>
        <v>0</v>
      </c>
      <c r="V26" s="172">
        <f t="shared" si="6"/>
        <v>1.3774082754757591</v>
      </c>
    </row>
    <row r="27" spans="1:22" ht="24" customHeight="1">
      <c r="A27" s="160">
        <v>19</v>
      </c>
      <c r="B27" s="162" t="s">
        <v>620</v>
      </c>
      <c r="C27" s="193">
        <v>0.7</v>
      </c>
      <c r="D27" s="198">
        <f t="shared" si="0"/>
        <v>0.30000000000000004</v>
      </c>
      <c r="E27" s="192" t="s">
        <v>123</v>
      </c>
      <c r="F27" s="193">
        <v>0.3</v>
      </c>
      <c r="G27" s="199">
        <f>IFERROR(INDEX(Database!$B$2:$CT$473,MATCH(E27,Database!$A$2:$A$473,0),MATCH($C$4,Database!$B$1:$CT$1,0)),"")</f>
        <v>6783.9</v>
      </c>
      <c r="H27" s="199">
        <f>IFERROR(INDEX(Database!$B$2:$CT$473,MATCH(E27,Database!$A$2:$A$473,0),MATCH($C$5,Database!$B$1:$CT$1,0)),"")</f>
        <v>9344.2000000000007</v>
      </c>
      <c r="I27" s="173">
        <f t="shared" si="1"/>
        <v>0.41322248264272771</v>
      </c>
      <c r="J27" s="192"/>
      <c r="K27" s="193"/>
      <c r="L27" s="199" t="str">
        <f>IFERROR(INDEX(Database!$B$2:$CT$473,MATCH(J27,Database!$A$2:$A$473,0),MATCH($C$4,Database!$B$1:$CT$1,0)),"")</f>
        <v/>
      </c>
      <c r="M27" s="199" t="str">
        <f>IFERROR(INDEX(Database!$B$2:$CT$473,MATCH(J27,Database!$A$2:$A$473,0),MATCH($C$5,Database!$B$1:$CT$1,0)),"")</f>
        <v/>
      </c>
      <c r="N27" s="173">
        <f t="shared" si="2"/>
        <v>0</v>
      </c>
      <c r="O27" s="192"/>
      <c r="P27" s="193"/>
      <c r="Q27" s="199" t="str">
        <f>IFERROR(INDEX(Database!$B$2:$CT$473,MATCH(O27,Database!$A$2:$A$473,0),MATCH($C$4,Database!$B$1:$CT$1,0)),"")</f>
        <v/>
      </c>
      <c r="R27" s="199" t="str">
        <f>IFERROR(INDEX(Database!$B$2:$CT$473,MATCH(O27,Database!$A$2:$A$473,0),MATCH($C$5,Database!$B$1:$CT$1,0)),"")</f>
        <v/>
      </c>
      <c r="S27" s="173">
        <f t="shared" si="3"/>
        <v>0</v>
      </c>
      <c r="T27" s="200">
        <f t="shared" si="4"/>
        <v>0.41322248264272771</v>
      </c>
      <c r="U27" s="201">
        <f t="shared" si="5"/>
        <v>0.7</v>
      </c>
      <c r="V27" s="172">
        <f t="shared" si="6"/>
        <v>1.1132224826427277</v>
      </c>
    </row>
    <row r="28" spans="1:22" ht="24" customHeight="1">
      <c r="A28" s="165">
        <v>20</v>
      </c>
      <c r="B28" s="166" t="s">
        <v>621</v>
      </c>
      <c r="C28" s="193">
        <v>0</v>
      </c>
      <c r="D28" s="198">
        <f t="shared" si="0"/>
        <v>1</v>
      </c>
      <c r="E28" s="192" t="s">
        <v>131</v>
      </c>
      <c r="F28" s="193">
        <v>1</v>
      </c>
      <c r="G28" s="199">
        <f>IFERROR(INDEX(Database!$B$2:$CT$473,MATCH(E28,Database!$A$2:$A$473,0),MATCH($C$4,Database!$B$1:$CT$1,0)),"")</f>
        <v>4799.6000000000004</v>
      </c>
      <c r="H28" s="199">
        <f>IFERROR(INDEX(Database!$B$2:$CT$473,MATCH(E28,Database!$A$2:$A$473,0),MATCH($C$5,Database!$B$1:$CT$1,0)),"")</f>
        <v>7368</v>
      </c>
      <c r="I28" s="177">
        <f t="shared" si="1"/>
        <v>1.5351279273272771</v>
      </c>
      <c r="J28" s="192"/>
      <c r="K28" s="193"/>
      <c r="L28" s="199" t="str">
        <f>IFERROR(INDEX(Database!$B$2:$CT$473,MATCH(J28,Database!$A$2:$A$473,0),MATCH($C$4,Database!$B$1:$CT$1,0)),"")</f>
        <v/>
      </c>
      <c r="M28" s="199" t="str">
        <f>IFERROR(INDEX(Database!$B$2:$CT$473,MATCH(J28,Database!$A$2:$A$473,0),MATCH($C$5,Database!$B$1:$CT$1,0)),"")</f>
        <v/>
      </c>
      <c r="N28" s="177">
        <f t="shared" si="2"/>
        <v>0</v>
      </c>
      <c r="O28" s="192"/>
      <c r="P28" s="193"/>
      <c r="Q28" s="199" t="str">
        <f>IFERROR(INDEX(Database!$B$2:$CT$473,MATCH(O28,Database!$A$2:$A$473,0),MATCH($C$4,Database!$B$1:$CT$1,0)),"")</f>
        <v/>
      </c>
      <c r="R28" s="199" t="str">
        <f>IFERROR(INDEX(Database!$B$2:$CT$473,MATCH(O28,Database!$A$2:$A$473,0),MATCH($C$5,Database!$B$1:$CT$1,0)),"")</f>
        <v/>
      </c>
      <c r="S28" s="177">
        <f t="shared" si="3"/>
        <v>0</v>
      </c>
      <c r="T28" s="200">
        <f t="shared" si="4"/>
        <v>1.5351279273272771</v>
      </c>
      <c r="U28" s="201">
        <f t="shared" si="5"/>
        <v>0</v>
      </c>
      <c r="V28" s="172">
        <f t="shared" si="6"/>
        <v>1.5351279273272771</v>
      </c>
    </row>
    <row r="29" spans="1:22" ht="24" customHeight="1">
      <c r="A29" s="160">
        <v>21</v>
      </c>
      <c r="B29" s="162" t="s">
        <v>622</v>
      </c>
      <c r="C29" s="193">
        <v>0.3</v>
      </c>
      <c r="D29" s="198">
        <f t="shared" si="0"/>
        <v>0.7</v>
      </c>
      <c r="E29" s="192" t="s">
        <v>123</v>
      </c>
      <c r="F29" s="193">
        <v>0.7</v>
      </c>
      <c r="G29" s="199">
        <f>IFERROR(INDEX(Database!$B$2:$CT$473,MATCH(E29,Database!$A$2:$A$473,0),MATCH($C$4,Database!$B$1:$CT$1,0)),"")</f>
        <v>6783.9</v>
      </c>
      <c r="H29" s="199">
        <f>IFERROR(INDEX(Database!$B$2:$CT$473,MATCH(E29,Database!$A$2:$A$473,0),MATCH($C$5,Database!$B$1:$CT$1,0)),"")</f>
        <v>9344.2000000000007</v>
      </c>
      <c r="I29" s="173">
        <f t="shared" si="1"/>
        <v>0.9641857928330313</v>
      </c>
      <c r="J29" s="192"/>
      <c r="K29" s="193"/>
      <c r="L29" s="199" t="str">
        <f>IFERROR(INDEX(Database!$B$2:$CT$473,MATCH(J29,Database!$A$2:$A$473,0),MATCH($C$4,Database!$B$1:$CT$1,0)),"")</f>
        <v/>
      </c>
      <c r="M29" s="199" t="str">
        <f>IFERROR(INDEX(Database!$B$2:$CT$473,MATCH(J29,Database!$A$2:$A$473,0),MATCH($C$5,Database!$B$1:$CT$1,0)),"")</f>
        <v/>
      </c>
      <c r="N29" s="173">
        <f t="shared" si="2"/>
        <v>0</v>
      </c>
      <c r="O29" s="192"/>
      <c r="P29" s="193"/>
      <c r="Q29" s="199" t="str">
        <f>IFERROR(INDEX(Database!$B$2:$CT$473,MATCH(O29,Database!$A$2:$A$473,0),MATCH($C$4,Database!$B$1:$CT$1,0)),"")</f>
        <v/>
      </c>
      <c r="R29" s="199" t="str">
        <f>IFERROR(INDEX(Database!$B$2:$CT$473,MATCH(O29,Database!$A$2:$A$473,0),MATCH($C$5,Database!$B$1:$CT$1,0)),"")</f>
        <v/>
      </c>
      <c r="S29" s="173">
        <f t="shared" si="3"/>
        <v>0</v>
      </c>
      <c r="T29" s="200">
        <f t="shared" si="4"/>
        <v>0.9641857928330313</v>
      </c>
      <c r="U29" s="201">
        <f t="shared" si="5"/>
        <v>0.3</v>
      </c>
      <c r="V29" s="172">
        <f t="shared" si="6"/>
        <v>1.2641857928330313</v>
      </c>
    </row>
    <row r="30" spans="1:22" ht="24" customHeight="1">
      <c r="A30" s="165">
        <v>22</v>
      </c>
      <c r="B30" s="166" t="s">
        <v>623</v>
      </c>
      <c r="C30" s="193">
        <v>0.7</v>
      </c>
      <c r="D30" s="198">
        <f t="shared" si="0"/>
        <v>0.30000000000000004</v>
      </c>
      <c r="E30" s="192" t="s">
        <v>123</v>
      </c>
      <c r="F30" s="193">
        <v>0.3</v>
      </c>
      <c r="G30" s="199">
        <f>IFERROR(INDEX(Database!$B$2:$CT$473,MATCH(E30,Database!$A$2:$A$473,0),MATCH($C$4,Database!$B$1:$CT$1,0)),"")</f>
        <v>6783.9</v>
      </c>
      <c r="H30" s="199">
        <f>IFERROR(INDEX(Database!$B$2:$CT$473,MATCH(E30,Database!$A$2:$A$473,0),MATCH($C$5,Database!$B$1:$CT$1,0)),"")</f>
        <v>9344.2000000000007</v>
      </c>
      <c r="I30" s="177">
        <f t="shared" si="1"/>
        <v>0.41322248264272771</v>
      </c>
      <c r="J30" s="192"/>
      <c r="K30" s="193"/>
      <c r="L30" s="199" t="str">
        <f>IFERROR(INDEX(Database!$B$2:$CT$473,MATCH(J30,Database!$A$2:$A$473,0),MATCH($C$4,Database!$B$1:$CT$1,0)),"")</f>
        <v/>
      </c>
      <c r="M30" s="199" t="str">
        <f>IFERROR(INDEX(Database!$B$2:$CT$473,MATCH(J30,Database!$A$2:$A$473,0),MATCH($C$5,Database!$B$1:$CT$1,0)),"")</f>
        <v/>
      </c>
      <c r="N30" s="177">
        <f t="shared" si="2"/>
        <v>0</v>
      </c>
      <c r="O30" s="192"/>
      <c r="P30" s="193"/>
      <c r="Q30" s="199" t="str">
        <f>IFERROR(INDEX(Database!$B$2:$CT$473,MATCH(O30,Database!$A$2:$A$473,0),MATCH($C$4,Database!$B$1:$CT$1,0)),"")</f>
        <v/>
      </c>
      <c r="R30" s="199" t="str">
        <f>IFERROR(INDEX(Database!$B$2:$CT$473,MATCH(O30,Database!$A$2:$A$473,0),MATCH($C$5,Database!$B$1:$CT$1,0)),"")</f>
        <v/>
      </c>
      <c r="S30" s="177">
        <f t="shared" si="3"/>
        <v>0</v>
      </c>
      <c r="T30" s="200">
        <f t="shared" si="4"/>
        <v>0.41322248264272771</v>
      </c>
      <c r="U30" s="201">
        <f t="shared" si="5"/>
        <v>0.7</v>
      </c>
      <c r="V30" s="172">
        <f t="shared" si="6"/>
        <v>1.1132224826427277</v>
      </c>
    </row>
    <row r="31" spans="1:22" ht="24" customHeight="1">
      <c r="A31" s="160">
        <v>23</v>
      </c>
      <c r="B31" s="162" t="s">
        <v>624</v>
      </c>
      <c r="C31" s="193">
        <v>0.35</v>
      </c>
      <c r="D31" s="198">
        <f t="shared" si="0"/>
        <v>0.65</v>
      </c>
      <c r="E31" s="192" t="s">
        <v>123</v>
      </c>
      <c r="F31" s="193">
        <v>0.65</v>
      </c>
      <c r="G31" s="199">
        <f>IFERROR(INDEX(Database!$B$2:$CT$473,MATCH(E31,Database!$A$2:$A$473,0),MATCH($C$4,Database!$B$1:$CT$1,0)),"")</f>
        <v>6783.9</v>
      </c>
      <c r="H31" s="199">
        <f>IFERROR(INDEX(Database!$B$2:$CT$473,MATCH(E31,Database!$A$2:$A$473,0),MATCH($C$5,Database!$B$1:$CT$1,0)),"")</f>
        <v>9344.2000000000007</v>
      </c>
      <c r="I31" s="173">
        <f t="shared" si="1"/>
        <v>0.89531537905924341</v>
      </c>
      <c r="J31" s="192"/>
      <c r="K31" s="193"/>
      <c r="L31" s="199" t="str">
        <f>IFERROR(INDEX(Database!$B$2:$CT$473,MATCH(J31,Database!$A$2:$A$473,0),MATCH($C$4,Database!$B$1:$CT$1,0)),"")</f>
        <v/>
      </c>
      <c r="M31" s="199" t="str">
        <f>IFERROR(INDEX(Database!$B$2:$CT$473,MATCH(J31,Database!$A$2:$A$473,0),MATCH($C$5,Database!$B$1:$CT$1,0)),"")</f>
        <v/>
      </c>
      <c r="N31" s="173">
        <f t="shared" si="2"/>
        <v>0</v>
      </c>
      <c r="O31" s="192"/>
      <c r="P31" s="193"/>
      <c r="Q31" s="199" t="str">
        <f>IFERROR(INDEX(Database!$B$2:$CT$473,MATCH(O31,Database!$A$2:$A$473,0),MATCH($C$4,Database!$B$1:$CT$1,0)),"")</f>
        <v/>
      </c>
      <c r="R31" s="199" t="str">
        <f>IFERROR(INDEX(Database!$B$2:$CT$473,MATCH(O31,Database!$A$2:$A$473,0),MATCH($C$5,Database!$B$1:$CT$1,0)),"")</f>
        <v/>
      </c>
      <c r="S31" s="173">
        <f t="shared" si="3"/>
        <v>0</v>
      </c>
      <c r="T31" s="200">
        <f t="shared" si="4"/>
        <v>0.89531537905924341</v>
      </c>
      <c r="U31" s="201">
        <f t="shared" si="5"/>
        <v>0.35</v>
      </c>
      <c r="V31" s="172">
        <f t="shared" si="6"/>
        <v>1.2453153790592433</v>
      </c>
    </row>
    <row r="32" spans="1:22" ht="24" customHeight="1">
      <c r="A32" s="165">
        <v>24</v>
      </c>
      <c r="B32" s="166" t="s">
        <v>625</v>
      </c>
      <c r="C32" s="193">
        <v>0</v>
      </c>
      <c r="D32" s="198">
        <f t="shared" si="0"/>
        <v>1</v>
      </c>
      <c r="E32" s="192" t="s">
        <v>123</v>
      </c>
      <c r="F32" s="193">
        <v>0.75</v>
      </c>
      <c r="G32" s="199">
        <f>IFERROR(INDEX(Database!$B$2:$CT$473,MATCH(E32,Database!$A$2:$A$473,0),MATCH($C$4,Database!$B$1:$CT$1,0)),"")</f>
        <v>6783.9</v>
      </c>
      <c r="H32" s="199">
        <f>IFERROR(INDEX(Database!$B$2:$CT$473,MATCH(E32,Database!$A$2:$A$473,0),MATCH($C$5,Database!$B$1:$CT$1,0)),"")</f>
        <v>9344.2000000000007</v>
      </c>
      <c r="I32" s="177">
        <f t="shared" si="1"/>
        <v>1.0330562066068194</v>
      </c>
      <c r="J32" s="192" t="s">
        <v>525</v>
      </c>
      <c r="K32" s="193">
        <v>0.25</v>
      </c>
      <c r="L32" s="199">
        <f>IFERROR(INDEX(Database!$B$2:$CT$473,MATCH(J32,Database!$A$2:$A$473,0),MATCH($C$4,Database!$B$1:$CT$1,0)),"")</f>
        <v>4795.8</v>
      </c>
      <c r="M32" s="199">
        <f>IFERROR(INDEX(Database!$B$2:$CT$473,MATCH(J32,Database!$A$2:$A$473,0),MATCH($C$5,Database!$B$1:$CT$1,0)),"")</f>
        <v>6686.9</v>
      </c>
      <c r="N32" s="177">
        <f t="shared" si="2"/>
        <v>0.34858105008549145</v>
      </c>
      <c r="O32" s="192"/>
      <c r="P32" s="193"/>
      <c r="Q32" s="199" t="str">
        <f>IFERROR(INDEX(Database!$B$2:$CT$473,MATCH(O32,Database!$A$2:$A$473,0),MATCH($C$4,Database!$B$1:$CT$1,0)),"")</f>
        <v/>
      </c>
      <c r="R32" s="199" t="str">
        <f>IFERROR(INDEX(Database!$B$2:$CT$473,MATCH(O32,Database!$A$2:$A$473,0),MATCH($C$5,Database!$B$1:$CT$1,0)),"")</f>
        <v/>
      </c>
      <c r="S32" s="177">
        <f t="shared" si="3"/>
        <v>0</v>
      </c>
      <c r="T32" s="200">
        <f t="shared" si="4"/>
        <v>1.381637256692311</v>
      </c>
      <c r="U32" s="201">
        <f t="shared" si="5"/>
        <v>0</v>
      </c>
      <c r="V32" s="172">
        <f t="shared" si="6"/>
        <v>1.381637256692311</v>
      </c>
    </row>
    <row r="33" spans="1:22" ht="24" customHeight="1">
      <c r="A33" s="160">
        <v>25</v>
      </c>
      <c r="B33" s="162" t="s">
        <v>626</v>
      </c>
      <c r="C33" s="193">
        <v>0.3</v>
      </c>
      <c r="D33" s="198">
        <f t="shared" si="0"/>
        <v>0.7</v>
      </c>
      <c r="E33" s="192" t="s">
        <v>123</v>
      </c>
      <c r="F33" s="193">
        <v>0.45</v>
      </c>
      <c r="G33" s="199">
        <f>IFERROR(INDEX(Database!$B$2:$CT$473,MATCH(E33,Database!$A$2:$A$473,0),MATCH($C$4,Database!$B$1:$CT$1,0)),"")</f>
        <v>6783.9</v>
      </c>
      <c r="H33" s="199">
        <f>IFERROR(INDEX(Database!$B$2:$CT$473,MATCH(E33,Database!$A$2:$A$473,0),MATCH($C$5,Database!$B$1:$CT$1,0)),"")</f>
        <v>9344.2000000000007</v>
      </c>
      <c r="I33" s="173">
        <f t="shared" si="1"/>
        <v>0.61983372396409164</v>
      </c>
      <c r="J33" s="192" t="s">
        <v>525</v>
      </c>
      <c r="K33" s="193">
        <v>0.25</v>
      </c>
      <c r="L33" s="199">
        <f>IFERROR(INDEX(Database!$B$2:$CT$473,MATCH(J33,Database!$A$2:$A$473,0),MATCH($C$4,Database!$B$1:$CT$1,0)),"")</f>
        <v>4795.8</v>
      </c>
      <c r="M33" s="199">
        <f>IFERROR(INDEX(Database!$B$2:$CT$473,MATCH(J33,Database!$A$2:$A$473,0),MATCH($C$5,Database!$B$1:$CT$1,0)),"")</f>
        <v>6686.9</v>
      </c>
      <c r="N33" s="173">
        <f t="shared" si="2"/>
        <v>0.34858105008549145</v>
      </c>
      <c r="O33" s="192"/>
      <c r="P33" s="193"/>
      <c r="Q33" s="199" t="str">
        <f>IFERROR(INDEX(Database!$B$2:$CT$473,MATCH(O33,Database!$A$2:$A$473,0),MATCH($C$4,Database!$B$1:$CT$1,0)),"")</f>
        <v/>
      </c>
      <c r="R33" s="199" t="str">
        <f>IFERROR(INDEX(Database!$B$2:$CT$473,MATCH(O33,Database!$A$2:$A$473,0),MATCH($C$5,Database!$B$1:$CT$1,0)),"")</f>
        <v/>
      </c>
      <c r="S33" s="173">
        <f t="shared" si="3"/>
        <v>0</v>
      </c>
      <c r="T33" s="200">
        <f t="shared" si="4"/>
        <v>0.96841477404958309</v>
      </c>
      <c r="U33" s="201">
        <f t="shared" si="5"/>
        <v>0.3</v>
      </c>
      <c r="V33" s="172">
        <f t="shared" si="6"/>
        <v>1.268414774049583</v>
      </c>
    </row>
    <row r="34" spans="1:22" ht="24" customHeight="1">
      <c r="A34" s="165">
        <v>26</v>
      </c>
      <c r="B34" s="166" t="s">
        <v>627</v>
      </c>
      <c r="C34" s="193">
        <v>0.75</v>
      </c>
      <c r="D34" s="198">
        <f t="shared" si="0"/>
        <v>0.25</v>
      </c>
      <c r="E34" s="192" t="s">
        <v>525</v>
      </c>
      <c r="F34" s="193">
        <v>0.25</v>
      </c>
      <c r="G34" s="199">
        <f>IFERROR(INDEX(Database!$B$2:$CT$473,MATCH(E34,Database!$A$2:$A$473,0),MATCH($C$4,Database!$B$1:$CT$1,0)),"")</f>
        <v>4795.8</v>
      </c>
      <c r="H34" s="199">
        <f>IFERROR(INDEX(Database!$B$2:$CT$473,MATCH(E34,Database!$A$2:$A$473,0),MATCH($C$5,Database!$B$1:$CT$1,0)),"")</f>
        <v>6686.9</v>
      </c>
      <c r="I34" s="177">
        <f t="shared" si="1"/>
        <v>0.34858105008549145</v>
      </c>
      <c r="J34" s="192"/>
      <c r="K34" s="193"/>
      <c r="L34" s="199" t="str">
        <f>IFERROR(INDEX(Database!$B$2:$CT$473,MATCH(J34,Database!$A$2:$A$473,0),MATCH($C$4,Database!$B$1:$CT$1,0)),"")</f>
        <v/>
      </c>
      <c r="M34" s="199" t="str">
        <f>IFERROR(INDEX(Database!$B$2:$CT$473,MATCH(J34,Database!$A$2:$A$473,0),MATCH($C$5,Database!$B$1:$CT$1,0)),"")</f>
        <v/>
      </c>
      <c r="N34" s="177">
        <f t="shared" si="2"/>
        <v>0</v>
      </c>
      <c r="O34" s="192"/>
      <c r="P34" s="193"/>
      <c r="Q34" s="199" t="str">
        <f>IFERROR(INDEX(Database!$B$2:$CT$473,MATCH(O34,Database!$A$2:$A$473,0),MATCH($C$4,Database!$B$1:$CT$1,0)),"")</f>
        <v/>
      </c>
      <c r="R34" s="199" t="str">
        <f>IFERROR(INDEX(Database!$B$2:$CT$473,MATCH(O34,Database!$A$2:$A$473,0),MATCH($C$5,Database!$B$1:$CT$1,0)),"")</f>
        <v/>
      </c>
      <c r="S34" s="177">
        <f t="shared" si="3"/>
        <v>0</v>
      </c>
      <c r="T34" s="200">
        <f t="shared" si="4"/>
        <v>0.34858105008549145</v>
      </c>
      <c r="U34" s="201">
        <f t="shared" si="5"/>
        <v>0.75</v>
      </c>
      <c r="V34" s="172">
        <f t="shared" si="6"/>
        <v>1.0985810500854916</v>
      </c>
    </row>
    <row r="35" spans="1:22" ht="24" customHeight="1">
      <c r="A35" s="160">
        <v>27</v>
      </c>
      <c r="B35" s="162" t="s">
        <v>628</v>
      </c>
      <c r="C35" s="193">
        <v>0</v>
      </c>
      <c r="D35" s="198">
        <f t="shared" si="0"/>
        <v>1</v>
      </c>
      <c r="E35" s="192" t="s">
        <v>123</v>
      </c>
      <c r="F35" s="193">
        <v>1</v>
      </c>
      <c r="G35" s="199">
        <f>IFERROR(INDEX(Database!$B$2:$CT$473,MATCH(E35,Database!$A$2:$A$473,0),MATCH($C$4,Database!$B$1:$CT$1,0)),"")</f>
        <v>6783.9</v>
      </c>
      <c r="H35" s="199">
        <f>IFERROR(INDEX(Database!$B$2:$CT$473,MATCH(E35,Database!$A$2:$A$473,0),MATCH($C$5,Database!$B$1:$CT$1,0)),"")</f>
        <v>9344.2000000000007</v>
      </c>
      <c r="I35" s="173">
        <f t="shared" si="1"/>
        <v>1.3774082754757591</v>
      </c>
      <c r="J35" s="192"/>
      <c r="K35" s="193"/>
      <c r="L35" s="199" t="str">
        <f>IFERROR(INDEX(Database!$B$2:$CT$473,MATCH(J35,Database!$A$2:$A$473,0),MATCH($C$4,Database!$B$1:$CT$1,0)),"")</f>
        <v/>
      </c>
      <c r="M35" s="199" t="str">
        <f>IFERROR(INDEX(Database!$B$2:$CT$473,MATCH(J35,Database!$A$2:$A$473,0),MATCH($C$5,Database!$B$1:$CT$1,0)),"")</f>
        <v/>
      </c>
      <c r="N35" s="173">
        <f t="shared" si="2"/>
        <v>0</v>
      </c>
      <c r="O35" s="192"/>
      <c r="P35" s="193"/>
      <c r="Q35" s="199" t="str">
        <f>IFERROR(INDEX(Database!$B$2:$CT$473,MATCH(O35,Database!$A$2:$A$473,0),MATCH($C$4,Database!$B$1:$CT$1,0)),"")</f>
        <v/>
      </c>
      <c r="R35" s="199" t="str">
        <f>IFERROR(INDEX(Database!$B$2:$CT$473,MATCH(O35,Database!$A$2:$A$473,0),MATCH($C$5,Database!$B$1:$CT$1,0)),"")</f>
        <v/>
      </c>
      <c r="S35" s="173">
        <f t="shared" si="3"/>
        <v>0</v>
      </c>
      <c r="T35" s="200">
        <f t="shared" si="4"/>
        <v>1.3774082754757591</v>
      </c>
      <c r="U35" s="201">
        <f t="shared" si="5"/>
        <v>0</v>
      </c>
      <c r="V35" s="172">
        <f t="shared" si="6"/>
        <v>1.3774082754757591</v>
      </c>
    </row>
    <row r="36" spans="1:22" ht="24" customHeight="1">
      <c r="A36" s="165">
        <v>28</v>
      </c>
      <c r="B36" s="166" t="s">
        <v>629</v>
      </c>
      <c r="C36" s="193">
        <v>0</v>
      </c>
      <c r="D36" s="198">
        <f t="shared" si="0"/>
        <v>1</v>
      </c>
      <c r="E36" s="192" t="s">
        <v>131</v>
      </c>
      <c r="F36" s="193">
        <v>1</v>
      </c>
      <c r="G36" s="199">
        <f>IFERROR(INDEX(Database!$B$2:$CT$473,MATCH(E36,Database!$A$2:$A$473,0),MATCH($C$4,Database!$B$1:$CT$1,0)),"")</f>
        <v>4799.6000000000004</v>
      </c>
      <c r="H36" s="199">
        <f>IFERROR(INDEX(Database!$B$2:$CT$473,MATCH(E36,Database!$A$2:$A$473,0),MATCH($C$5,Database!$B$1:$CT$1,0)),"")</f>
        <v>7368</v>
      </c>
      <c r="I36" s="177">
        <f t="shared" si="1"/>
        <v>1.5351279273272771</v>
      </c>
      <c r="J36" s="192"/>
      <c r="K36" s="193"/>
      <c r="L36" s="199" t="str">
        <f>IFERROR(INDEX(Database!$B$2:$CT$473,MATCH(J36,Database!$A$2:$A$473,0),MATCH($C$4,Database!$B$1:$CT$1,0)),"")</f>
        <v/>
      </c>
      <c r="M36" s="199" t="str">
        <f>IFERROR(INDEX(Database!$B$2:$CT$473,MATCH(J36,Database!$A$2:$A$473,0),MATCH($C$5,Database!$B$1:$CT$1,0)),"")</f>
        <v/>
      </c>
      <c r="N36" s="177">
        <f t="shared" si="2"/>
        <v>0</v>
      </c>
      <c r="O36" s="192"/>
      <c r="P36" s="193"/>
      <c r="Q36" s="199" t="str">
        <f>IFERROR(INDEX(Database!$B$2:$CT$473,MATCH(O36,Database!$A$2:$A$473,0),MATCH($C$4,Database!$B$1:$CT$1,0)),"")</f>
        <v/>
      </c>
      <c r="R36" s="199" t="str">
        <f>IFERROR(INDEX(Database!$B$2:$CT$473,MATCH(O36,Database!$A$2:$A$473,0),MATCH($C$5,Database!$B$1:$CT$1,0)),"")</f>
        <v/>
      </c>
      <c r="S36" s="177">
        <f t="shared" si="3"/>
        <v>0</v>
      </c>
      <c r="T36" s="200">
        <f t="shared" si="4"/>
        <v>1.5351279273272771</v>
      </c>
      <c r="U36" s="201">
        <f t="shared" si="5"/>
        <v>0</v>
      </c>
      <c r="V36" s="172">
        <f t="shared" si="6"/>
        <v>1.5351279273272771</v>
      </c>
    </row>
    <row r="37" spans="1:22" ht="24" customHeight="1">
      <c r="A37" s="160">
        <v>29</v>
      </c>
      <c r="B37" s="162" t="s">
        <v>630</v>
      </c>
      <c r="C37" s="193">
        <v>0.7</v>
      </c>
      <c r="D37" s="198">
        <f t="shared" si="0"/>
        <v>0.30000000000000004</v>
      </c>
      <c r="E37" s="192" t="s">
        <v>123</v>
      </c>
      <c r="F37" s="193">
        <v>0.3</v>
      </c>
      <c r="G37" s="199">
        <f>IFERROR(INDEX(Database!$B$2:$CT$473,MATCH(E37,Database!$A$2:$A$473,0),MATCH($C$4,Database!$B$1:$CT$1,0)),"")</f>
        <v>6783.9</v>
      </c>
      <c r="H37" s="199">
        <f>IFERROR(INDEX(Database!$B$2:$CT$473,MATCH(E37,Database!$A$2:$A$473,0),MATCH($C$5,Database!$B$1:$CT$1,0)),"")</f>
        <v>9344.2000000000007</v>
      </c>
      <c r="I37" s="173">
        <f t="shared" si="1"/>
        <v>0.41322248264272771</v>
      </c>
      <c r="J37" s="192"/>
      <c r="K37" s="193"/>
      <c r="L37" s="199" t="str">
        <f>IFERROR(INDEX(Database!$B$2:$CT$473,MATCH(J37,Database!$A$2:$A$473,0),MATCH($C$4,Database!$B$1:$CT$1,0)),"")</f>
        <v/>
      </c>
      <c r="M37" s="199" t="str">
        <f>IFERROR(INDEX(Database!$B$2:$CT$473,MATCH(J37,Database!$A$2:$A$473,0),MATCH($C$5,Database!$B$1:$CT$1,0)),"")</f>
        <v/>
      </c>
      <c r="N37" s="173">
        <f t="shared" si="2"/>
        <v>0</v>
      </c>
      <c r="O37" s="192"/>
      <c r="P37" s="193"/>
      <c r="Q37" s="199" t="str">
        <f>IFERROR(INDEX(Database!$B$2:$CT$473,MATCH(O37,Database!$A$2:$A$473,0),MATCH($C$4,Database!$B$1:$CT$1,0)),"")</f>
        <v/>
      </c>
      <c r="R37" s="199" t="str">
        <f>IFERROR(INDEX(Database!$B$2:$CT$473,MATCH(O37,Database!$A$2:$A$473,0),MATCH($C$5,Database!$B$1:$CT$1,0)),"")</f>
        <v/>
      </c>
      <c r="S37" s="173">
        <f t="shared" si="3"/>
        <v>0</v>
      </c>
      <c r="T37" s="200">
        <f t="shared" si="4"/>
        <v>0.41322248264272771</v>
      </c>
      <c r="U37" s="201">
        <f t="shared" si="5"/>
        <v>0.7</v>
      </c>
      <c r="V37" s="172">
        <f t="shared" si="6"/>
        <v>1.1132224826427277</v>
      </c>
    </row>
    <row r="38" spans="1:22" ht="24" customHeight="1">
      <c r="A38" s="165">
        <v>30</v>
      </c>
      <c r="B38" s="166" t="s">
        <v>631</v>
      </c>
      <c r="C38" s="193">
        <v>0</v>
      </c>
      <c r="D38" s="198">
        <f t="shared" si="0"/>
        <v>1</v>
      </c>
      <c r="E38" s="192" t="s">
        <v>123</v>
      </c>
      <c r="F38" s="193">
        <v>1</v>
      </c>
      <c r="G38" s="199">
        <f>IFERROR(INDEX(Database!$B$2:$CT$473,MATCH(E38,Database!$A$2:$A$473,0),MATCH($C$4,Database!$B$1:$CT$1,0)),"")</f>
        <v>6783.9</v>
      </c>
      <c r="H38" s="199">
        <f>IFERROR(INDEX(Database!$B$2:$CT$473,MATCH(E38,Database!$A$2:$A$473,0),MATCH($C$5,Database!$B$1:$CT$1,0)),"")</f>
        <v>9344.2000000000007</v>
      </c>
      <c r="I38" s="177">
        <f t="shared" si="1"/>
        <v>1.3774082754757591</v>
      </c>
      <c r="J38" s="192"/>
      <c r="K38" s="193"/>
      <c r="L38" s="199" t="str">
        <f>IFERROR(INDEX(Database!$B$2:$CT$473,MATCH(J38,Database!$A$2:$A$473,0),MATCH($C$4,Database!$B$1:$CT$1,0)),"")</f>
        <v/>
      </c>
      <c r="M38" s="199" t="str">
        <f>IFERROR(INDEX(Database!$B$2:$CT$473,MATCH(J38,Database!$A$2:$A$473,0),MATCH($C$5,Database!$B$1:$CT$1,0)),"")</f>
        <v/>
      </c>
      <c r="N38" s="177">
        <f t="shared" si="2"/>
        <v>0</v>
      </c>
      <c r="O38" s="192"/>
      <c r="P38" s="193"/>
      <c r="Q38" s="199" t="str">
        <f>IFERROR(INDEX(Database!$B$2:$CT$473,MATCH(O38,Database!$A$2:$A$473,0),MATCH($C$4,Database!$B$1:$CT$1,0)),"")</f>
        <v/>
      </c>
      <c r="R38" s="199" t="str">
        <f>IFERROR(INDEX(Database!$B$2:$CT$473,MATCH(O38,Database!$A$2:$A$473,0),MATCH($C$5,Database!$B$1:$CT$1,0)),"")</f>
        <v/>
      </c>
      <c r="S38" s="177">
        <f t="shared" si="3"/>
        <v>0</v>
      </c>
      <c r="T38" s="200">
        <f t="shared" si="4"/>
        <v>1.3774082754757591</v>
      </c>
      <c r="U38" s="201">
        <f t="shared" si="5"/>
        <v>0</v>
      </c>
      <c r="V38" s="172">
        <f t="shared" si="6"/>
        <v>1.3774082754757591</v>
      </c>
    </row>
    <row r="39" spans="1:22" ht="24" customHeight="1">
      <c r="A39" s="160">
        <v>31</v>
      </c>
      <c r="B39" s="162" t="s">
        <v>632</v>
      </c>
      <c r="C39" s="193">
        <v>0.75</v>
      </c>
      <c r="D39" s="198">
        <f t="shared" si="0"/>
        <v>0.25</v>
      </c>
      <c r="E39" s="192" t="s">
        <v>123</v>
      </c>
      <c r="F39" s="193">
        <v>0.25</v>
      </c>
      <c r="G39" s="199">
        <f>IFERROR(INDEX(Database!$B$2:$CT$473,MATCH(E39,Database!$A$2:$A$473,0),MATCH($C$4,Database!$B$1:$CT$1,0)),"")</f>
        <v>6783.9</v>
      </c>
      <c r="H39" s="199">
        <f>IFERROR(INDEX(Database!$B$2:$CT$473,MATCH(E39,Database!$A$2:$A$473,0),MATCH($C$5,Database!$B$1:$CT$1,0)),"")</f>
        <v>9344.2000000000007</v>
      </c>
      <c r="I39" s="173">
        <f t="shared" si="1"/>
        <v>0.34435206886893976</v>
      </c>
      <c r="J39" s="192"/>
      <c r="K39" s="193"/>
      <c r="L39" s="199" t="str">
        <f>IFERROR(INDEX(Database!$B$2:$CT$473,MATCH(J39,Database!$A$2:$A$473,0),MATCH($C$4,Database!$B$1:$CT$1,0)),"")</f>
        <v/>
      </c>
      <c r="M39" s="199" t="str">
        <f>IFERROR(INDEX(Database!$B$2:$CT$473,MATCH(J39,Database!$A$2:$A$473,0),MATCH($C$5,Database!$B$1:$CT$1,0)),"")</f>
        <v/>
      </c>
      <c r="N39" s="173">
        <f t="shared" si="2"/>
        <v>0</v>
      </c>
      <c r="O39" s="192"/>
      <c r="P39" s="193"/>
      <c r="Q39" s="199" t="str">
        <f>IFERROR(INDEX(Database!$B$2:$CT$473,MATCH(O39,Database!$A$2:$A$473,0),MATCH($C$4,Database!$B$1:$CT$1,0)),"")</f>
        <v/>
      </c>
      <c r="R39" s="199" t="str">
        <f>IFERROR(INDEX(Database!$B$2:$CT$473,MATCH(O39,Database!$A$2:$A$473,0),MATCH($C$5,Database!$B$1:$CT$1,0)),"")</f>
        <v/>
      </c>
      <c r="S39" s="173">
        <f t="shared" si="3"/>
        <v>0</v>
      </c>
      <c r="T39" s="200">
        <f t="shared" si="4"/>
        <v>0.34435206886893976</v>
      </c>
      <c r="U39" s="201">
        <f t="shared" si="5"/>
        <v>0.75</v>
      </c>
      <c r="V39" s="172">
        <f t="shared" si="6"/>
        <v>1.0943520688689397</v>
      </c>
    </row>
    <row r="40" spans="1:22" ht="24" customHeight="1">
      <c r="A40" s="165">
        <v>32</v>
      </c>
      <c r="B40" s="166" t="s">
        <v>633</v>
      </c>
      <c r="C40" s="193">
        <v>0</v>
      </c>
      <c r="D40" s="198">
        <f t="shared" si="0"/>
        <v>1</v>
      </c>
      <c r="E40" s="192" t="s">
        <v>124</v>
      </c>
      <c r="F40" s="193">
        <v>1</v>
      </c>
      <c r="G40" s="199">
        <f>IFERROR(INDEX(Database!$B$2:$CT$473,MATCH(E40,Database!$A$2:$A$473,0),MATCH($C$4,Database!$B$1:$CT$1,0)),"")</f>
        <v>3817.7</v>
      </c>
      <c r="H40" s="199">
        <f>IFERROR(INDEX(Database!$B$2:$CT$473,MATCH(E40,Database!$A$2:$A$473,0),MATCH($C$5,Database!$B$1:$CT$1,0)),"")</f>
        <v>5854.5</v>
      </c>
      <c r="I40" s="177">
        <f t="shared" si="1"/>
        <v>1.5335149435524007</v>
      </c>
      <c r="J40" s="192"/>
      <c r="K40" s="193"/>
      <c r="L40" s="199" t="str">
        <f>IFERROR(INDEX(Database!$B$2:$CT$473,MATCH(J40,Database!$A$2:$A$473,0),MATCH($C$4,Database!$B$1:$CT$1,0)),"")</f>
        <v/>
      </c>
      <c r="M40" s="199" t="str">
        <f>IFERROR(INDEX(Database!$B$2:$CT$473,MATCH(J40,Database!$A$2:$A$473,0),MATCH($C$5,Database!$B$1:$CT$1,0)),"")</f>
        <v/>
      </c>
      <c r="N40" s="177">
        <f t="shared" si="2"/>
        <v>0</v>
      </c>
      <c r="O40" s="192"/>
      <c r="P40" s="193"/>
      <c r="Q40" s="199" t="str">
        <f>IFERROR(INDEX(Database!$B$2:$CT$473,MATCH(O40,Database!$A$2:$A$473,0),MATCH($C$4,Database!$B$1:$CT$1,0)),"")</f>
        <v/>
      </c>
      <c r="R40" s="199" t="str">
        <f>IFERROR(INDEX(Database!$B$2:$CT$473,MATCH(O40,Database!$A$2:$A$473,0),MATCH($C$5,Database!$B$1:$CT$1,0)),"")</f>
        <v/>
      </c>
      <c r="S40" s="177">
        <f t="shared" si="3"/>
        <v>0</v>
      </c>
      <c r="T40" s="200">
        <f t="shared" si="4"/>
        <v>1.5335149435524007</v>
      </c>
      <c r="U40" s="201">
        <f t="shared" si="5"/>
        <v>0</v>
      </c>
      <c r="V40" s="172">
        <f t="shared" si="6"/>
        <v>1.5335149435524007</v>
      </c>
    </row>
    <row r="41" spans="1:22" ht="24" customHeight="1">
      <c r="A41" s="160">
        <v>33</v>
      </c>
      <c r="B41" s="162" t="s">
        <v>634</v>
      </c>
      <c r="C41" s="193">
        <v>0</v>
      </c>
      <c r="D41" s="198">
        <f t="shared" ref="D41:D72" si="7">1-C41</f>
        <v>1</v>
      </c>
      <c r="E41" s="192" t="s">
        <v>131</v>
      </c>
      <c r="F41" s="193">
        <v>1</v>
      </c>
      <c r="G41" s="199">
        <f>IFERROR(INDEX(Database!$B$2:$CT$473,MATCH(E41,Database!$A$2:$A$473,0),MATCH($C$4,Database!$B$1:$CT$1,0)),"")</f>
        <v>4799.6000000000004</v>
      </c>
      <c r="H41" s="199">
        <f>IFERROR(INDEX(Database!$B$2:$CT$473,MATCH(E41,Database!$A$2:$A$473,0),MATCH($C$5,Database!$B$1:$CT$1,0)),"")</f>
        <v>7368</v>
      </c>
      <c r="I41" s="173">
        <f t="shared" ref="I41:I72" si="8">IF(OR(G41="",G41=0),0,(H41/G41)*F41)</f>
        <v>1.5351279273272771</v>
      </c>
      <c r="J41" s="192"/>
      <c r="K41" s="193"/>
      <c r="L41" s="199" t="str">
        <f>IFERROR(INDEX(Database!$B$2:$CT$473,MATCH(J41,Database!$A$2:$A$473,0),MATCH($C$4,Database!$B$1:$CT$1,0)),"")</f>
        <v/>
      </c>
      <c r="M41" s="199" t="str">
        <f>IFERROR(INDEX(Database!$B$2:$CT$473,MATCH(J41,Database!$A$2:$A$473,0),MATCH($C$5,Database!$B$1:$CT$1,0)),"")</f>
        <v/>
      </c>
      <c r="N41" s="173">
        <f t="shared" ref="N41:N72" si="9">IF(OR(L41="",L41=0),0,(M41/L41)*K41)</f>
        <v>0</v>
      </c>
      <c r="O41" s="192"/>
      <c r="P41" s="193"/>
      <c r="Q41" s="199" t="str">
        <f>IFERROR(INDEX(Database!$B$2:$CT$473,MATCH(O41,Database!$A$2:$A$473,0),MATCH($C$4,Database!$B$1:$CT$1,0)),"")</f>
        <v/>
      </c>
      <c r="R41" s="199" t="str">
        <f>IFERROR(INDEX(Database!$B$2:$CT$473,MATCH(O41,Database!$A$2:$A$473,0),MATCH($C$5,Database!$B$1:$CT$1,0)),"")</f>
        <v/>
      </c>
      <c r="S41" s="173">
        <f t="shared" ref="S41:S72" si="10">IF(OR(Q41="",Q41=0),0,(R41/Q41)*P41)</f>
        <v>0</v>
      </c>
      <c r="T41" s="200">
        <f t="shared" ref="T41:T72" si="11">I41+N41+S41</f>
        <v>1.5351279273272771</v>
      </c>
      <c r="U41" s="201">
        <f t="shared" ref="U41:U72" si="12">IF(OR($H$5="",$H$5=0),C41,($J$5/$H$5)*C41)</f>
        <v>0</v>
      </c>
      <c r="V41" s="172">
        <f t="shared" ref="V41:V72" si="13">T41+U41</f>
        <v>1.5351279273272771</v>
      </c>
    </row>
    <row r="42" spans="1:22" ht="24" customHeight="1">
      <c r="A42" s="165">
        <v>34</v>
      </c>
      <c r="B42" s="166" t="s">
        <v>635</v>
      </c>
      <c r="C42" s="193">
        <v>0</v>
      </c>
      <c r="D42" s="198">
        <f t="shared" si="7"/>
        <v>1</v>
      </c>
      <c r="E42" s="192" t="s">
        <v>510</v>
      </c>
      <c r="F42" s="193">
        <v>1</v>
      </c>
      <c r="G42" s="199">
        <f>IFERROR(INDEX(Database!$B$2:$CT$473,MATCH(E42,Database!$A$2:$A$473,0),MATCH($C$4,Database!$B$1:$CT$1,0)),"")</f>
        <v>6041.1</v>
      </c>
      <c r="H42" s="199">
        <f>IFERROR(INDEX(Database!$B$2:$CT$473,MATCH(E42,Database!$A$2:$A$473,0),MATCH($C$5,Database!$B$1:$CT$1,0)),"")</f>
        <v>8957.6</v>
      </c>
      <c r="I42" s="177">
        <f t="shared" si="8"/>
        <v>1.4827763155716673</v>
      </c>
      <c r="J42" s="192"/>
      <c r="K42" s="193"/>
      <c r="L42" s="199" t="str">
        <f>IFERROR(INDEX(Database!$B$2:$CT$473,MATCH(J42,Database!$A$2:$A$473,0),MATCH($C$4,Database!$B$1:$CT$1,0)),"")</f>
        <v/>
      </c>
      <c r="M42" s="199" t="str">
        <f>IFERROR(INDEX(Database!$B$2:$CT$473,MATCH(J42,Database!$A$2:$A$473,0),MATCH($C$5,Database!$B$1:$CT$1,0)),"")</f>
        <v/>
      </c>
      <c r="N42" s="177">
        <f t="shared" si="9"/>
        <v>0</v>
      </c>
      <c r="O42" s="192"/>
      <c r="P42" s="193"/>
      <c r="Q42" s="199" t="str">
        <f>IFERROR(INDEX(Database!$B$2:$CT$473,MATCH(O42,Database!$A$2:$A$473,0),MATCH($C$4,Database!$B$1:$CT$1,0)),"")</f>
        <v/>
      </c>
      <c r="R42" s="199" t="str">
        <f>IFERROR(INDEX(Database!$B$2:$CT$473,MATCH(O42,Database!$A$2:$A$473,0),MATCH($C$5,Database!$B$1:$CT$1,0)),"")</f>
        <v/>
      </c>
      <c r="S42" s="177">
        <f t="shared" si="10"/>
        <v>0</v>
      </c>
      <c r="T42" s="200">
        <f t="shared" si="11"/>
        <v>1.4827763155716673</v>
      </c>
      <c r="U42" s="201">
        <f t="shared" si="12"/>
        <v>0</v>
      </c>
      <c r="V42" s="172">
        <f t="shared" si="13"/>
        <v>1.4827763155716673</v>
      </c>
    </row>
    <row r="43" spans="1:22" ht="24" customHeight="1">
      <c r="A43" s="160">
        <v>35</v>
      </c>
      <c r="B43" s="162" t="s">
        <v>636</v>
      </c>
      <c r="C43" s="193">
        <v>0.7</v>
      </c>
      <c r="D43" s="198">
        <f t="shared" si="7"/>
        <v>0.30000000000000004</v>
      </c>
      <c r="E43" s="192" t="s">
        <v>510</v>
      </c>
      <c r="F43" s="193">
        <v>0.3</v>
      </c>
      <c r="G43" s="199">
        <f>IFERROR(INDEX(Database!$B$2:$CT$473,MATCH(E43,Database!$A$2:$A$473,0),MATCH($C$4,Database!$B$1:$CT$1,0)),"")</f>
        <v>6041.1</v>
      </c>
      <c r="H43" s="199">
        <f>IFERROR(INDEX(Database!$B$2:$CT$473,MATCH(E43,Database!$A$2:$A$473,0),MATCH($C$5,Database!$B$1:$CT$1,0)),"")</f>
        <v>8957.6</v>
      </c>
      <c r="I43" s="173">
        <f t="shared" si="8"/>
        <v>0.44483289467150017</v>
      </c>
      <c r="J43" s="192"/>
      <c r="K43" s="193"/>
      <c r="L43" s="199" t="str">
        <f>IFERROR(INDEX(Database!$B$2:$CT$473,MATCH(J43,Database!$A$2:$A$473,0),MATCH($C$4,Database!$B$1:$CT$1,0)),"")</f>
        <v/>
      </c>
      <c r="M43" s="199" t="str">
        <f>IFERROR(INDEX(Database!$B$2:$CT$473,MATCH(J43,Database!$A$2:$A$473,0),MATCH($C$5,Database!$B$1:$CT$1,0)),"")</f>
        <v/>
      </c>
      <c r="N43" s="173">
        <f t="shared" si="9"/>
        <v>0</v>
      </c>
      <c r="O43" s="192"/>
      <c r="P43" s="193"/>
      <c r="Q43" s="199" t="str">
        <f>IFERROR(INDEX(Database!$B$2:$CT$473,MATCH(O43,Database!$A$2:$A$473,0),MATCH($C$4,Database!$B$1:$CT$1,0)),"")</f>
        <v/>
      </c>
      <c r="R43" s="199" t="str">
        <f>IFERROR(INDEX(Database!$B$2:$CT$473,MATCH(O43,Database!$A$2:$A$473,0),MATCH($C$5,Database!$B$1:$CT$1,0)),"")</f>
        <v/>
      </c>
      <c r="S43" s="173">
        <f t="shared" si="10"/>
        <v>0</v>
      </c>
      <c r="T43" s="200">
        <f t="shared" si="11"/>
        <v>0.44483289467150017</v>
      </c>
      <c r="U43" s="201">
        <f t="shared" si="12"/>
        <v>0.7</v>
      </c>
      <c r="V43" s="172">
        <f t="shared" si="13"/>
        <v>1.1448328946715001</v>
      </c>
    </row>
    <row r="44" spans="1:22" ht="24" customHeight="1">
      <c r="A44" s="165">
        <v>36</v>
      </c>
      <c r="B44" s="166" t="s">
        <v>637</v>
      </c>
      <c r="C44" s="193">
        <v>0</v>
      </c>
      <c r="D44" s="198">
        <f t="shared" si="7"/>
        <v>1</v>
      </c>
      <c r="E44" s="192" t="s">
        <v>510</v>
      </c>
      <c r="F44" s="193">
        <v>0.5</v>
      </c>
      <c r="G44" s="199">
        <f>IFERROR(INDEX(Database!$B$2:$CT$473,MATCH(E44,Database!$A$2:$A$473,0),MATCH($C$4,Database!$B$1:$CT$1,0)),"")</f>
        <v>6041.1</v>
      </c>
      <c r="H44" s="199">
        <f>IFERROR(INDEX(Database!$B$2:$CT$473,MATCH(E44,Database!$A$2:$A$473,0),MATCH($C$5,Database!$B$1:$CT$1,0)),"")</f>
        <v>8957.6</v>
      </c>
      <c r="I44" s="177">
        <f t="shared" si="8"/>
        <v>0.74138815778583367</v>
      </c>
      <c r="J44" s="192" t="s">
        <v>540</v>
      </c>
      <c r="K44" s="193">
        <v>0.5</v>
      </c>
      <c r="L44" s="199">
        <f>IFERROR(INDEX(Database!$B$2:$CT$473,MATCH(J44,Database!$A$2:$A$473,0),MATCH($C$4,Database!$B$1:$CT$1,0)),"")</f>
        <v>6976.7</v>
      </c>
      <c r="M44" s="199">
        <f>IFERROR(INDEX(Database!$B$2:$CT$473,MATCH(J44,Database!$A$2:$A$473,0),MATCH($C$5,Database!$B$1:$CT$1,0)),"")</f>
        <v>10444.1</v>
      </c>
      <c r="N44" s="177">
        <f t="shared" si="9"/>
        <v>0.74849857382430096</v>
      </c>
      <c r="O44" s="192"/>
      <c r="P44" s="193"/>
      <c r="Q44" s="199" t="str">
        <f>IFERROR(INDEX(Database!$B$2:$CT$473,MATCH(O44,Database!$A$2:$A$473,0),MATCH($C$4,Database!$B$1:$CT$1,0)),"")</f>
        <v/>
      </c>
      <c r="R44" s="199" t="str">
        <f>IFERROR(INDEX(Database!$B$2:$CT$473,MATCH(O44,Database!$A$2:$A$473,0),MATCH($C$5,Database!$B$1:$CT$1,0)),"")</f>
        <v/>
      </c>
      <c r="S44" s="177">
        <f t="shared" si="10"/>
        <v>0</v>
      </c>
      <c r="T44" s="200">
        <f t="shared" si="11"/>
        <v>1.4898867316101345</v>
      </c>
      <c r="U44" s="201">
        <f t="shared" si="12"/>
        <v>0</v>
      </c>
      <c r="V44" s="172">
        <f t="shared" si="13"/>
        <v>1.4898867316101345</v>
      </c>
    </row>
    <row r="45" spans="1:22" ht="24" customHeight="1">
      <c r="A45" s="160">
        <v>37</v>
      </c>
      <c r="B45" s="162" t="s">
        <v>638</v>
      </c>
      <c r="C45" s="193">
        <v>0.8</v>
      </c>
      <c r="D45" s="198">
        <f t="shared" si="7"/>
        <v>0.19999999999999996</v>
      </c>
      <c r="E45" s="192" t="s">
        <v>510</v>
      </c>
      <c r="F45" s="193">
        <v>0.1</v>
      </c>
      <c r="G45" s="199">
        <f>IFERROR(INDEX(Database!$B$2:$CT$473,MATCH(E45,Database!$A$2:$A$473,0),MATCH($C$4,Database!$B$1:$CT$1,0)),"")</f>
        <v>6041.1</v>
      </c>
      <c r="H45" s="199">
        <f>IFERROR(INDEX(Database!$B$2:$CT$473,MATCH(E45,Database!$A$2:$A$473,0),MATCH($C$5,Database!$B$1:$CT$1,0)),"")</f>
        <v>8957.6</v>
      </c>
      <c r="I45" s="173">
        <f t="shared" si="8"/>
        <v>0.14827763155716675</v>
      </c>
      <c r="J45" s="192" t="s">
        <v>540</v>
      </c>
      <c r="K45" s="193">
        <v>0.1</v>
      </c>
      <c r="L45" s="199">
        <f>IFERROR(INDEX(Database!$B$2:$CT$473,MATCH(J45,Database!$A$2:$A$473,0),MATCH($C$4,Database!$B$1:$CT$1,0)),"")</f>
        <v>6976.7</v>
      </c>
      <c r="M45" s="199">
        <f>IFERROR(INDEX(Database!$B$2:$CT$473,MATCH(J45,Database!$A$2:$A$473,0),MATCH($C$5,Database!$B$1:$CT$1,0)),"")</f>
        <v>10444.1</v>
      </c>
      <c r="N45" s="173">
        <f t="shared" si="9"/>
        <v>0.14969971476486019</v>
      </c>
      <c r="O45" s="192"/>
      <c r="P45" s="193"/>
      <c r="Q45" s="199" t="str">
        <f>IFERROR(INDEX(Database!$B$2:$CT$473,MATCH(O45,Database!$A$2:$A$473,0),MATCH($C$4,Database!$B$1:$CT$1,0)),"")</f>
        <v/>
      </c>
      <c r="R45" s="199" t="str">
        <f>IFERROR(INDEX(Database!$B$2:$CT$473,MATCH(O45,Database!$A$2:$A$473,0),MATCH($C$5,Database!$B$1:$CT$1,0)),"")</f>
        <v/>
      </c>
      <c r="S45" s="173">
        <f t="shared" si="10"/>
        <v>0</v>
      </c>
      <c r="T45" s="200">
        <f t="shared" si="11"/>
        <v>0.29797734632202694</v>
      </c>
      <c r="U45" s="201">
        <f t="shared" si="12"/>
        <v>0.8</v>
      </c>
      <c r="V45" s="172">
        <f t="shared" si="13"/>
        <v>1.097977346322027</v>
      </c>
    </row>
    <row r="46" spans="1:22" ht="24" customHeight="1">
      <c r="A46" s="165">
        <v>38</v>
      </c>
      <c r="B46" s="166" t="s">
        <v>639</v>
      </c>
      <c r="C46" s="193">
        <v>0.7</v>
      </c>
      <c r="D46" s="198">
        <f t="shared" si="7"/>
        <v>0.30000000000000004</v>
      </c>
      <c r="E46" s="192" t="s">
        <v>540</v>
      </c>
      <c r="F46" s="193">
        <v>0.3</v>
      </c>
      <c r="G46" s="199">
        <f>IFERROR(INDEX(Database!$B$2:$CT$473,MATCH(E46,Database!$A$2:$A$473,0),MATCH($C$4,Database!$B$1:$CT$1,0)),"")</f>
        <v>6976.7</v>
      </c>
      <c r="H46" s="199">
        <f>IFERROR(INDEX(Database!$B$2:$CT$473,MATCH(E46,Database!$A$2:$A$473,0),MATCH($C$5,Database!$B$1:$CT$1,0)),"")</f>
        <v>10444.1</v>
      </c>
      <c r="I46" s="177">
        <f t="shared" si="8"/>
        <v>0.44909914429458059</v>
      </c>
      <c r="J46" s="192"/>
      <c r="K46" s="193"/>
      <c r="L46" s="199" t="str">
        <f>IFERROR(INDEX(Database!$B$2:$CT$473,MATCH(J46,Database!$A$2:$A$473,0),MATCH($C$4,Database!$B$1:$CT$1,0)),"")</f>
        <v/>
      </c>
      <c r="M46" s="199" t="str">
        <f>IFERROR(INDEX(Database!$B$2:$CT$473,MATCH(J46,Database!$A$2:$A$473,0),MATCH($C$5,Database!$B$1:$CT$1,0)),"")</f>
        <v/>
      </c>
      <c r="N46" s="177">
        <f t="shared" si="9"/>
        <v>0</v>
      </c>
      <c r="O46" s="192"/>
      <c r="P46" s="193"/>
      <c r="Q46" s="199" t="str">
        <f>IFERROR(INDEX(Database!$B$2:$CT$473,MATCH(O46,Database!$A$2:$A$473,0),MATCH($C$4,Database!$B$1:$CT$1,0)),"")</f>
        <v/>
      </c>
      <c r="R46" s="199" t="str">
        <f>IFERROR(INDEX(Database!$B$2:$CT$473,MATCH(O46,Database!$A$2:$A$473,0),MATCH($C$5,Database!$B$1:$CT$1,0)),"")</f>
        <v/>
      </c>
      <c r="S46" s="177">
        <f t="shared" si="10"/>
        <v>0</v>
      </c>
      <c r="T46" s="200">
        <f t="shared" si="11"/>
        <v>0.44909914429458059</v>
      </c>
      <c r="U46" s="201">
        <f t="shared" si="12"/>
        <v>0.7</v>
      </c>
      <c r="V46" s="172">
        <f t="shared" si="13"/>
        <v>1.1490991442945806</v>
      </c>
    </row>
    <row r="47" spans="1:22" ht="24" customHeight="1">
      <c r="A47" s="160">
        <v>39</v>
      </c>
      <c r="B47" s="162" t="s">
        <v>640</v>
      </c>
      <c r="C47" s="193">
        <v>0.9</v>
      </c>
      <c r="D47" s="198">
        <f t="shared" si="7"/>
        <v>9.9999999999999978E-2</v>
      </c>
      <c r="E47" s="192" t="s">
        <v>540</v>
      </c>
      <c r="F47" s="193">
        <v>0.1</v>
      </c>
      <c r="G47" s="199">
        <f>IFERROR(INDEX(Database!$B$2:$CT$473,MATCH(E47,Database!$A$2:$A$473,0),MATCH($C$4,Database!$B$1:$CT$1,0)),"")</f>
        <v>6976.7</v>
      </c>
      <c r="H47" s="199">
        <f>IFERROR(INDEX(Database!$B$2:$CT$473,MATCH(E47,Database!$A$2:$A$473,0),MATCH($C$5,Database!$B$1:$CT$1,0)),"")</f>
        <v>10444.1</v>
      </c>
      <c r="I47" s="173">
        <f t="shared" si="8"/>
        <v>0.14969971476486019</v>
      </c>
      <c r="J47" s="192"/>
      <c r="K47" s="193"/>
      <c r="L47" s="199" t="str">
        <f>IFERROR(INDEX(Database!$B$2:$CT$473,MATCH(J47,Database!$A$2:$A$473,0),MATCH($C$4,Database!$B$1:$CT$1,0)),"")</f>
        <v/>
      </c>
      <c r="M47" s="199" t="str">
        <f>IFERROR(INDEX(Database!$B$2:$CT$473,MATCH(J47,Database!$A$2:$A$473,0),MATCH($C$5,Database!$B$1:$CT$1,0)),"")</f>
        <v/>
      </c>
      <c r="N47" s="173">
        <f t="shared" si="9"/>
        <v>0</v>
      </c>
      <c r="O47" s="192"/>
      <c r="P47" s="193"/>
      <c r="Q47" s="199" t="str">
        <f>IFERROR(INDEX(Database!$B$2:$CT$473,MATCH(O47,Database!$A$2:$A$473,0),MATCH($C$4,Database!$B$1:$CT$1,0)),"")</f>
        <v/>
      </c>
      <c r="R47" s="199" t="str">
        <f>IFERROR(INDEX(Database!$B$2:$CT$473,MATCH(O47,Database!$A$2:$A$473,0),MATCH($C$5,Database!$B$1:$CT$1,0)),"")</f>
        <v/>
      </c>
      <c r="S47" s="173">
        <f t="shared" si="10"/>
        <v>0</v>
      </c>
      <c r="T47" s="200">
        <f t="shared" si="11"/>
        <v>0.14969971476486019</v>
      </c>
      <c r="U47" s="201">
        <f t="shared" si="12"/>
        <v>0.9</v>
      </c>
      <c r="V47" s="172">
        <f t="shared" si="13"/>
        <v>1.0496997147648601</v>
      </c>
    </row>
    <row r="48" spans="1:22" ht="24" customHeight="1">
      <c r="A48" s="165">
        <v>40</v>
      </c>
      <c r="B48" s="166" t="s">
        <v>641</v>
      </c>
      <c r="C48" s="193">
        <v>0.7</v>
      </c>
      <c r="D48" s="198">
        <f t="shared" si="7"/>
        <v>0.30000000000000004</v>
      </c>
      <c r="E48" s="192" t="s">
        <v>540</v>
      </c>
      <c r="F48" s="193">
        <v>0.15</v>
      </c>
      <c r="G48" s="199">
        <f>IFERROR(INDEX(Database!$B$2:$CT$473,MATCH(E48,Database!$A$2:$A$473,0),MATCH($C$4,Database!$B$1:$CT$1,0)),"")</f>
        <v>6976.7</v>
      </c>
      <c r="H48" s="199">
        <f>IFERROR(INDEX(Database!$B$2:$CT$473,MATCH(E48,Database!$A$2:$A$473,0),MATCH($C$5,Database!$B$1:$CT$1,0)),"")</f>
        <v>10444.1</v>
      </c>
      <c r="I48" s="177">
        <f t="shared" si="8"/>
        <v>0.22454957214729029</v>
      </c>
      <c r="J48" s="192" t="s">
        <v>123</v>
      </c>
      <c r="K48" s="193">
        <v>0.15</v>
      </c>
      <c r="L48" s="199">
        <f>IFERROR(INDEX(Database!$B$2:$CT$473,MATCH(J48,Database!$A$2:$A$473,0),MATCH($C$4,Database!$B$1:$CT$1,0)),"")</f>
        <v>6783.9</v>
      </c>
      <c r="M48" s="199">
        <f>IFERROR(INDEX(Database!$B$2:$CT$473,MATCH(J48,Database!$A$2:$A$473,0),MATCH($C$5,Database!$B$1:$CT$1,0)),"")</f>
        <v>9344.2000000000007</v>
      </c>
      <c r="N48" s="177">
        <f t="shared" si="9"/>
        <v>0.20661124132136385</v>
      </c>
      <c r="O48" s="192"/>
      <c r="P48" s="193"/>
      <c r="Q48" s="199" t="str">
        <f>IFERROR(INDEX(Database!$B$2:$CT$473,MATCH(O48,Database!$A$2:$A$473,0),MATCH($C$4,Database!$B$1:$CT$1,0)),"")</f>
        <v/>
      </c>
      <c r="R48" s="199" t="str">
        <f>IFERROR(INDEX(Database!$B$2:$CT$473,MATCH(O48,Database!$A$2:$A$473,0),MATCH($C$5,Database!$B$1:$CT$1,0)),"")</f>
        <v/>
      </c>
      <c r="S48" s="177">
        <f t="shared" si="10"/>
        <v>0</v>
      </c>
      <c r="T48" s="200">
        <f t="shared" si="11"/>
        <v>0.43116081346865415</v>
      </c>
      <c r="U48" s="201">
        <f t="shared" si="12"/>
        <v>0.7</v>
      </c>
      <c r="V48" s="172">
        <f t="shared" si="13"/>
        <v>1.1311608134686542</v>
      </c>
    </row>
    <row r="49" spans="1:22" ht="24" customHeight="1">
      <c r="A49" s="160">
        <v>41</v>
      </c>
      <c r="B49" s="162" t="s">
        <v>642</v>
      </c>
      <c r="C49" s="193">
        <v>0</v>
      </c>
      <c r="D49" s="198">
        <f t="shared" si="7"/>
        <v>1</v>
      </c>
      <c r="E49" s="192" t="s">
        <v>510</v>
      </c>
      <c r="F49" s="193">
        <v>1</v>
      </c>
      <c r="G49" s="199">
        <f>IFERROR(INDEX(Database!$B$2:$CT$473,MATCH(E49,Database!$A$2:$A$473,0),MATCH($C$4,Database!$B$1:$CT$1,0)),"")</f>
        <v>6041.1</v>
      </c>
      <c r="H49" s="199">
        <f>IFERROR(INDEX(Database!$B$2:$CT$473,MATCH(E49,Database!$A$2:$A$473,0),MATCH($C$5,Database!$B$1:$CT$1,0)),"")</f>
        <v>8957.6</v>
      </c>
      <c r="I49" s="173">
        <f t="shared" si="8"/>
        <v>1.4827763155716673</v>
      </c>
      <c r="J49" s="192"/>
      <c r="K49" s="193"/>
      <c r="L49" s="199" t="str">
        <f>IFERROR(INDEX(Database!$B$2:$CT$473,MATCH(J49,Database!$A$2:$A$473,0),MATCH($C$4,Database!$B$1:$CT$1,0)),"")</f>
        <v/>
      </c>
      <c r="M49" s="199" t="str">
        <f>IFERROR(INDEX(Database!$B$2:$CT$473,MATCH(J49,Database!$A$2:$A$473,0),MATCH($C$5,Database!$B$1:$CT$1,0)),"")</f>
        <v/>
      </c>
      <c r="N49" s="173">
        <f t="shared" si="9"/>
        <v>0</v>
      </c>
      <c r="O49" s="192"/>
      <c r="P49" s="193"/>
      <c r="Q49" s="199" t="str">
        <f>IFERROR(INDEX(Database!$B$2:$CT$473,MATCH(O49,Database!$A$2:$A$473,0),MATCH($C$4,Database!$B$1:$CT$1,0)),"")</f>
        <v/>
      </c>
      <c r="R49" s="199" t="str">
        <f>IFERROR(INDEX(Database!$B$2:$CT$473,MATCH(O49,Database!$A$2:$A$473,0),MATCH($C$5,Database!$B$1:$CT$1,0)),"")</f>
        <v/>
      </c>
      <c r="S49" s="173">
        <f t="shared" si="10"/>
        <v>0</v>
      </c>
      <c r="T49" s="200">
        <f t="shared" si="11"/>
        <v>1.4827763155716673</v>
      </c>
      <c r="U49" s="201">
        <f t="shared" si="12"/>
        <v>0</v>
      </c>
      <c r="V49" s="172">
        <f t="shared" si="13"/>
        <v>1.4827763155716673</v>
      </c>
    </row>
    <row r="50" spans="1:22" ht="24" customHeight="1">
      <c r="A50" s="165">
        <v>42</v>
      </c>
      <c r="B50" s="166" t="s">
        <v>643</v>
      </c>
      <c r="C50" s="193">
        <v>0</v>
      </c>
      <c r="D50" s="198">
        <f t="shared" si="7"/>
        <v>1</v>
      </c>
      <c r="E50" s="192" t="s">
        <v>131</v>
      </c>
      <c r="F50" s="193">
        <v>1</v>
      </c>
      <c r="G50" s="199">
        <f>IFERROR(INDEX(Database!$B$2:$CT$473,MATCH(E50,Database!$A$2:$A$473,0),MATCH($C$4,Database!$B$1:$CT$1,0)),"")</f>
        <v>4799.6000000000004</v>
      </c>
      <c r="H50" s="199">
        <f>IFERROR(INDEX(Database!$B$2:$CT$473,MATCH(E50,Database!$A$2:$A$473,0),MATCH($C$5,Database!$B$1:$CT$1,0)),"")</f>
        <v>7368</v>
      </c>
      <c r="I50" s="177">
        <f t="shared" si="8"/>
        <v>1.5351279273272771</v>
      </c>
      <c r="J50" s="192"/>
      <c r="K50" s="193"/>
      <c r="L50" s="199" t="str">
        <f>IFERROR(INDEX(Database!$B$2:$CT$473,MATCH(J50,Database!$A$2:$A$473,0),MATCH($C$4,Database!$B$1:$CT$1,0)),"")</f>
        <v/>
      </c>
      <c r="M50" s="199" t="str">
        <f>IFERROR(INDEX(Database!$B$2:$CT$473,MATCH(J50,Database!$A$2:$A$473,0),MATCH($C$5,Database!$B$1:$CT$1,0)),"")</f>
        <v/>
      </c>
      <c r="N50" s="177">
        <f t="shared" si="9"/>
        <v>0</v>
      </c>
      <c r="O50" s="192"/>
      <c r="P50" s="193"/>
      <c r="Q50" s="199" t="str">
        <f>IFERROR(INDEX(Database!$B$2:$CT$473,MATCH(O50,Database!$A$2:$A$473,0),MATCH($C$4,Database!$B$1:$CT$1,0)),"")</f>
        <v/>
      </c>
      <c r="R50" s="199" t="str">
        <f>IFERROR(INDEX(Database!$B$2:$CT$473,MATCH(O50,Database!$A$2:$A$473,0),MATCH($C$5,Database!$B$1:$CT$1,0)),"")</f>
        <v/>
      </c>
      <c r="S50" s="177">
        <f t="shared" si="10"/>
        <v>0</v>
      </c>
      <c r="T50" s="200">
        <f t="shared" si="11"/>
        <v>1.5351279273272771</v>
      </c>
      <c r="U50" s="201">
        <f t="shared" si="12"/>
        <v>0</v>
      </c>
      <c r="V50" s="172">
        <f t="shared" si="13"/>
        <v>1.5351279273272771</v>
      </c>
    </row>
    <row r="51" spans="1:22" ht="24" customHeight="1">
      <c r="A51" s="160">
        <v>43</v>
      </c>
      <c r="B51" s="162" t="s">
        <v>644</v>
      </c>
      <c r="C51" s="193">
        <v>0.7</v>
      </c>
      <c r="D51" s="198">
        <f t="shared" si="7"/>
        <v>0.30000000000000004</v>
      </c>
      <c r="E51" s="192" t="s">
        <v>510</v>
      </c>
      <c r="F51" s="193">
        <v>0.3</v>
      </c>
      <c r="G51" s="199">
        <f>IFERROR(INDEX(Database!$B$2:$CT$473,MATCH(E51,Database!$A$2:$A$473,0),MATCH($C$4,Database!$B$1:$CT$1,0)),"")</f>
        <v>6041.1</v>
      </c>
      <c r="H51" s="199">
        <f>IFERROR(INDEX(Database!$B$2:$CT$473,MATCH(E51,Database!$A$2:$A$473,0),MATCH($C$5,Database!$B$1:$CT$1,0)),"")</f>
        <v>8957.6</v>
      </c>
      <c r="I51" s="173">
        <f t="shared" si="8"/>
        <v>0.44483289467150017</v>
      </c>
      <c r="J51" s="192"/>
      <c r="K51" s="193"/>
      <c r="L51" s="199" t="str">
        <f>IFERROR(INDEX(Database!$B$2:$CT$473,MATCH(J51,Database!$A$2:$A$473,0),MATCH($C$4,Database!$B$1:$CT$1,0)),"")</f>
        <v/>
      </c>
      <c r="M51" s="199" t="str">
        <f>IFERROR(INDEX(Database!$B$2:$CT$473,MATCH(J51,Database!$A$2:$A$473,0),MATCH($C$5,Database!$B$1:$CT$1,0)),"")</f>
        <v/>
      </c>
      <c r="N51" s="173">
        <f t="shared" si="9"/>
        <v>0</v>
      </c>
      <c r="O51" s="192"/>
      <c r="P51" s="193"/>
      <c r="Q51" s="199" t="str">
        <f>IFERROR(INDEX(Database!$B$2:$CT$473,MATCH(O51,Database!$A$2:$A$473,0),MATCH($C$4,Database!$B$1:$CT$1,0)),"")</f>
        <v/>
      </c>
      <c r="R51" s="199" t="str">
        <f>IFERROR(INDEX(Database!$B$2:$CT$473,MATCH(O51,Database!$A$2:$A$473,0),MATCH($C$5,Database!$B$1:$CT$1,0)),"")</f>
        <v/>
      </c>
      <c r="S51" s="173">
        <f t="shared" si="10"/>
        <v>0</v>
      </c>
      <c r="T51" s="200">
        <f t="shared" si="11"/>
        <v>0.44483289467150017</v>
      </c>
      <c r="U51" s="201">
        <f t="shared" si="12"/>
        <v>0.7</v>
      </c>
      <c r="V51" s="172">
        <f t="shared" si="13"/>
        <v>1.1448328946715001</v>
      </c>
    </row>
    <row r="52" spans="1:22" ht="24" customHeight="1">
      <c r="A52" s="165">
        <v>44</v>
      </c>
      <c r="B52" s="166" t="s">
        <v>645</v>
      </c>
      <c r="C52" s="193">
        <v>0</v>
      </c>
      <c r="D52" s="198">
        <f t="shared" si="7"/>
        <v>1</v>
      </c>
      <c r="E52" s="192" t="s">
        <v>525</v>
      </c>
      <c r="F52" s="193">
        <v>1</v>
      </c>
      <c r="G52" s="199">
        <f>IFERROR(INDEX(Database!$B$2:$CT$473,MATCH(E52,Database!$A$2:$A$473,0),MATCH($C$4,Database!$B$1:$CT$1,0)),"")</f>
        <v>4795.8</v>
      </c>
      <c r="H52" s="199">
        <f>IFERROR(INDEX(Database!$B$2:$CT$473,MATCH(E52,Database!$A$2:$A$473,0),MATCH($C$5,Database!$B$1:$CT$1,0)),"")</f>
        <v>6686.9</v>
      </c>
      <c r="I52" s="177">
        <f t="shared" si="8"/>
        <v>1.3943242003419658</v>
      </c>
      <c r="J52" s="192"/>
      <c r="K52" s="193"/>
      <c r="L52" s="199" t="str">
        <f>IFERROR(INDEX(Database!$B$2:$CT$473,MATCH(J52,Database!$A$2:$A$473,0),MATCH($C$4,Database!$B$1:$CT$1,0)),"")</f>
        <v/>
      </c>
      <c r="M52" s="199" t="str">
        <f>IFERROR(INDEX(Database!$B$2:$CT$473,MATCH(J52,Database!$A$2:$A$473,0),MATCH($C$5,Database!$B$1:$CT$1,0)),"")</f>
        <v/>
      </c>
      <c r="N52" s="177">
        <f t="shared" si="9"/>
        <v>0</v>
      </c>
      <c r="O52" s="192"/>
      <c r="P52" s="193"/>
      <c r="Q52" s="199" t="str">
        <f>IFERROR(INDEX(Database!$B$2:$CT$473,MATCH(O52,Database!$A$2:$A$473,0),MATCH($C$4,Database!$B$1:$CT$1,0)),"")</f>
        <v/>
      </c>
      <c r="R52" s="199" t="str">
        <f>IFERROR(INDEX(Database!$B$2:$CT$473,MATCH(O52,Database!$A$2:$A$473,0),MATCH($C$5,Database!$B$1:$CT$1,0)),"")</f>
        <v/>
      </c>
      <c r="S52" s="177">
        <f t="shared" si="10"/>
        <v>0</v>
      </c>
      <c r="T52" s="200">
        <f t="shared" si="11"/>
        <v>1.3943242003419658</v>
      </c>
      <c r="U52" s="201">
        <f t="shared" si="12"/>
        <v>0</v>
      </c>
      <c r="V52" s="172">
        <f t="shared" si="13"/>
        <v>1.3943242003419658</v>
      </c>
    </row>
    <row r="53" spans="1:22" ht="24" customHeight="1">
      <c r="A53" s="160">
        <v>45</v>
      </c>
      <c r="B53" s="162" t="s">
        <v>646</v>
      </c>
      <c r="C53" s="193">
        <v>0.75</v>
      </c>
      <c r="D53" s="198">
        <f t="shared" si="7"/>
        <v>0.25</v>
      </c>
      <c r="E53" s="192" t="s">
        <v>525</v>
      </c>
      <c r="F53" s="193">
        <v>0.25</v>
      </c>
      <c r="G53" s="199">
        <f>IFERROR(INDEX(Database!$B$2:$CT$473,MATCH(E53,Database!$A$2:$A$473,0),MATCH($C$4,Database!$B$1:$CT$1,0)),"")</f>
        <v>4795.8</v>
      </c>
      <c r="H53" s="199">
        <f>IFERROR(INDEX(Database!$B$2:$CT$473,MATCH(E53,Database!$A$2:$A$473,0),MATCH($C$5,Database!$B$1:$CT$1,0)),"")</f>
        <v>6686.9</v>
      </c>
      <c r="I53" s="173">
        <f t="shared" si="8"/>
        <v>0.34858105008549145</v>
      </c>
      <c r="J53" s="192"/>
      <c r="K53" s="193"/>
      <c r="L53" s="199" t="str">
        <f>IFERROR(INDEX(Database!$B$2:$CT$473,MATCH(J53,Database!$A$2:$A$473,0),MATCH($C$4,Database!$B$1:$CT$1,0)),"")</f>
        <v/>
      </c>
      <c r="M53" s="199" t="str">
        <f>IFERROR(INDEX(Database!$B$2:$CT$473,MATCH(J53,Database!$A$2:$A$473,0),MATCH($C$5,Database!$B$1:$CT$1,0)),"")</f>
        <v/>
      </c>
      <c r="N53" s="173">
        <f t="shared" si="9"/>
        <v>0</v>
      </c>
      <c r="O53" s="192"/>
      <c r="P53" s="193"/>
      <c r="Q53" s="199" t="str">
        <f>IFERROR(INDEX(Database!$B$2:$CT$473,MATCH(O53,Database!$A$2:$A$473,0),MATCH($C$4,Database!$B$1:$CT$1,0)),"")</f>
        <v/>
      </c>
      <c r="R53" s="199" t="str">
        <f>IFERROR(INDEX(Database!$B$2:$CT$473,MATCH(O53,Database!$A$2:$A$473,0),MATCH($C$5,Database!$B$1:$CT$1,0)),"")</f>
        <v/>
      </c>
      <c r="S53" s="173">
        <f t="shared" si="10"/>
        <v>0</v>
      </c>
      <c r="T53" s="200">
        <f t="shared" si="11"/>
        <v>0.34858105008549145</v>
      </c>
      <c r="U53" s="201">
        <f t="shared" si="12"/>
        <v>0.75</v>
      </c>
      <c r="V53" s="172">
        <f t="shared" si="13"/>
        <v>1.0985810500854916</v>
      </c>
    </row>
    <row r="54" spans="1:22" ht="24" customHeight="1">
      <c r="A54" s="165">
        <v>46</v>
      </c>
      <c r="B54" s="166" t="s">
        <v>647</v>
      </c>
      <c r="C54" s="193">
        <v>0</v>
      </c>
      <c r="D54" s="198">
        <f t="shared" si="7"/>
        <v>1</v>
      </c>
      <c r="E54" s="192" t="s">
        <v>525</v>
      </c>
      <c r="F54" s="193">
        <v>1</v>
      </c>
      <c r="G54" s="199">
        <f>IFERROR(INDEX(Database!$B$2:$CT$473,MATCH(E54,Database!$A$2:$A$473,0),MATCH($C$4,Database!$B$1:$CT$1,0)),"")</f>
        <v>4795.8</v>
      </c>
      <c r="H54" s="199">
        <f>IFERROR(INDEX(Database!$B$2:$CT$473,MATCH(E54,Database!$A$2:$A$473,0),MATCH($C$5,Database!$B$1:$CT$1,0)),"")</f>
        <v>6686.9</v>
      </c>
      <c r="I54" s="177">
        <f t="shared" si="8"/>
        <v>1.3943242003419658</v>
      </c>
      <c r="J54" s="192"/>
      <c r="K54" s="193"/>
      <c r="L54" s="199" t="str">
        <f>IFERROR(INDEX(Database!$B$2:$CT$473,MATCH(J54,Database!$A$2:$A$473,0),MATCH($C$4,Database!$B$1:$CT$1,0)),"")</f>
        <v/>
      </c>
      <c r="M54" s="199" t="str">
        <f>IFERROR(INDEX(Database!$B$2:$CT$473,MATCH(J54,Database!$A$2:$A$473,0),MATCH($C$5,Database!$B$1:$CT$1,0)),"")</f>
        <v/>
      </c>
      <c r="N54" s="177">
        <f t="shared" si="9"/>
        <v>0</v>
      </c>
      <c r="O54" s="192"/>
      <c r="P54" s="193"/>
      <c r="Q54" s="199" t="str">
        <f>IFERROR(INDEX(Database!$B$2:$CT$473,MATCH(O54,Database!$A$2:$A$473,0),MATCH($C$4,Database!$B$1:$CT$1,0)),"")</f>
        <v/>
      </c>
      <c r="R54" s="199" t="str">
        <f>IFERROR(INDEX(Database!$B$2:$CT$473,MATCH(O54,Database!$A$2:$A$473,0),MATCH($C$5,Database!$B$1:$CT$1,0)),"")</f>
        <v/>
      </c>
      <c r="S54" s="177">
        <f t="shared" si="10"/>
        <v>0</v>
      </c>
      <c r="T54" s="200">
        <f t="shared" si="11"/>
        <v>1.3943242003419658</v>
      </c>
      <c r="U54" s="201">
        <f t="shared" si="12"/>
        <v>0</v>
      </c>
      <c r="V54" s="172">
        <f t="shared" si="13"/>
        <v>1.3943242003419658</v>
      </c>
    </row>
    <row r="55" spans="1:22" ht="24" customHeight="1">
      <c r="A55" s="160">
        <v>47</v>
      </c>
      <c r="B55" s="162" t="s">
        <v>648</v>
      </c>
      <c r="C55" s="193">
        <v>0.9</v>
      </c>
      <c r="D55" s="198">
        <f t="shared" si="7"/>
        <v>9.9999999999999978E-2</v>
      </c>
      <c r="E55" s="192" t="s">
        <v>525</v>
      </c>
      <c r="F55" s="193">
        <v>0.1</v>
      </c>
      <c r="G55" s="199">
        <f>IFERROR(INDEX(Database!$B$2:$CT$473,MATCH(E55,Database!$A$2:$A$473,0),MATCH($C$4,Database!$B$1:$CT$1,0)),"")</f>
        <v>4795.8</v>
      </c>
      <c r="H55" s="199">
        <f>IFERROR(INDEX(Database!$B$2:$CT$473,MATCH(E55,Database!$A$2:$A$473,0),MATCH($C$5,Database!$B$1:$CT$1,0)),"")</f>
        <v>6686.9</v>
      </c>
      <c r="I55" s="173">
        <f t="shared" si="8"/>
        <v>0.13943242003419659</v>
      </c>
      <c r="J55" s="192"/>
      <c r="K55" s="193"/>
      <c r="L55" s="199" t="str">
        <f>IFERROR(INDEX(Database!$B$2:$CT$473,MATCH(J55,Database!$A$2:$A$473,0),MATCH($C$4,Database!$B$1:$CT$1,0)),"")</f>
        <v/>
      </c>
      <c r="M55" s="199" t="str">
        <f>IFERROR(INDEX(Database!$B$2:$CT$473,MATCH(J55,Database!$A$2:$A$473,0),MATCH($C$5,Database!$B$1:$CT$1,0)),"")</f>
        <v/>
      </c>
      <c r="N55" s="173">
        <f t="shared" si="9"/>
        <v>0</v>
      </c>
      <c r="O55" s="192"/>
      <c r="P55" s="193"/>
      <c r="Q55" s="199" t="str">
        <f>IFERROR(INDEX(Database!$B$2:$CT$473,MATCH(O55,Database!$A$2:$A$473,0),MATCH($C$4,Database!$B$1:$CT$1,0)),"")</f>
        <v/>
      </c>
      <c r="R55" s="199" t="str">
        <f>IFERROR(INDEX(Database!$B$2:$CT$473,MATCH(O55,Database!$A$2:$A$473,0),MATCH($C$5,Database!$B$1:$CT$1,0)),"")</f>
        <v/>
      </c>
      <c r="S55" s="173">
        <f t="shared" si="10"/>
        <v>0</v>
      </c>
      <c r="T55" s="200">
        <f t="shared" si="11"/>
        <v>0.13943242003419659</v>
      </c>
      <c r="U55" s="201">
        <f t="shared" si="12"/>
        <v>0.9</v>
      </c>
      <c r="V55" s="172">
        <f t="shared" si="13"/>
        <v>1.0394324200341967</v>
      </c>
    </row>
    <row r="56" spans="1:22" ht="24" customHeight="1">
      <c r="A56" s="165">
        <v>48</v>
      </c>
      <c r="B56" s="166" t="s">
        <v>649</v>
      </c>
      <c r="C56" s="193">
        <v>0.5</v>
      </c>
      <c r="D56" s="198">
        <f t="shared" si="7"/>
        <v>0.5</v>
      </c>
      <c r="E56" s="192" t="s">
        <v>525</v>
      </c>
      <c r="F56" s="193">
        <v>0.1</v>
      </c>
      <c r="G56" s="199">
        <f>IFERROR(INDEX(Database!$B$2:$CT$473,MATCH(E56,Database!$A$2:$A$473,0),MATCH($C$4,Database!$B$1:$CT$1,0)),"")</f>
        <v>4795.8</v>
      </c>
      <c r="H56" s="199">
        <f>IFERROR(INDEX(Database!$B$2:$CT$473,MATCH(E56,Database!$A$2:$A$473,0),MATCH($C$5,Database!$B$1:$CT$1,0)),"")</f>
        <v>6686.9</v>
      </c>
      <c r="I56" s="177">
        <f t="shared" si="8"/>
        <v>0.13943242003419659</v>
      </c>
      <c r="J56" s="192" t="s">
        <v>131</v>
      </c>
      <c r="K56" s="193">
        <v>0.4</v>
      </c>
      <c r="L56" s="199">
        <f>IFERROR(INDEX(Database!$B$2:$CT$473,MATCH(J56,Database!$A$2:$A$473,0),MATCH($C$4,Database!$B$1:$CT$1,0)),"")</f>
        <v>4799.6000000000004</v>
      </c>
      <c r="M56" s="199">
        <f>IFERROR(INDEX(Database!$B$2:$CT$473,MATCH(J56,Database!$A$2:$A$473,0),MATCH($C$5,Database!$B$1:$CT$1,0)),"")</f>
        <v>7368</v>
      </c>
      <c r="N56" s="177">
        <f t="shared" si="9"/>
        <v>0.61405117093091088</v>
      </c>
      <c r="O56" s="192"/>
      <c r="P56" s="193"/>
      <c r="Q56" s="199" t="str">
        <f>IFERROR(INDEX(Database!$B$2:$CT$473,MATCH(O56,Database!$A$2:$A$473,0),MATCH($C$4,Database!$B$1:$CT$1,0)),"")</f>
        <v/>
      </c>
      <c r="R56" s="199" t="str">
        <f>IFERROR(INDEX(Database!$B$2:$CT$473,MATCH(O56,Database!$A$2:$A$473,0),MATCH($C$5,Database!$B$1:$CT$1,0)),"")</f>
        <v/>
      </c>
      <c r="S56" s="177">
        <f t="shared" si="10"/>
        <v>0</v>
      </c>
      <c r="T56" s="200">
        <f t="shared" si="11"/>
        <v>0.75348359096510742</v>
      </c>
      <c r="U56" s="201">
        <f t="shared" si="12"/>
        <v>0.5</v>
      </c>
      <c r="V56" s="172">
        <f t="shared" si="13"/>
        <v>1.2534835909651074</v>
      </c>
    </row>
    <row r="57" spans="1:22" ht="24" customHeight="1">
      <c r="A57" s="160">
        <v>49</v>
      </c>
      <c r="B57" s="162" t="s">
        <v>650</v>
      </c>
      <c r="C57" s="193">
        <v>0.5</v>
      </c>
      <c r="D57" s="198">
        <f t="shared" si="7"/>
        <v>0.5</v>
      </c>
      <c r="E57" s="192" t="s">
        <v>525</v>
      </c>
      <c r="F57" s="193">
        <v>0.5</v>
      </c>
      <c r="G57" s="199">
        <f>IFERROR(INDEX(Database!$B$2:$CT$473,MATCH(E57,Database!$A$2:$A$473,0),MATCH($C$4,Database!$B$1:$CT$1,0)),"")</f>
        <v>4795.8</v>
      </c>
      <c r="H57" s="199">
        <f>IFERROR(INDEX(Database!$B$2:$CT$473,MATCH(E57,Database!$A$2:$A$473,0),MATCH($C$5,Database!$B$1:$CT$1,0)),"")</f>
        <v>6686.9</v>
      </c>
      <c r="I57" s="173">
        <f t="shared" si="8"/>
        <v>0.6971621001709829</v>
      </c>
      <c r="J57" s="192"/>
      <c r="K57" s="193"/>
      <c r="L57" s="199" t="str">
        <f>IFERROR(INDEX(Database!$B$2:$CT$473,MATCH(J57,Database!$A$2:$A$473,0),MATCH($C$4,Database!$B$1:$CT$1,0)),"")</f>
        <v/>
      </c>
      <c r="M57" s="199" t="str">
        <f>IFERROR(INDEX(Database!$B$2:$CT$473,MATCH(J57,Database!$A$2:$A$473,0),MATCH($C$5,Database!$B$1:$CT$1,0)),"")</f>
        <v/>
      </c>
      <c r="N57" s="173">
        <f t="shared" si="9"/>
        <v>0</v>
      </c>
      <c r="O57" s="192"/>
      <c r="P57" s="193"/>
      <c r="Q57" s="199" t="str">
        <f>IFERROR(INDEX(Database!$B$2:$CT$473,MATCH(O57,Database!$A$2:$A$473,0),MATCH($C$4,Database!$B$1:$CT$1,0)),"")</f>
        <v/>
      </c>
      <c r="R57" s="199" t="str">
        <f>IFERROR(INDEX(Database!$B$2:$CT$473,MATCH(O57,Database!$A$2:$A$473,0),MATCH($C$5,Database!$B$1:$CT$1,0)),"")</f>
        <v/>
      </c>
      <c r="S57" s="173">
        <f t="shared" si="10"/>
        <v>0</v>
      </c>
      <c r="T57" s="200">
        <f t="shared" si="11"/>
        <v>0.6971621001709829</v>
      </c>
      <c r="U57" s="201">
        <f t="shared" si="12"/>
        <v>0.5</v>
      </c>
      <c r="V57" s="172">
        <f t="shared" si="13"/>
        <v>1.1971621001709829</v>
      </c>
    </row>
    <row r="58" spans="1:22" ht="24" customHeight="1">
      <c r="A58" s="165">
        <v>50</v>
      </c>
      <c r="B58" s="166" t="s">
        <v>651</v>
      </c>
      <c r="C58" s="193">
        <v>0.5</v>
      </c>
      <c r="D58" s="198">
        <f t="shared" si="7"/>
        <v>0.5</v>
      </c>
      <c r="E58" s="192" t="s">
        <v>525</v>
      </c>
      <c r="F58" s="193">
        <v>0.25</v>
      </c>
      <c r="G58" s="199">
        <f>IFERROR(INDEX(Database!$B$2:$CT$473,MATCH(E58,Database!$A$2:$A$473,0),MATCH($C$4,Database!$B$1:$CT$1,0)),"")</f>
        <v>4795.8</v>
      </c>
      <c r="H58" s="199">
        <f>IFERROR(INDEX(Database!$B$2:$CT$473,MATCH(E58,Database!$A$2:$A$473,0),MATCH($C$5,Database!$B$1:$CT$1,0)),"")</f>
        <v>6686.9</v>
      </c>
      <c r="I58" s="177">
        <f t="shared" si="8"/>
        <v>0.34858105008549145</v>
      </c>
      <c r="J58" s="192" t="s">
        <v>131</v>
      </c>
      <c r="K58" s="193">
        <v>0.25</v>
      </c>
      <c r="L58" s="199">
        <f>IFERROR(INDEX(Database!$B$2:$CT$473,MATCH(J58,Database!$A$2:$A$473,0),MATCH($C$4,Database!$B$1:$CT$1,0)),"")</f>
        <v>4799.6000000000004</v>
      </c>
      <c r="M58" s="199">
        <f>IFERROR(INDEX(Database!$B$2:$CT$473,MATCH(J58,Database!$A$2:$A$473,0),MATCH($C$5,Database!$B$1:$CT$1,0)),"")</f>
        <v>7368</v>
      </c>
      <c r="N58" s="177">
        <f t="shared" si="9"/>
        <v>0.38378198183181927</v>
      </c>
      <c r="O58" s="192"/>
      <c r="P58" s="193"/>
      <c r="Q58" s="199" t="str">
        <f>IFERROR(INDEX(Database!$B$2:$CT$473,MATCH(O58,Database!$A$2:$A$473,0),MATCH($C$4,Database!$B$1:$CT$1,0)),"")</f>
        <v/>
      </c>
      <c r="R58" s="199" t="str">
        <f>IFERROR(INDEX(Database!$B$2:$CT$473,MATCH(O58,Database!$A$2:$A$473,0),MATCH($C$5,Database!$B$1:$CT$1,0)),"")</f>
        <v/>
      </c>
      <c r="S58" s="177">
        <f t="shared" si="10"/>
        <v>0</v>
      </c>
      <c r="T58" s="200">
        <f t="shared" si="11"/>
        <v>0.73236303191731067</v>
      </c>
      <c r="U58" s="201">
        <f t="shared" si="12"/>
        <v>0.5</v>
      </c>
      <c r="V58" s="172">
        <f t="shared" si="13"/>
        <v>1.2323630319173107</v>
      </c>
    </row>
    <row r="59" spans="1:22" ht="24" customHeight="1">
      <c r="A59" s="160">
        <v>51</v>
      </c>
      <c r="B59" s="162" t="s">
        <v>652</v>
      </c>
      <c r="C59" s="193">
        <v>0.75</v>
      </c>
      <c r="D59" s="198">
        <f t="shared" si="7"/>
        <v>0.25</v>
      </c>
      <c r="E59" s="192" t="s">
        <v>525</v>
      </c>
      <c r="F59" s="193">
        <v>0.25</v>
      </c>
      <c r="G59" s="199">
        <f>IFERROR(INDEX(Database!$B$2:$CT$473,MATCH(E59,Database!$A$2:$A$473,0),MATCH($C$4,Database!$B$1:$CT$1,0)),"")</f>
        <v>4795.8</v>
      </c>
      <c r="H59" s="199">
        <f>IFERROR(INDEX(Database!$B$2:$CT$473,MATCH(E59,Database!$A$2:$A$473,0),MATCH($C$5,Database!$B$1:$CT$1,0)),"")</f>
        <v>6686.9</v>
      </c>
      <c r="I59" s="173">
        <f t="shared" si="8"/>
        <v>0.34858105008549145</v>
      </c>
      <c r="J59" s="192"/>
      <c r="K59" s="193"/>
      <c r="L59" s="199" t="str">
        <f>IFERROR(INDEX(Database!$B$2:$CT$473,MATCH(J59,Database!$A$2:$A$473,0),MATCH($C$4,Database!$B$1:$CT$1,0)),"")</f>
        <v/>
      </c>
      <c r="M59" s="199" t="str">
        <f>IFERROR(INDEX(Database!$B$2:$CT$473,MATCH(J59,Database!$A$2:$A$473,0),MATCH($C$5,Database!$B$1:$CT$1,0)),"")</f>
        <v/>
      </c>
      <c r="N59" s="173">
        <f t="shared" si="9"/>
        <v>0</v>
      </c>
      <c r="O59" s="192"/>
      <c r="P59" s="193"/>
      <c r="Q59" s="199" t="str">
        <f>IFERROR(INDEX(Database!$B$2:$CT$473,MATCH(O59,Database!$A$2:$A$473,0),MATCH($C$4,Database!$B$1:$CT$1,0)),"")</f>
        <v/>
      </c>
      <c r="R59" s="199" t="str">
        <f>IFERROR(INDEX(Database!$B$2:$CT$473,MATCH(O59,Database!$A$2:$A$473,0),MATCH($C$5,Database!$B$1:$CT$1,0)),"")</f>
        <v/>
      </c>
      <c r="S59" s="173">
        <f t="shared" si="10"/>
        <v>0</v>
      </c>
      <c r="T59" s="200">
        <f t="shared" si="11"/>
        <v>0.34858105008549145</v>
      </c>
      <c r="U59" s="201">
        <f t="shared" si="12"/>
        <v>0.75</v>
      </c>
      <c r="V59" s="172">
        <f t="shared" si="13"/>
        <v>1.0985810500854916</v>
      </c>
    </row>
    <row r="60" spans="1:22" ht="24" customHeight="1">
      <c r="A60" s="165">
        <v>52</v>
      </c>
      <c r="B60" s="166" t="s">
        <v>653</v>
      </c>
      <c r="C60" s="193">
        <v>0</v>
      </c>
      <c r="D60" s="198">
        <f t="shared" si="7"/>
        <v>1</v>
      </c>
      <c r="E60" s="192" t="s">
        <v>534</v>
      </c>
      <c r="F60" s="193">
        <v>1</v>
      </c>
      <c r="G60" s="199">
        <f>IFERROR(INDEX(Database!$B$2:$CT$473,MATCH(E60,Database!$A$2:$A$473,0),MATCH($C$4,Database!$B$1:$CT$1,0)),"")</f>
        <v>11730.5</v>
      </c>
      <c r="H60" s="199">
        <f>IFERROR(INDEX(Database!$B$2:$CT$473,MATCH(E60,Database!$A$2:$A$473,0),MATCH($C$5,Database!$B$1:$CT$1,0)),"")</f>
        <v>17395.7</v>
      </c>
      <c r="I60" s="177">
        <f t="shared" si="8"/>
        <v>1.4829461659775798</v>
      </c>
      <c r="J60" s="192"/>
      <c r="K60" s="193"/>
      <c r="L60" s="199" t="str">
        <f>IFERROR(INDEX(Database!$B$2:$CT$473,MATCH(J60,Database!$A$2:$A$473,0),MATCH($C$4,Database!$B$1:$CT$1,0)),"")</f>
        <v/>
      </c>
      <c r="M60" s="199" t="str">
        <f>IFERROR(INDEX(Database!$B$2:$CT$473,MATCH(J60,Database!$A$2:$A$473,0),MATCH($C$5,Database!$B$1:$CT$1,0)),"")</f>
        <v/>
      </c>
      <c r="N60" s="177">
        <f t="shared" si="9"/>
        <v>0</v>
      </c>
      <c r="O60" s="192"/>
      <c r="P60" s="193"/>
      <c r="Q60" s="199" t="str">
        <f>IFERROR(INDEX(Database!$B$2:$CT$473,MATCH(O60,Database!$A$2:$A$473,0),MATCH($C$4,Database!$B$1:$CT$1,0)),"")</f>
        <v/>
      </c>
      <c r="R60" s="199" t="str">
        <f>IFERROR(INDEX(Database!$B$2:$CT$473,MATCH(O60,Database!$A$2:$A$473,0),MATCH($C$5,Database!$B$1:$CT$1,0)),"")</f>
        <v/>
      </c>
      <c r="S60" s="177">
        <f t="shared" si="10"/>
        <v>0</v>
      </c>
      <c r="T60" s="200">
        <f t="shared" si="11"/>
        <v>1.4829461659775798</v>
      </c>
      <c r="U60" s="201">
        <f t="shared" si="12"/>
        <v>0</v>
      </c>
      <c r="V60" s="172">
        <f t="shared" si="13"/>
        <v>1.4829461659775798</v>
      </c>
    </row>
    <row r="61" spans="1:22" ht="24" customHeight="1">
      <c r="A61" s="160">
        <v>53</v>
      </c>
      <c r="B61" s="162" t="s">
        <v>654</v>
      </c>
      <c r="C61" s="193">
        <v>0</v>
      </c>
      <c r="D61" s="198">
        <f t="shared" si="7"/>
        <v>1</v>
      </c>
      <c r="E61" s="192" t="s">
        <v>131</v>
      </c>
      <c r="F61" s="193">
        <v>0.8</v>
      </c>
      <c r="G61" s="199">
        <f>IFERROR(INDEX(Database!$B$2:$CT$473,MATCH(E61,Database!$A$2:$A$473,0),MATCH($C$4,Database!$B$1:$CT$1,0)),"")</f>
        <v>4799.6000000000004</v>
      </c>
      <c r="H61" s="199">
        <f>IFERROR(INDEX(Database!$B$2:$CT$473,MATCH(E61,Database!$A$2:$A$473,0),MATCH($C$5,Database!$B$1:$CT$1,0)),"")</f>
        <v>7368</v>
      </c>
      <c r="I61" s="173">
        <f t="shared" si="8"/>
        <v>1.2281023418618218</v>
      </c>
      <c r="J61" s="192" t="s">
        <v>528</v>
      </c>
      <c r="K61" s="193">
        <v>0.2</v>
      </c>
      <c r="L61" s="199">
        <f>IFERROR(INDEX(Database!$B$2:$CT$473,MATCH(J61,Database!$A$2:$A$473,0),MATCH($C$4,Database!$B$1:$CT$1,0)),"")</f>
        <v>4474.8999999999996</v>
      </c>
      <c r="M61" s="199">
        <f>IFERROR(INDEX(Database!$B$2:$CT$473,MATCH(J61,Database!$A$2:$A$473,0),MATCH($C$5,Database!$B$1:$CT$1,0)),"")</f>
        <v>9507.4</v>
      </c>
      <c r="N61" s="173">
        <f t="shared" si="9"/>
        <v>0.42492122728999537</v>
      </c>
      <c r="O61" s="192"/>
      <c r="P61" s="193"/>
      <c r="Q61" s="199" t="str">
        <f>IFERROR(INDEX(Database!$B$2:$CT$473,MATCH(O61,Database!$A$2:$A$473,0),MATCH($C$4,Database!$B$1:$CT$1,0)),"")</f>
        <v/>
      </c>
      <c r="R61" s="199" t="str">
        <f>IFERROR(INDEX(Database!$B$2:$CT$473,MATCH(O61,Database!$A$2:$A$473,0),MATCH($C$5,Database!$B$1:$CT$1,0)),"")</f>
        <v/>
      </c>
      <c r="S61" s="173">
        <f t="shared" si="10"/>
        <v>0</v>
      </c>
      <c r="T61" s="200">
        <f t="shared" si="11"/>
        <v>1.6530235691518171</v>
      </c>
      <c r="U61" s="201">
        <f t="shared" si="12"/>
        <v>0</v>
      </c>
      <c r="V61" s="172">
        <f t="shared" si="13"/>
        <v>1.6530235691518171</v>
      </c>
    </row>
    <row r="62" spans="1:22" ht="24" customHeight="1">
      <c r="A62" s="165">
        <v>54</v>
      </c>
      <c r="B62" s="166" t="s">
        <v>655</v>
      </c>
      <c r="C62" s="193">
        <v>0.8</v>
      </c>
      <c r="D62" s="198">
        <f t="shared" si="7"/>
        <v>0.19999999999999996</v>
      </c>
      <c r="E62" s="192" t="s">
        <v>534</v>
      </c>
      <c r="F62" s="193">
        <v>0.2</v>
      </c>
      <c r="G62" s="199">
        <f>IFERROR(INDEX(Database!$B$2:$CT$473,MATCH(E62,Database!$A$2:$A$473,0),MATCH($C$4,Database!$B$1:$CT$1,0)),"")</f>
        <v>11730.5</v>
      </c>
      <c r="H62" s="199">
        <f>IFERROR(INDEX(Database!$B$2:$CT$473,MATCH(E62,Database!$A$2:$A$473,0),MATCH($C$5,Database!$B$1:$CT$1,0)),"")</f>
        <v>17395.7</v>
      </c>
      <c r="I62" s="177">
        <f t="shared" si="8"/>
        <v>0.29658923319551594</v>
      </c>
      <c r="J62" s="192"/>
      <c r="K62" s="193"/>
      <c r="L62" s="199" t="str">
        <f>IFERROR(INDEX(Database!$B$2:$CT$473,MATCH(J62,Database!$A$2:$A$473,0),MATCH($C$4,Database!$B$1:$CT$1,0)),"")</f>
        <v/>
      </c>
      <c r="M62" s="199" t="str">
        <f>IFERROR(INDEX(Database!$B$2:$CT$473,MATCH(J62,Database!$A$2:$A$473,0),MATCH($C$5,Database!$B$1:$CT$1,0)),"")</f>
        <v/>
      </c>
      <c r="N62" s="177">
        <f t="shared" si="9"/>
        <v>0</v>
      </c>
      <c r="O62" s="192"/>
      <c r="P62" s="193"/>
      <c r="Q62" s="199" t="str">
        <f>IFERROR(INDEX(Database!$B$2:$CT$473,MATCH(O62,Database!$A$2:$A$473,0),MATCH($C$4,Database!$B$1:$CT$1,0)),"")</f>
        <v/>
      </c>
      <c r="R62" s="199" t="str">
        <f>IFERROR(INDEX(Database!$B$2:$CT$473,MATCH(O62,Database!$A$2:$A$473,0),MATCH($C$5,Database!$B$1:$CT$1,0)),"")</f>
        <v/>
      </c>
      <c r="S62" s="177">
        <f t="shared" si="10"/>
        <v>0</v>
      </c>
      <c r="T62" s="200">
        <f t="shared" si="11"/>
        <v>0.29658923319551594</v>
      </c>
      <c r="U62" s="201">
        <f t="shared" si="12"/>
        <v>0.8</v>
      </c>
      <c r="V62" s="172">
        <f t="shared" si="13"/>
        <v>1.096589233195516</v>
      </c>
    </row>
    <row r="63" spans="1:22" ht="24" customHeight="1">
      <c r="A63" s="160">
        <v>55</v>
      </c>
      <c r="B63" s="162" t="s">
        <v>656</v>
      </c>
      <c r="C63" s="193">
        <v>0</v>
      </c>
      <c r="D63" s="198">
        <f t="shared" si="7"/>
        <v>1</v>
      </c>
      <c r="E63" s="192" t="s">
        <v>525</v>
      </c>
      <c r="F63" s="193">
        <v>1</v>
      </c>
      <c r="G63" s="199">
        <f>IFERROR(INDEX(Database!$B$2:$CT$473,MATCH(E63,Database!$A$2:$A$473,0),MATCH($C$4,Database!$B$1:$CT$1,0)),"")</f>
        <v>4795.8</v>
      </c>
      <c r="H63" s="199">
        <f>IFERROR(INDEX(Database!$B$2:$CT$473,MATCH(E63,Database!$A$2:$A$473,0),MATCH($C$5,Database!$B$1:$CT$1,0)),"")</f>
        <v>6686.9</v>
      </c>
      <c r="I63" s="173">
        <f t="shared" si="8"/>
        <v>1.3943242003419658</v>
      </c>
      <c r="J63" s="192"/>
      <c r="K63" s="193"/>
      <c r="L63" s="199" t="str">
        <f>IFERROR(INDEX(Database!$B$2:$CT$473,MATCH(J63,Database!$A$2:$A$473,0),MATCH($C$4,Database!$B$1:$CT$1,0)),"")</f>
        <v/>
      </c>
      <c r="M63" s="199" t="str">
        <f>IFERROR(INDEX(Database!$B$2:$CT$473,MATCH(J63,Database!$A$2:$A$473,0),MATCH($C$5,Database!$B$1:$CT$1,0)),"")</f>
        <v/>
      </c>
      <c r="N63" s="173">
        <f t="shared" si="9"/>
        <v>0</v>
      </c>
      <c r="O63" s="192"/>
      <c r="P63" s="193"/>
      <c r="Q63" s="199" t="str">
        <f>IFERROR(INDEX(Database!$B$2:$CT$473,MATCH(O63,Database!$A$2:$A$473,0),MATCH($C$4,Database!$B$1:$CT$1,0)),"")</f>
        <v/>
      </c>
      <c r="R63" s="199" t="str">
        <f>IFERROR(INDEX(Database!$B$2:$CT$473,MATCH(O63,Database!$A$2:$A$473,0),MATCH($C$5,Database!$B$1:$CT$1,0)),"")</f>
        <v/>
      </c>
      <c r="S63" s="173">
        <f t="shared" si="10"/>
        <v>0</v>
      </c>
      <c r="T63" s="200">
        <f t="shared" si="11"/>
        <v>1.3943242003419658</v>
      </c>
      <c r="U63" s="201">
        <f t="shared" si="12"/>
        <v>0</v>
      </c>
      <c r="V63" s="172">
        <f t="shared" si="13"/>
        <v>1.3943242003419658</v>
      </c>
    </row>
    <row r="64" spans="1:22" ht="24" customHeight="1">
      <c r="A64" s="165">
        <v>56</v>
      </c>
      <c r="B64" s="166" t="s">
        <v>657</v>
      </c>
      <c r="C64" s="193">
        <v>0</v>
      </c>
      <c r="D64" s="198">
        <f t="shared" si="7"/>
        <v>1</v>
      </c>
      <c r="E64" s="192" t="s">
        <v>525</v>
      </c>
      <c r="F64" s="193">
        <v>0.7</v>
      </c>
      <c r="G64" s="199">
        <f>IFERROR(INDEX(Database!$B$2:$CT$473,MATCH(E64,Database!$A$2:$A$473,0),MATCH($C$4,Database!$B$1:$CT$1,0)),"")</f>
        <v>4795.8</v>
      </c>
      <c r="H64" s="199">
        <f>IFERROR(INDEX(Database!$B$2:$CT$473,MATCH(E64,Database!$A$2:$A$473,0),MATCH($C$5,Database!$B$1:$CT$1,0)),"")</f>
        <v>6686.9</v>
      </c>
      <c r="I64" s="177">
        <f t="shared" si="8"/>
        <v>0.97602694023937597</v>
      </c>
      <c r="J64" s="192" t="s">
        <v>534</v>
      </c>
      <c r="K64" s="193">
        <v>0.3</v>
      </c>
      <c r="L64" s="199">
        <f>IFERROR(INDEX(Database!$B$2:$CT$473,MATCH(J64,Database!$A$2:$A$473,0),MATCH($C$4,Database!$B$1:$CT$1,0)),"")</f>
        <v>11730.5</v>
      </c>
      <c r="M64" s="199">
        <f>IFERROR(INDEX(Database!$B$2:$CT$473,MATCH(J64,Database!$A$2:$A$473,0),MATCH($C$5,Database!$B$1:$CT$1,0)),"")</f>
        <v>17395.7</v>
      </c>
      <c r="N64" s="177">
        <f t="shared" si="9"/>
        <v>0.44488384979327394</v>
      </c>
      <c r="O64" s="192"/>
      <c r="P64" s="193"/>
      <c r="Q64" s="199" t="str">
        <f>IFERROR(INDEX(Database!$B$2:$CT$473,MATCH(O64,Database!$A$2:$A$473,0),MATCH($C$4,Database!$B$1:$CT$1,0)),"")</f>
        <v/>
      </c>
      <c r="R64" s="199" t="str">
        <f>IFERROR(INDEX(Database!$B$2:$CT$473,MATCH(O64,Database!$A$2:$A$473,0),MATCH($C$5,Database!$B$1:$CT$1,0)),"")</f>
        <v/>
      </c>
      <c r="S64" s="177">
        <f t="shared" si="10"/>
        <v>0</v>
      </c>
      <c r="T64" s="200">
        <f t="shared" si="11"/>
        <v>1.4209107900326499</v>
      </c>
      <c r="U64" s="201">
        <f t="shared" si="12"/>
        <v>0</v>
      </c>
      <c r="V64" s="172">
        <f t="shared" si="13"/>
        <v>1.4209107900326499</v>
      </c>
    </row>
    <row r="65" spans="1:22" ht="24" customHeight="1">
      <c r="A65" s="160">
        <v>57</v>
      </c>
      <c r="B65" s="162" t="s">
        <v>658</v>
      </c>
      <c r="C65" s="193">
        <v>0</v>
      </c>
      <c r="D65" s="198">
        <f t="shared" si="7"/>
        <v>1</v>
      </c>
      <c r="E65" s="192" t="s">
        <v>525</v>
      </c>
      <c r="F65" s="193">
        <v>1</v>
      </c>
      <c r="G65" s="199">
        <f>IFERROR(INDEX(Database!$B$2:$CT$473,MATCH(E65,Database!$A$2:$A$473,0),MATCH($C$4,Database!$B$1:$CT$1,0)),"")</f>
        <v>4795.8</v>
      </c>
      <c r="H65" s="199">
        <f>IFERROR(INDEX(Database!$B$2:$CT$473,MATCH(E65,Database!$A$2:$A$473,0),MATCH($C$5,Database!$B$1:$CT$1,0)),"")</f>
        <v>6686.9</v>
      </c>
      <c r="I65" s="173">
        <f t="shared" si="8"/>
        <v>1.3943242003419658</v>
      </c>
      <c r="J65" s="192"/>
      <c r="K65" s="193"/>
      <c r="L65" s="199" t="str">
        <f>IFERROR(INDEX(Database!$B$2:$CT$473,MATCH(J65,Database!$A$2:$A$473,0),MATCH($C$4,Database!$B$1:$CT$1,0)),"")</f>
        <v/>
      </c>
      <c r="M65" s="199" t="str">
        <f>IFERROR(INDEX(Database!$B$2:$CT$473,MATCH(J65,Database!$A$2:$A$473,0),MATCH($C$5,Database!$B$1:$CT$1,0)),"")</f>
        <v/>
      </c>
      <c r="N65" s="173">
        <f t="shared" si="9"/>
        <v>0</v>
      </c>
      <c r="O65" s="192"/>
      <c r="P65" s="193"/>
      <c r="Q65" s="199" t="str">
        <f>IFERROR(INDEX(Database!$B$2:$CT$473,MATCH(O65,Database!$A$2:$A$473,0),MATCH($C$4,Database!$B$1:$CT$1,0)),"")</f>
        <v/>
      </c>
      <c r="R65" s="199" t="str">
        <f>IFERROR(INDEX(Database!$B$2:$CT$473,MATCH(O65,Database!$A$2:$A$473,0),MATCH($C$5,Database!$B$1:$CT$1,0)),"")</f>
        <v/>
      </c>
      <c r="S65" s="173">
        <f t="shared" si="10"/>
        <v>0</v>
      </c>
      <c r="T65" s="200">
        <f t="shared" si="11"/>
        <v>1.3943242003419658</v>
      </c>
      <c r="U65" s="201">
        <f t="shared" si="12"/>
        <v>0</v>
      </c>
      <c r="V65" s="172">
        <f t="shared" si="13"/>
        <v>1.3943242003419658</v>
      </c>
    </row>
    <row r="66" spans="1:22" ht="24" customHeight="1">
      <c r="A66" s="165">
        <v>58</v>
      </c>
      <c r="B66" s="166" t="s">
        <v>659</v>
      </c>
      <c r="C66" s="193">
        <v>0.4</v>
      </c>
      <c r="D66" s="198">
        <f t="shared" si="7"/>
        <v>0.6</v>
      </c>
      <c r="E66" s="192" t="s">
        <v>525</v>
      </c>
      <c r="F66" s="193">
        <v>0.6</v>
      </c>
      <c r="G66" s="199">
        <f>IFERROR(INDEX(Database!$B$2:$CT$473,MATCH(E66,Database!$A$2:$A$473,0),MATCH($C$4,Database!$B$1:$CT$1,0)),"")</f>
        <v>4795.8</v>
      </c>
      <c r="H66" s="199">
        <f>IFERROR(INDEX(Database!$B$2:$CT$473,MATCH(E66,Database!$A$2:$A$473,0),MATCH($C$5,Database!$B$1:$CT$1,0)),"")</f>
        <v>6686.9</v>
      </c>
      <c r="I66" s="177">
        <f t="shared" si="8"/>
        <v>0.83659452020517944</v>
      </c>
      <c r="J66" s="192"/>
      <c r="K66" s="193"/>
      <c r="L66" s="199" t="str">
        <f>IFERROR(INDEX(Database!$B$2:$CT$473,MATCH(J66,Database!$A$2:$A$473,0),MATCH($C$4,Database!$B$1:$CT$1,0)),"")</f>
        <v/>
      </c>
      <c r="M66" s="199" t="str">
        <f>IFERROR(INDEX(Database!$B$2:$CT$473,MATCH(J66,Database!$A$2:$A$473,0),MATCH($C$5,Database!$B$1:$CT$1,0)),"")</f>
        <v/>
      </c>
      <c r="N66" s="177">
        <f t="shared" si="9"/>
        <v>0</v>
      </c>
      <c r="O66" s="192"/>
      <c r="P66" s="193"/>
      <c r="Q66" s="199" t="str">
        <f>IFERROR(INDEX(Database!$B$2:$CT$473,MATCH(O66,Database!$A$2:$A$473,0),MATCH($C$4,Database!$B$1:$CT$1,0)),"")</f>
        <v/>
      </c>
      <c r="R66" s="199" t="str">
        <f>IFERROR(INDEX(Database!$B$2:$CT$473,MATCH(O66,Database!$A$2:$A$473,0),MATCH($C$5,Database!$B$1:$CT$1,0)),"")</f>
        <v/>
      </c>
      <c r="S66" s="177">
        <f t="shared" si="10"/>
        <v>0</v>
      </c>
      <c r="T66" s="200">
        <f t="shared" si="11"/>
        <v>0.83659452020517944</v>
      </c>
      <c r="U66" s="201">
        <f t="shared" si="12"/>
        <v>0.4</v>
      </c>
      <c r="V66" s="172">
        <f t="shared" si="13"/>
        <v>1.2365945202051796</v>
      </c>
    </row>
    <row r="67" spans="1:22" ht="24" customHeight="1">
      <c r="A67" s="160">
        <v>59</v>
      </c>
      <c r="B67" s="162" t="s">
        <v>660</v>
      </c>
      <c r="C67" s="193">
        <v>0.45</v>
      </c>
      <c r="D67" s="198">
        <f t="shared" si="7"/>
        <v>0.55000000000000004</v>
      </c>
      <c r="E67" s="192" t="s">
        <v>525</v>
      </c>
      <c r="F67" s="193">
        <v>0.45</v>
      </c>
      <c r="G67" s="199">
        <f>IFERROR(INDEX(Database!$B$2:$CT$473,MATCH(E67,Database!$A$2:$A$473,0),MATCH($C$4,Database!$B$1:$CT$1,0)),"")</f>
        <v>4795.8</v>
      </c>
      <c r="H67" s="199">
        <f>IFERROR(INDEX(Database!$B$2:$CT$473,MATCH(E67,Database!$A$2:$A$473,0),MATCH($C$5,Database!$B$1:$CT$1,0)),"")</f>
        <v>6686.9</v>
      </c>
      <c r="I67" s="173">
        <f t="shared" si="8"/>
        <v>0.62744589015388463</v>
      </c>
      <c r="J67" s="192" t="s">
        <v>123</v>
      </c>
      <c r="K67" s="193">
        <v>0.1</v>
      </c>
      <c r="L67" s="199">
        <f>IFERROR(INDEX(Database!$B$2:$CT$473,MATCH(J67,Database!$A$2:$A$473,0),MATCH($C$4,Database!$B$1:$CT$1,0)),"")</f>
        <v>6783.9</v>
      </c>
      <c r="M67" s="199">
        <f>IFERROR(INDEX(Database!$B$2:$CT$473,MATCH(J67,Database!$A$2:$A$473,0),MATCH($C$5,Database!$B$1:$CT$1,0)),"")</f>
        <v>9344.2000000000007</v>
      </c>
      <c r="N67" s="173">
        <f t="shared" si="9"/>
        <v>0.13774082754757591</v>
      </c>
      <c r="O67" s="192"/>
      <c r="P67" s="193"/>
      <c r="Q67" s="199" t="str">
        <f>IFERROR(INDEX(Database!$B$2:$CT$473,MATCH(O67,Database!$A$2:$A$473,0),MATCH($C$4,Database!$B$1:$CT$1,0)),"")</f>
        <v/>
      </c>
      <c r="R67" s="199" t="str">
        <f>IFERROR(INDEX(Database!$B$2:$CT$473,MATCH(O67,Database!$A$2:$A$473,0),MATCH($C$5,Database!$B$1:$CT$1,0)),"")</f>
        <v/>
      </c>
      <c r="S67" s="173">
        <f t="shared" si="10"/>
        <v>0</v>
      </c>
      <c r="T67" s="200">
        <f t="shared" si="11"/>
        <v>0.76518671770146052</v>
      </c>
      <c r="U67" s="201">
        <f t="shared" si="12"/>
        <v>0.45</v>
      </c>
      <c r="V67" s="172">
        <f t="shared" si="13"/>
        <v>1.2151867177014606</v>
      </c>
    </row>
    <row r="68" spans="1:22" ht="24" customHeight="1">
      <c r="A68" s="165">
        <v>60</v>
      </c>
      <c r="B68" s="166" t="s">
        <v>661</v>
      </c>
      <c r="C68" s="193">
        <v>0.39999999999999991</v>
      </c>
      <c r="D68" s="198">
        <f t="shared" si="7"/>
        <v>0.60000000000000009</v>
      </c>
      <c r="E68" s="192" t="s">
        <v>525</v>
      </c>
      <c r="F68" s="193">
        <v>0.4</v>
      </c>
      <c r="G68" s="199">
        <f>IFERROR(INDEX(Database!$B$2:$CT$473,MATCH(E68,Database!$A$2:$A$473,0),MATCH($C$4,Database!$B$1:$CT$1,0)),"")</f>
        <v>4795.8</v>
      </c>
      <c r="H68" s="199">
        <f>IFERROR(INDEX(Database!$B$2:$CT$473,MATCH(E68,Database!$A$2:$A$473,0),MATCH($C$5,Database!$B$1:$CT$1,0)),"")</f>
        <v>6686.9</v>
      </c>
      <c r="I68" s="177">
        <f t="shared" si="8"/>
        <v>0.55772968013678637</v>
      </c>
      <c r="J68" s="192" t="s">
        <v>123</v>
      </c>
      <c r="K68" s="193">
        <v>0.2</v>
      </c>
      <c r="L68" s="199">
        <f>IFERROR(INDEX(Database!$B$2:$CT$473,MATCH(J68,Database!$A$2:$A$473,0),MATCH($C$4,Database!$B$1:$CT$1,0)),"")</f>
        <v>6783.9</v>
      </c>
      <c r="M68" s="199">
        <f>IFERROR(INDEX(Database!$B$2:$CT$473,MATCH(J68,Database!$A$2:$A$473,0),MATCH($C$5,Database!$B$1:$CT$1,0)),"")</f>
        <v>9344.2000000000007</v>
      </c>
      <c r="N68" s="177">
        <f t="shared" si="9"/>
        <v>0.27548165509515182</v>
      </c>
      <c r="O68" s="192"/>
      <c r="P68" s="193"/>
      <c r="Q68" s="199" t="str">
        <f>IFERROR(INDEX(Database!$B$2:$CT$473,MATCH(O68,Database!$A$2:$A$473,0),MATCH($C$4,Database!$B$1:$CT$1,0)),"")</f>
        <v/>
      </c>
      <c r="R68" s="199" t="str">
        <f>IFERROR(INDEX(Database!$B$2:$CT$473,MATCH(O68,Database!$A$2:$A$473,0),MATCH($C$5,Database!$B$1:$CT$1,0)),"")</f>
        <v/>
      </c>
      <c r="S68" s="177">
        <f t="shared" si="10"/>
        <v>0</v>
      </c>
      <c r="T68" s="200">
        <f t="shared" si="11"/>
        <v>0.83321133523193813</v>
      </c>
      <c r="U68" s="201">
        <f t="shared" si="12"/>
        <v>0.39999999999999991</v>
      </c>
      <c r="V68" s="172">
        <f t="shared" si="13"/>
        <v>1.233211335231938</v>
      </c>
    </row>
    <row r="69" spans="1:22" ht="24" customHeight="1">
      <c r="A69" s="160">
        <v>61</v>
      </c>
      <c r="B69" s="162" t="s">
        <v>662</v>
      </c>
      <c r="C69" s="193">
        <v>0.9</v>
      </c>
      <c r="D69" s="198">
        <f t="shared" si="7"/>
        <v>9.9999999999999978E-2</v>
      </c>
      <c r="E69" s="192" t="s">
        <v>123</v>
      </c>
      <c r="F69" s="193">
        <v>0.1</v>
      </c>
      <c r="G69" s="199">
        <f>IFERROR(INDEX(Database!$B$2:$CT$473,MATCH(E69,Database!$A$2:$A$473,0),MATCH($C$4,Database!$B$1:$CT$1,0)),"")</f>
        <v>6783.9</v>
      </c>
      <c r="H69" s="199">
        <f>IFERROR(INDEX(Database!$B$2:$CT$473,MATCH(E69,Database!$A$2:$A$473,0),MATCH($C$5,Database!$B$1:$CT$1,0)),"")</f>
        <v>9344.2000000000007</v>
      </c>
      <c r="I69" s="173">
        <f t="shared" si="8"/>
        <v>0.13774082754757591</v>
      </c>
      <c r="J69" s="192"/>
      <c r="K69" s="193"/>
      <c r="L69" s="199" t="str">
        <f>IFERROR(INDEX(Database!$B$2:$CT$473,MATCH(J69,Database!$A$2:$A$473,0),MATCH($C$4,Database!$B$1:$CT$1,0)),"")</f>
        <v/>
      </c>
      <c r="M69" s="199" t="str">
        <f>IFERROR(INDEX(Database!$B$2:$CT$473,MATCH(J69,Database!$A$2:$A$473,0),MATCH($C$5,Database!$B$1:$CT$1,0)),"")</f>
        <v/>
      </c>
      <c r="N69" s="173">
        <f t="shared" si="9"/>
        <v>0</v>
      </c>
      <c r="O69" s="192"/>
      <c r="P69" s="193"/>
      <c r="Q69" s="199" t="str">
        <f>IFERROR(INDEX(Database!$B$2:$CT$473,MATCH(O69,Database!$A$2:$A$473,0),MATCH($C$4,Database!$B$1:$CT$1,0)),"")</f>
        <v/>
      </c>
      <c r="R69" s="199" t="str">
        <f>IFERROR(INDEX(Database!$B$2:$CT$473,MATCH(O69,Database!$A$2:$A$473,0),MATCH($C$5,Database!$B$1:$CT$1,0)),"")</f>
        <v/>
      </c>
      <c r="S69" s="173">
        <f t="shared" si="10"/>
        <v>0</v>
      </c>
      <c r="T69" s="200">
        <f t="shared" si="11"/>
        <v>0.13774082754757591</v>
      </c>
      <c r="U69" s="201">
        <f t="shared" si="12"/>
        <v>0.9</v>
      </c>
      <c r="V69" s="172">
        <f t="shared" si="13"/>
        <v>1.0377408275475759</v>
      </c>
    </row>
    <row r="70" spans="1:22" ht="24" customHeight="1">
      <c r="A70" s="165">
        <v>62</v>
      </c>
      <c r="B70" s="166" t="s">
        <v>663</v>
      </c>
      <c r="C70" s="193">
        <v>0.9</v>
      </c>
      <c r="D70" s="198">
        <f t="shared" si="7"/>
        <v>9.9999999999999978E-2</v>
      </c>
      <c r="E70" s="192" t="s">
        <v>123</v>
      </c>
      <c r="F70" s="193">
        <v>0.1</v>
      </c>
      <c r="G70" s="199">
        <f>IFERROR(INDEX(Database!$B$2:$CT$473,MATCH(E70,Database!$A$2:$A$473,0),MATCH($C$4,Database!$B$1:$CT$1,0)),"")</f>
        <v>6783.9</v>
      </c>
      <c r="H70" s="199">
        <f>IFERROR(INDEX(Database!$B$2:$CT$473,MATCH(E70,Database!$A$2:$A$473,0),MATCH($C$5,Database!$B$1:$CT$1,0)),"")</f>
        <v>9344.2000000000007</v>
      </c>
      <c r="I70" s="177">
        <f t="shared" si="8"/>
        <v>0.13774082754757591</v>
      </c>
      <c r="J70" s="192"/>
      <c r="K70" s="193"/>
      <c r="L70" s="199" t="str">
        <f>IFERROR(INDEX(Database!$B$2:$CT$473,MATCH(J70,Database!$A$2:$A$473,0),MATCH($C$4,Database!$B$1:$CT$1,0)),"")</f>
        <v/>
      </c>
      <c r="M70" s="199" t="str">
        <f>IFERROR(INDEX(Database!$B$2:$CT$473,MATCH(J70,Database!$A$2:$A$473,0),MATCH($C$5,Database!$B$1:$CT$1,0)),"")</f>
        <v/>
      </c>
      <c r="N70" s="177">
        <f t="shared" si="9"/>
        <v>0</v>
      </c>
      <c r="O70" s="192"/>
      <c r="P70" s="193"/>
      <c r="Q70" s="199" t="str">
        <f>IFERROR(INDEX(Database!$B$2:$CT$473,MATCH(O70,Database!$A$2:$A$473,0),MATCH($C$4,Database!$B$1:$CT$1,0)),"")</f>
        <v/>
      </c>
      <c r="R70" s="199" t="str">
        <f>IFERROR(INDEX(Database!$B$2:$CT$473,MATCH(O70,Database!$A$2:$A$473,0),MATCH($C$5,Database!$B$1:$CT$1,0)),"")</f>
        <v/>
      </c>
      <c r="S70" s="177">
        <f t="shared" si="10"/>
        <v>0</v>
      </c>
      <c r="T70" s="200">
        <f t="shared" si="11"/>
        <v>0.13774082754757591</v>
      </c>
      <c r="U70" s="201">
        <f t="shared" si="12"/>
        <v>0.9</v>
      </c>
      <c r="V70" s="172">
        <f t="shared" si="13"/>
        <v>1.0377408275475759</v>
      </c>
    </row>
    <row r="71" spans="1:22" ht="24" customHeight="1">
      <c r="A71" s="160">
        <v>63</v>
      </c>
      <c r="B71" s="162" t="s">
        <v>664</v>
      </c>
      <c r="C71" s="193">
        <v>0</v>
      </c>
      <c r="D71" s="198">
        <f t="shared" si="7"/>
        <v>1</v>
      </c>
      <c r="E71" s="192" t="s">
        <v>525</v>
      </c>
      <c r="F71" s="193">
        <v>0.8</v>
      </c>
      <c r="G71" s="199">
        <f>IFERROR(INDEX(Database!$B$2:$CT$473,MATCH(E71,Database!$A$2:$A$473,0),MATCH($C$4,Database!$B$1:$CT$1,0)),"")</f>
        <v>4795.8</v>
      </c>
      <c r="H71" s="199">
        <f>IFERROR(INDEX(Database!$B$2:$CT$473,MATCH(E71,Database!$A$2:$A$473,0),MATCH($C$5,Database!$B$1:$CT$1,0)),"")</f>
        <v>6686.9</v>
      </c>
      <c r="I71" s="173">
        <f t="shared" si="8"/>
        <v>1.1154593602735727</v>
      </c>
      <c r="J71" s="192" t="s">
        <v>123</v>
      </c>
      <c r="K71" s="193">
        <v>0.2</v>
      </c>
      <c r="L71" s="199">
        <f>IFERROR(INDEX(Database!$B$2:$CT$473,MATCH(J71,Database!$A$2:$A$473,0),MATCH($C$4,Database!$B$1:$CT$1,0)),"")</f>
        <v>6783.9</v>
      </c>
      <c r="M71" s="199">
        <f>IFERROR(INDEX(Database!$B$2:$CT$473,MATCH(J71,Database!$A$2:$A$473,0),MATCH($C$5,Database!$B$1:$CT$1,0)),"")</f>
        <v>9344.2000000000007</v>
      </c>
      <c r="N71" s="173">
        <f t="shared" si="9"/>
        <v>0.27548165509515182</v>
      </c>
      <c r="O71" s="192"/>
      <c r="P71" s="193"/>
      <c r="Q71" s="199" t="str">
        <f>IFERROR(INDEX(Database!$B$2:$CT$473,MATCH(O71,Database!$A$2:$A$473,0),MATCH($C$4,Database!$B$1:$CT$1,0)),"")</f>
        <v/>
      </c>
      <c r="R71" s="199" t="str">
        <f>IFERROR(INDEX(Database!$B$2:$CT$473,MATCH(O71,Database!$A$2:$A$473,0),MATCH($C$5,Database!$B$1:$CT$1,0)),"")</f>
        <v/>
      </c>
      <c r="S71" s="173">
        <f t="shared" si="10"/>
        <v>0</v>
      </c>
      <c r="T71" s="200">
        <f t="shared" si="11"/>
        <v>1.3909410153687245</v>
      </c>
      <c r="U71" s="201">
        <f t="shared" si="12"/>
        <v>0</v>
      </c>
      <c r="V71" s="172">
        <f t="shared" si="13"/>
        <v>1.3909410153687245</v>
      </c>
    </row>
    <row r="72" spans="1:22" ht="24" customHeight="1">
      <c r="A72" s="165">
        <v>64</v>
      </c>
      <c r="B72" s="166" t="s">
        <v>665</v>
      </c>
      <c r="C72" s="193">
        <v>0</v>
      </c>
      <c r="D72" s="198">
        <f t="shared" si="7"/>
        <v>1</v>
      </c>
      <c r="E72" s="192" t="s">
        <v>131</v>
      </c>
      <c r="F72" s="193">
        <v>1</v>
      </c>
      <c r="G72" s="199">
        <f>IFERROR(INDEX(Database!$B$2:$CT$473,MATCH(E72,Database!$A$2:$A$473,0),MATCH($C$4,Database!$B$1:$CT$1,0)),"")</f>
        <v>4799.6000000000004</v>
      </c>
      <c r="H72" s="199">
        <f>IFERROR(INDEX(Database!$B$2:$CT$473,MATCH(E72,Database!$A$2:$A$473,0),MATCH($C$5,Database!$B$1:$CT$1,0)),"")</f>
        <v>7368</v>
      </c>
      <c r="I72" s="177">
        <f t="shared" si="8"/>
        <v>1.5351279273272771</v>
      </c>
      <c r="J72" s="192"/>
      <c r="K72" s="193"/>
      <c r="L72" s="199" t="str">
        <f>IFERROR(INDEX(Database!$B$2:$CT$473,MATCH(J72,Database!$A$2:$A$473,0),MATCH($C$4,Database!$B$1:$CT$1,0)),"")</f>
        <v/>
      </c>
      <c r="M72" s="199" t="str">
        <f>IFERROR(INDEX(Database!$B$2:$CT$473,MATCH(J72,Database!$A$2:$A$473,0),MATCH($C$5,Database!$B$1:$CT$1,0)),"")</f>
        <v/>
      </c>
      <c r="N72" s="177">
        <f t="shared" si="9"/>
        <v>0</v>
      </c>
      <c r="O72" s="192"/>
      <c r="P72" s="193"/>
      <c r="Q72" s="199" t="str">
        <f>IFERROR(INDEX(Database!$B$2:$CT$473,MATCH(O72,Database!$A$2:$A$473,0),MATCH($C$4,Database!$B$1:$CT$1,0)),"")</f>
        <v/>
      </c>
      <c r="R72" s="199" t="str">
        <f>IFERROR(INDEX(Database!$B$2:$CT$473,MATCH(O72,Database!$A$2:$A$473,0),MATCH($C$5,Database!$B$1:$CT$1,0)),"")</f>
        <v/>
      </c>
      <c r="S72" s="177">
        <f t="shared" si="10"/>
        <v>0</v>
      </c>
      <c r="T72" s="200">
        <f t="shared" si="11"/>
        <v>1.5351279273272771</v>
      </c>
      <c r="U72" s="201">
        <f t="shared" si="12"/>
        <v>0</v>
      </c>
      <c r="V72" s="172">
        <f t="shared" si="13"/>
        <v>1.5351279273272771</v>
      </c>
    </row>
    <row r="73" spans="1:22" ht="24" customHeight="1">
      <c r="A73" s="160">
        <v>65</v>
      </c>
      <c r="B73" s="162" t="s">
        <v>666</v>
      </c>
      <c r="C73" s="193">
        <v>0.7</v>
      </c>
      <c r="D73" s="198">
        <f t="shared" ref="D73:D104" si="14">1-C73</f>
        <v>0.30000000000000004</v>
      </c>
      <c r="E73" s="192" t="s">
        <v>123</v>
      </c>
      <c r="F73" s="193">
        <v>0.3</v>
      </c>
      <c r="G73" s="199">
        <f>IFERROR(INDEX(Database!$B$2:$CT$473,MATCH(E73,Database!$A$2:$A$473,0),MATCH($C$4,Database!$B$1:$CT$1,0)),"")</f>
        <v>6783.9</v>
      </c>
      <c r="H73" s="199">
        <f>IFERROR(INDEX(Database!$B$2:$CT$473,MATCH(E73,Database!$A$2:$A$473,0),MATCH($C$5,Database!$B$1:$CT$1,0)),"")</f>
        <v>9344.2000000000007</v>
      </c>
      <c r="I73" s="173">
        <f t="shared" ref="I73:I104" si="15">IF(OR(G73="",G73=0),0,(H73/G73)*F73)</f>
        <v>0.41322248264272771</v>
      </c>
      <c r="J73" s="192"/>
      <c r="K73" s="193"/>
      <c r="L73" s="199" t="str">
        <f>IFERROR(INDEX(Database!$B$2:$CT$473,MATCH(J73,Database!$A$2:$A$473,0),MATCH($C$4,Database!$B$1:$CT$1,0)),"")</f>
        <v/>
      </c>
      <c r="M73" s="199" t="str">
        <f>IFERROR(INDEX(Database!$B$2:$CT$473,MATCH(J73,Database!$A$2:$A$473,0),MATCH($C$5,Database!$B$1:$CT$1,0)),"")</f>
        <v/>
      </c>
      <c r="N73" s="173">
        <f t="shared" ref="N73:N104" si="16">IF(OR(L73="",L73=0),0,(M73/L73)*K73)</f>
        <v>0</v>
      </c>
      <c r="O73" s="192"/>
      <c r="P73" s="193"/>
      <c r="Q73" s="199" t="str">
        <f>IFERROR(INDEX(Database!$B$2:$CT$473,MATCH(O73,Database!$A$2:$A$473,0),MATCH($C$4,Database!$B$1:$CT$1,0)),"")</f>
        <v/>
      </c>
      <c r="R73" s="199" t="str">
        <f>IFERROR(INDEX(Database!$B$2:$CT$473,MATCH(O73,Database!$A$2:$A$473,0),MATCH($C$5,Database!$B$1:$CT$1,0)),"")</f>
        <v/>
      </c>
      <c r="S73" s="173">
        <f t="shared" ref="S73:S104" si="17">IF(OR(Q73="",Q73=0),0,(R73/Q73)*P73)</f>
        <v>0</v>
      </c>
      <c r="T73" s="200">
        <f t="shared" ref="T73:T104" si="18">I73+N73+S73</f>
        <v>0.41322248264272771</v>
      </c>
      <c r="U73" s="201">
        <f t="shared" ref="U73:U104" si="19">IF(OR($H$5="",$H$5=0),C73,($J$5/$H$5)*C73)</f>
        <v>0.7</v>
      </c>
      <c r="V73" s="172">
        <f t="shared" ref="V73:V104" si="20">T73+U73</f>
        <v>1.1132224826427277</v>
      </c>
    </row>
    <row r="74" spans="1:22" ht="24" customHeight="1">
      <c r="A74" s="165">
        <v>66</v>
      </c>
      <c r="B74" s="166" t="s">
        <v>667</v>
      </c>
      <c r="C74" s="193">
        <v>0.8</v>
      </c>
      <c r="D74" s="198">
        <f t="shared" si="14"/>
        <v>0.19999999999999996</v>
      </c>
      <c r="E74" s="192" t="s">
        <v>131</v>
      </c>
      <c r="F74" s="193">
        <v>0.2</v>
      </c>
      <c r="G74" s="199">
        <f>IFERROR(INDEX(Database!$B$2:$CT$473,MATCH(E74,Database!$A$2:$A$473,0),MATCH($C$4,Database!$B$1:$CT$1,0)),"")</f>
        <v>4799.6000000000004</v>
      </c>
      <c r="H74" s="199">
        <f>IFERROR(INDEX(Database!$B$2:$CT$473,MATCH(E74,Database!$A$2:$A$473,0),MATCH($C$5,Database!$B$1:$CT$1,0)),"")</f>
        <v>7368</v>
      </c>
      <c r="I74" s="177">
        <f t="shared" si="15"/>
        <v>0.30702558546545544</v>
      </c>
      <c r="J74" s="192"/>
      <c r="K74" s="193"/>
      <c r="L74" s="199" t="str">
        <f>IFERROR(INDEX(Database!$B$2:$CT$473,MATCH(J74,Database!$A$2:$A$473,0),MATCH($C$4,Database!$B$1:$CT$1,0)),"")</f>
        <v/>
      </c>
      <c r="M74" s="199" t="str">
        <f>IFERROR(INDEX(Database!$B$2:$CT$473,MATCH(J74,Database!$A$2:$A$473,0),MATCH($C$5,Database!$B$1:$CT$1,0)),"")</f>
        <v/>
      </c>
      <c r="N74" s="177">
        <f t="shared" si="16"/>
        <v>0</v>
      </c>
      <c r="O74" s="192"/>
      <c r="P74" s="193"/>
      <c r="Q74" s="199" t="str">
        <f>IFERROR(INDEX(Database!$B$2:$CT$473,MATCH(O74,Database!$A$2:$A$473,0),MATCH($C$4,Database!$B$1:$CT$1,0)),"")</f>
        <v/>
      </c>
      <c r="R74" s="199" t="str">
        <f>IFERROR(INDEX(Database!$B$2:$CT$473,MATCH(O74,Database!$A$2:$A$473,0),MATCH($C$5,Database!$B$1:$CT$1,0)),"")</f>
        <v/>
      </c>
      <c r="S74" s="177">
        <f t="shared" si="17"/>
        <v>0</v>
      </c>
      <c r="T74" s="200">
        <f t="shared" si="18"/>
        <v>0.30702558546545544</v>
      </c>
      <c r="U74" s="201">
        <f t="shared" si="19"/>
        <v>0.8</v>
      </c>
      <c r="V74" s="172">
        <f t="shared" si="20"/>
        <v>1.1070255854654554</v>
      </c>
    </row>
    <row r="75" spans="1:22" ht="24" customHeight="1">
      <c r="A75" s="160">
        <v>67</v>
      </c>
      <c r="B75" s="162" t="s">
        <v>668</v>
      </c>
      <c r="C75" s="193">
        <v>0.8</v>
      </c>
      <c r="D75" s="198">
        <f t="shared" si="14"/>
        <v>0.19999999999999996</v>
      </c>
      <c r="E75" s="192" t="s">
        <v>510</v>
      </c>
      <c r="F75" s="193">
        <v>0.2</v>
      </c>
      <c r="G75" s="199">
        <f>IFERROR(INDEX(Database!$B$2:$CT$473,MATCH(E75,Database!$A$2:$A$473,0),MATCH($C$4,Database!$B$1:$CT$1,0)),"")</f>
        <v>6041.1</v>
      </c>
      <c r="H75" s="199">
        <f>IFERROR(INDEX(Database!$B$2:$CT$473,MATCH(E75,Database!$A$2:$A$473,0),MATCH($C$5,Database!$B$1:$CT$1,0)),"")</f>
        <v>8957.6</v>
      </c>
      <c r="I75" s="173">
        <f t="shared" si="15"/>
        <v>0.2965552631143335</v>
      </c>
      <c r="J75" s="192"/>
      <c r="K75" s="193"/>
      <c r="L75" s="199" t="str">
        <f>IFERROR(INDEX(Database!$B$2:$CT$473,MATCH(J75,Database!$A$2:$A$473,0),MATCH($C$4,Database!$B$1:$CT$1,0)),"")</f>
        <v/>
      </c>
      <c r="M75" s="199" t="str">
        <f>IFERROR(INDEX(Database!$B$2:$CT$473,MATCH(J75,Database!$A$2:$A$473,0),MATCH($C$5,Database!$B$1:$CT$1,0)),"")</f>
        <v/>
      </c>
      <c r="N75" s="173">
        <f t="shared" si="16"/>
        <v>0</v>
      </c>
      <c r="O75" s="192"/>
      <c r="P75" s="193"/>
      <c r="Q75" s="199" t="str">
        <f>IFERROR(INDEX(Database!$B$2:$CT$473,MATCH(O75,Database!$A$2:$A$473,0),MATCH($C$4,Database!$B$1:$CT$1,0)),"")</f>
        <v/>
      </c>
      <c r="R75" s="199" t="str">
        <f>IFERROR(INDEX(Database!$B$2:$CT$473,MATCH(O75,Database!$A$2:$A$473,0),MATCH($C$5,Database!$B$1:$CT$1,0)),"")</f>
        <v/>
      </c>
      <c r="S75" s="173">
        <f t="shared" si="17"/>
        <v>0</v>
      </c>
      <c r="T75" s="200">
        <f t="shared" si="18"/>
        <v>0.2965552631143335</v>
      </c>
      <c r="U75" s="201">
        <f t="shared" si="19"/>
        <v>0.8</v>
      </c>
      <c r="V75" s="172">
        <f t="shared" si="20"/>
        <v>1.0965552631143336</v>
      </c>
    </row>
    <row r="76" spans="1:22" ht="24" customHeight="1">
      <c r="A76" s="165">
        <v>68</v>
      </c>
      <c r="B76" s="166" t="s">
        <v>669</v>
      </c>
      <c r="C76" s="193">
        <v>0</v>
      </c>
      <c r="D76" s="198">
        <f t="shared" si="14"/>
        <v>1</v>
      </c>
      <c r="E76" s="192" t="s">
        <v>510</v>
      </c>
      <c r="F76" s="193">
        <v>1</v>
      </c>
      <c r="G76" s="199">
        <f>IFERROR(INDEX(Database!$B$2:$CT$473,MATCH(E76,Database!$A$2:$A$473,0),MATCH($C$4,Database!$B$1:$CT$1,0)),"")</f>
        <v>6041.1</v>
      </c>
      <c r="H76" s="199">
        <f>IFERROR(INDEX(Database!$B$2:$CT$473,MATCH(E76,Database!$A$2:$A$473,0),MATCH($C$5,Database!$B$1:$CT$1,0)),"")</f>
        <v>8957.6</v>
      </c>
      <c r="I76" s="177">
        <f t="shared" si="15"/>
        <v>1.4827763155716673</v>
      </c>
      <c r="J76" s="192"/>
      <c r="K76" s="193"/>
      <c r="L76" s="199" t="str">
        <f>IFERROR(INDEX(Database!$B$2:$CT$473,MATCH(J76,Database!$A$2:$A$473,0),MATCH($C$4,Database!$B$1:$CT$1,0)),"")</f>
        <v/>
      </c>
      <c r="M76" s="199" t="str">
        <f>IFERROR(INDEX(Database!$B$2:$CT$473,MATCH(J76,Database!$A$2:$A$473,0),MATCH($C$5,Database!$B$1:$CT$1,0)),"")</f>
        <v/>
      </c>
      <c r="N76" s="177">
        <f t="shared" si="16"/>
        <v>0</v>
      </c>
      <c r="O76" s="192"/>
      <c r="P76" s="193"/>
      <c r="Q76" s="199" t="str">
        <f>IFERROR(INDEX(Database!$B$2:$CT$473,MATCH(O76,Database!$A$2:$A$473,0),MATCH($C$4,Database!$B$1:$CT$1,0)),"")</f>
        <v/>
      </c>
      <c r="R76" s="199" t="str">
        <f>IFERROR(INDEX(Database!$B$2:$CT$473,MATCH(O76,Database!$A$2:$A$473,0),MATCH($C$5,Database!$B$1:$CT$1,0)),"")</f>
        <v/>
      </c>
      <c r="S76" s="177">
        <f t="shared" si="17"/>
        <v>0</v>
      </c>
      <c r="T76" s="200">
        <f t="shared" si="18"/>
        <v>1.4827763155716673</v>
      </c>
      <c r="U76" s="201">
        <f t="shared" si="19"/>
        <v>0</v>
      </c>
      <c r="V76" s="172">
        <f t="shared" si="20"/>
        <v>1.4827763155716673</v>
      </c>
    </row>
    <row r="77" spans="1:22" ht="24" customHeight="1">
      <c r="A77" s="160">
        <v>69</v>
      </c>
      <c r="B77" s="162" t="s">
        <v>670</v>
      </c>
      <c r="C77" s="193">
        <v>0</v>
      </c>
      <c r="D77" s="198">
        <f t="shared" si="14"/>
        <v>1</v>
      </c>
      <c r="E77" s="192" t="s">
        <v>530</v>
      </c>
      <c r="F77" s="193">
        <v>1</v>
      </c>
      <c r="G77" s="199">
        <f>IFERROR(INDEX(Database!$B$2:$CT$473,MATCH(E77,Database!$A$2:$A$473,0),MATCH($C$4,Database!$B$1:$CT$1,0)),"")</f>
        <v>4943.5</v>
      </c>
      <c r="H77" s="199">
        <f>IFERROR(INDEX(Database!$B$2:$CT$473,MATCH(E77,Database!$A$2:$A$473,0),MATCH($C$5,Database!$B$1:$CT$1,0)),"")</f>
        <v>7812.5</v>
      </c>
      <c r="I77" s="173">
        <f t="shared" si="15"/>
        <v>1.5803580459188833</v>
      </c>
      <c r="J77" s="192"/>
      <c r="K77" s="193"/>
      <c r="L77" s="199" t="str">
        <f>IFERROR(INDEX(Database!$B$2:$CT$473,MATCH(J77,Database!$A$2:$A$473,0),MATCH($C$4,Database!$B$1:$CT$1,0)),"")</f>
        <v/>
      </c>
      <c r="M77" s="199" t="str">
        <f>IFERROR(INDEX(Database!$B$2:$CT$473,MATCH(J77,Database!$A$2:$A$473,0),MATCH($C$5,Database!$B$1:$CT$1,0)),"")</f>
        <v/>
      </c>
      <c r="N77" s="173">
        <f t="shared" si="16"/>
        <v>0</v>
      </c>
      <c r="O77" s="192"/>
      <c r="P77" s="193"/>
      <c r="Q77" s="199" t="str">
        <f>IFERROR(INDEX(Database!$B$2:$CT$473,MATCH(O77,Database!$A$2:$A$473,0),MATCH($C$4,Database!$B$1:$CT$1,0)),"")</f>
        <v/>
      </c>
      <c r="R77" s="199" t="str">
        <f>IFERROR(INDEX(Database!$B$2:$CT$473,MATCH(O77,Database!$A$2:$A$473,0),MATCH($C$5,Database!$B$1:$CT$1,0)),"")</f>
        <v/>
      </c>
      <c r="S77" s="173">
        <f t="shared" si="17"/>
        <v>0</v>
      </c>
      <c r="T77" s="200">
        <f t="shared" si="18"/>
        <v>1.5803580459188833</v>
      </c>
      <c r="U77" s="201">
        <f t="shared" si="19"/>
        <v>0</v>
      </c>
      <c r="V77" s="172">
        <f t="shared" si="20"/>
        <v>1.5803580459188833</v>
      </c>
    </row>
    <row r="78" spans="1:22" ht="24" customHeight="1">
      <c r="A78" s="165">
        <v>70</v>
      </c>
      <c r="B78" s="166" t="s">
        <v>671</v>
      </c>
      <c r="C78" s="193">
        <v>0</v>
      </c>
      <c r="D78" s="198">
        <f t="shared" si="14"/>
        <v>1</v>
      </c>
      <c r="E78" s="192" t="s">
        <v>437</v>
      </c>
      <c r="F78" s="193">
        <v>1</v>
      </c>
      <c r="G78" s="199">
        <f>IFERROR(INDEX(Database!$B$2:$CT$473,MATCH(E78,Database!$A$2:$A$473,0),MATCH($C$4,Database!$B$1:$CT$1,0)),"")</f>
        <v>7351.8</v>
      </c>
      <c r="H78" s="199">
        <f>IFERROR(INDEX(Database!$B$2:$CT$473,MATCH(E78,Database!$A$2:$A$473,0),MATCH($C$5,Database!$B$1:$CT$1,0)),"")</f>
        <v>10547.7</v>
      </c>
      <c r="I78" s="177">
        <f t="shared" si="15"/>
        <v>1.4347098669713541</v>
      </c>
      <c r="J78" s="192"/>
      <c r="K78" s="193"/>
      <c r="L78" s="199" t="str">
        <f>IFERROR(INDEX(Database!$B$2:$CT$473,MATCH(J78,Database!$A$2:$A$473,0),MATCH($C$4,Database!$B$1:$CT$1,0)),"")</f>
        <v/>
      </c>
      <c r="M78" s="199" t="str">
        <f>IFERROR(INDEX(Database!$B$2:$CT$473,MATCH(J78,Database!$A$2:$A$473,0),MATCH($C$5,Database!$B$1:$CT$1,0)),"")</f>
        <v/>
      </c>
      <c r="N78" s="177">
        <f t="shared" si="16"/>
        <v>0</v>
      </c>
      <c r="O78" s="192"/>
      <c r="P78" s="193"/>
      <c r="Q78" s="199" t="str">
        <f>IFERROR(INDEX(Database!$B$2:$CT$473,MATCH(O78,Database!$A$2:$A$473,0),MATCH($C$4,Database!$B$1:$CT$1,0)),"")</f>
        <v/>
      </c>
      <c r="R78" s="199" t="str">
        <f>IFERROR(INDEX(Database!$B$2:$CT$473,MATCH(O78,Database!$A$2:$A$473,0),MATCH($C$5,Database!$B$1:$CT$1,0)),"")</f>
        <v/>
      </c>
      <c r="S78" s="177">
        <f t="shared" si="17"/>
        <v>0</v>
      </c>
      <c r="T78" s="200">
        <f t="shared" si="18"/>
        <v>1.4347098669713541</v>
      </c>
      <c r="U78" s="201">
        <f t="shared" si="19"/>
        <v>0</v>
      </c>
      <c r="V78" s="172">
        <f t="shared" si="20"/>
        <v>1.4347098669713541</v>
      </c>
    </row>
    <row r="79" spans="1:22" ht="24" customHeight="1">
      <c r="A79" s="160">
        <v>71</v>
      </c>
      <c r="B79" s="162" t="s">
        <v>672</v>
      </c>
      <c r="C79" s="193">
        <v>0</v>
      </c>
      <c r="D79" s="198">
        <f t="shared" si="14"/>
        <v>1</v>
      </c>
      <c r="E79" s="192" t="s">
        <v>539</v>
      </c>
      <c r="F79" s="193">
        <v>1</v>
      </c>
      <c r="G79" s="199">
        <f>IFERROR(INDEX(Database!$B$2:$CT$473,MATCH(E79,Database!$A$2:$A$473,0),MATCH($C$4,Database!$B$1:$CT$1,0)),"")</f>
        <v>11244</v>
      </c>
      <c r="H79" s="199">
        <f>IFERROR(INDEX(Database!$B$2:$CT$473,MATCH(E79,Database!$A$2:$A$473,0),MATCH($C$5,Database!$B$1:$CT$1,0)),"")</f>
        <v>19294.5</v>
      </c>
      <c r="I79" s="173">
        <f t="shared" si="15"/>
        <v>1.7159818569903948</v>
      </c>
      <c r="J79" s="192"/>
      <c r="K79" s="193"/>
      <c r="L79" s="199" t="str">
        <f>IFERROR(INDEX(Database!$B$2:$CT$473,MATCH(J79,Database!$A$2:$A$473,0),MATCH($C$4,Database!$B$1:$CT$1,0)),"")</f>
        <v/>
      </c>
      <c r="M79" s="199" t="str">
        <f>IFERROR(INDEX(Database!$B$2:$CT$473,MATCH(J79,Database!$A$2:$A$473,0),MATCH($C$5,Database!$B$1:$CT$1,0)),"")</f>
        <v/>
      </c>
      <c r="N79" s="173">
        <f t="shared" si="16"/>
        <v>0</v>
      </c>
      <c r="O79" s="192"/>
      <c r="P79" s="193"/>
      <c r="Q79" s="199" t="str">
        <f>IFERROR(INDEX(Database!$B$2:$CT$473,MATCH(O79,Database!$A$2:$A$473,0),MATCH($C$4,Database!$B$1:$CT$1,0)),"")</f>
        <v/>
      </c>
      <c r="R79" s="199" t="str">
        <f>IFERROR(INDEX(Database!$B$2:$CT$473,MATCH(O79,Database!$A$2:$A$473,0),MATCH($C$5,Database!$B$1:$CT$1,0)),"")</f>
        <v/>
      </c>
      <c r="S79" s="173">
        <f t="shared" si="17"/>
        <v>0</v>
      </c>
      <c r="T79" s="200">
        <f t="shared" si="18"/>
        <v>1.7159818569903948</v>
      </c>
      <c r="U79" s="201">
        <f t="shared" si="19"/>
        <v>0</v>
      </c>
      <c r="V79" s="172">
        <f t="shared" si="20"/>
        <v>1.7159818569903948</v>
      </c>
    </row>
    <row r="80" spans="1:22" ht="24" customHeight="1">
      <c r="A80" s="165">
        <v>72</v>
      </c>
      <c r="B80" s="166" t="s">
        <v>673</v>
      </c>
      <c r="C80" s="193">
        <v>0</v>
      </c>
      <c r="D80" s="198">
        <f t="shared" si="14"/>
        <v>1</v>
      </c>
      <c r="E80" s="192" t="s">
        <v>525</v>
      </c>
      <c r="F80" s="193">
        <v>0.5</v>
      </c>
      <c r="G80" s="199">
        <f>IFERROR(INDEX(Database!$B$2:$CT$473,MATCH(E80,Database!$A$2:$A$473,0),MATCH($C$4,Database!$B$1:$CT$1,0)),"")</f>
        <v>4795.8</v>
      </c>
      <c r="H80" s="199">
        <f>IFERROR(INDEX(Database!$B$2:$CT$473,MATCH(E80,Database!$A$2:$A$473,0),MATCH($C$5,Database!$B$1:$CT$1,0)),"")</f>
        <v>6686.9</v>
      </c>
      <c r="I80" s="177">
        <f t="shared" si="15"/>
        <v>0.6971621001709829</v>
      </c>
      <c r="J80" s="192" t="s">
        <v>131</v>
      </c>
      <c r="K80" s="193">
        <v>0.5</v>
      </c>
      <c r="L80" s="199">
        <f>IFERROR(INDEX(Database!$B$2:$CT$473,MATCH(J80,Database!$A$2:$A$473,0),MATCH($C$4,Database!$B$1:$CT$1,0)),"")</f>
        <v>4799.6000000000004</v>
      </c>
      <c r="M80" s="199">
        <f>IFERROR(INDEX(Database!$B$2:$CT$473,MATCH(J80,Database!$A$2:$A$473,0),MATCH($C$5,Database!$B$1:$CT$1,0)),"")</f>
        <v>7368</v>
      </c>
      <c r="N80" s="177">
        <f t="shared" si="16"/>
        <v>0.76756396366363855</v>
      </c>
      <c r="O80" s="192"/>
      <c r="P80" s="193"/>
      <c r="Q80" s="199" t="str">
        <f>IFERROR(INDEX(Database!$B$2:$CT$473,MATCH(O80,Database!$A$2:$A$473,0),MATCH($C$4,Database!$B$1:$CT$1,0)),"")</f>
        <v/>
      </c>
      <c r="R80" s="199" t="str">
        <f>IFERROR(INDEX(Database!$B$2:$CT$473,MATCH(O80,Database!$A$2:$A$473,0),MATCH($C$5,Database!$B$1:$CT$1,0)),"")</f>
        <v/>
      </c>
      <c r="S80" s="177">
        <f t="shared" si="17"/>
        <v>0</v>
      </c>
      <c r="T80" s="200">
        <f t="shared" si="18"/>
        <v>1.4647260638346213</v>
      </c>
      <c r="U80" s="201">
        <f t="shared" si="19"/>
        <v>0</v>
      </c>
      <c r="V80" s="172">
        <f t="shared" si="20"/>
        <v>1.4647260638346213</v>
      </c>
    </row>
    <row r="81" spans="1:22" ht="24" customHeight="1">
      <c r="A81" s="160">
        <v>73</v>
      </c>
      <c r="B81" s="162" t="s">
        <v>674</v>
      </c>
      <c r="C81" s="193">
        <v>0</v>
      </c>
      <c r="D81" s="198">
        <f t="shared" si="14"/>
        <v>1</v>
      </c>
      <c r="E81" s="192" t="s">
        <v>525</v>
      </c>
      <c r="F81" s="193">
        <v>0.5</v>
      </c>
      <c r="G81" s="199">
        <f>IFERROR(INDEX(Database!$B$2:$CT$473,MATCH(E81,Database!$A$2:$A$473,0),MATCH($C$4,Database!$B$1:$CT$1,0)),"")</f>
        <v>4795.8</v>
      </c>
      <c r="H81" s="199">
        <f>IFERROR(INDEX(Database!$B$2:$CT$473,MATCH(E81,Database!$A$2:$A$473,0),MATCH($C$5,Database!$B$1:$CT$1,0)),"")</f>
        <v>6686.9</v>
      </c>
      <c r="I81" s="173">
        <f t="shared" si="15"/>
        <v>0.6971621001709829</v>
      </c>
      <c r="J81" s="192" t="s">
        <v>131</v>
      </c>
      <c r="K81" s="193">
        <v>0.5</v>
      </c>
      <c r="L81" s="199">
        <f>IFERROR(INDEX(Database!$B$2:$CT$473,MATCH(J81,Database!$A$2:$A$473,0),MATCH($C$4,Database!$B$1:$CT$1,0)),"")</f>
        <v>4799.6000000000004</v>
      </c>
      <c r="M81" s="199">
        <f>IFERROR(INDEX(Database!$B$2:$CT$473,MATCH(J81,Database!$A$2:$A$473,0),MATCH($C$5,Database!$B$1:$CT$1,0)),"")</f>
        <v>7368</v>
      </c>
      <c r="N81" s="173">
        <f t="shared" si="16"/>
        <v>0.76756396366363855</v>
      </c>
      <c r="O81" s="192"/>
      <c r="P81" s="193"/>
      <c r="Q81" s="199" t="str">
        <f>IFERROR(INDEX(Database!$B$2:$CT$473,MATCH(O81,Database!$A$2:$A$473,0),MATCH($C$4,Database!$B$1:$CT$1,0)),"")</f>
        <v/>
      </c>
      <c r="R81" s="199" t="str">
        <f>IFERROR(INDEX(Database!$B$2:$CT$473,MATCH(O81,Database!$A$2:$A$473,0),MATCH($C$5,Database!$B$1:$CT$1,0)),"")</f>
        <v/>
      </c>
      <c r="S81" s="173">
        <f t="shared" si="17"/>
        <v>0</v>
      </c>
      <c r="T81" s="200">
        <f t="shared" si="18"/>
        <v>1.4647260638346213</v>
      </c>
      <c r="U81" s="201">
        <f t="shared" si="19"/>
        <v>0</v>
      </c>
      <c r="V81" s="172">
        <f t="shared" si="20"/>
        <v>1.4647260638346213</v>
      </c>
    </row>
    <row r="82" spans="1:22" ht="24" customHeight="1">
      <c r="A82" s="165">
        <v>74</v>
      </c>
      <c r="B82" s="166" t="s">
        <v>675</v>
      </c>
      <c r="C82" s="193">
        <v>0</v>
      </c>
      <c r="D82" s="198">
        <f t="shared" si="14"/>
        <v>1</v>
      </c>
      <c r="E82" s="192" t="s">
        <v>540</v>
      </c>
      <c r="F82" s="193">
        <v>0.5</v>
      </c>
      <c r="G82" s="199">
        <f>IFERROR(INDEX(Database!$B$2:$CT$473,MATCH(E82,Database!$A$2:$A$473,0),MATCH($C$4,Database!$B$1:$CT$1,0)),"")</f>
        <v>6976.7</v>
      </c>
      <c r="H82" s="199">
        <f>IFERROR(INDEX(Database!$B$2:$CT$473,MATCH(E82,Database!$A$2:$A$473,0),MATCH($C$5,Database!$B$1:$CT$1,0)),"")</f>
        <v>10444.1</v>
      </c>
      <c r="I82" s="177">
        <f t="shared" si="15"/>
        <v>0.74849857382430096</v>
      </c>
      <c r="J82" s="192" t="s">
        <v>530</v>
      </c>
      <c r="K82" s="193">
        <v>0.5</v>
      </c>
      <c r="L82" s="199">
        <f>IFERROR(INDEX(Database!$B$2:$CT$473,MATCH(J82,Database!$A$2:$A$473,0),MATCH($C$4,Database!$B$1:$CT$1,0)),"")</f>
        <v>4943.5</v>
      </c>
      <c r="M82" s="199">
        <f>IFERROR(INDEX(Database!$B$2:$CT$473,MATCH(J82,Database!$A$2:$A$473,0),MATCH($C$5,Database!$B$1:$CT$1,0)),"")</f>
        <v>7812.5</v>
      </c>
      <c r="N82" s="177">
        <f t="shared" si="16"/>
        <v>0.79017902295944165</v>
      </c>
      <c r="O82" s="192"/>
      <c r="P82" s="193"/>
      <c r="Q82" s="199" t="str">
        <f>IFERROR(INDEX(Database!$B$2:$CT$473,MATCH(O82,Database!$A$2:$A$473,0),MATCH($C$4,Database!$B$1:$CT$1,0)),"")</f>
        <v/>
      </c>
      <c r="R82" s="199" t="str">
        <f>IFERROR(INDEX(Database!$B$2:$CT$473,MATCH(O82,Database!$A$2:$A$473,0),MATCH($C$5,Database!$B$1:$CT$1,0)),"")</f>
        <v/>
      </c>
      <c r="S82" s="177">
        <f t="shared" si="17"/>
        <v>0</v>
      </c>
      <c r="T82" s="200">
        <f t="shared" si="18"/>
        <v>1.5386775967837427</v>
      </c>
      <c r="U82" s="201">
        <f t="shared" si="19"/>
        <v>0</v>
      </c>
      <c r="V82" s="172">
        <f t="shared" si="20"/>
        <v>1.5386775967837427</v>
      </c>
    </row>
    <row r="83" spans="1:22" ht="24" customHeight="1">
      <c r="A83" s="160">
        <v>75</v>
      </c>
      <c r="B83" s="162" t="s">
        <v>676</v>
      </c>
      <c r="C83" s="193">
        <v>0</v>
      </c>
      <c r="D83" s="198">
        <f t="shared" si="14"/>
        <v>1</v>
      </c>
      <c r="E83" s="192" t="s">
        <v>540</v>
      </c>
      <c r="F83" s="193">
        <v>1</v>
      </c>
      <c r="G83" s="199">
        <f>IFERROR(INDEX(Database!$B$2:$CT$473,MATCH(E83,Database!$A$2:$A$473,0),MATCH($C$4,Database!$B$1:$CT$1,0)),"")</f>
        <v>6976.7</v>
      </c>
      <c r="H83" s="199">
        <f>IFERROR(INDEX(Database!$B$2:$CT$473,MATCH(E83,Database!$A$2:$A$473,0),MATCH($C$5,Database!$B$1:$CT$1,0)),"")</f>
        <v>10444.1</v>
      </c>
      <c r="I83" s="173">
        <f t="shared" si="15"/>
        <v>1.4969971476486019</v>
      </c>
      <c r="J83" s="192"/>
      <c r="K83" s="193"/>
      <c r="L83" s="199" t="str">
        <f>IFERROR(INDEX(Database!$B$2:$CT$473,MATCH(J83,Database!$A$2:$A$473,0),MATCH($C$4,Database!$B$1:$CT$1,0)),"")</f>
        <v/>
      </c>
      <c r="M83" s="199" t="str">
        <f>IFERROR(INDEX(Database!$B$2:$CT$473,MATCH(J83,Database!$A$2:$A$473,0),MATCH($C$5,Database!$B$1:$CT$1,0)),"")</f>
        <v/>
      </c>
      <c r="N83" s="173">
        <f t="shared" si="16"/>
        <v>0</v>
      </c>
      <c r="O83" s="192"/>
      <c r="P83" s="193"/>
      <c r="Q83" s="199" t="str">
        <f>IFERROR(INDEX(Database!$B$2:$CT$473,MATCH(O83,Database!$A$2:$A$473,0),MATCH($C$4,Database!$B$1:$CT$1,0)),"")</f>
        <v/>
      </c>
      <c r="R83" s="199" t="str">
        <f>IFERROR(INDEX(Database!$B$2:$CT$473,MATCH(O83,Database!$A$2:$A$473,0),MATCH($C$5,Database!$B$1:$CT$1,0)),"")</f>
        <v/>
      </c>
      <c r="S83" s="173">
        <f t="shared" si="17"/>
        <v>0</v>
      </c>
      <c r="T83" s="200">
        <f t="shared" si="18"/>
        <v>1.4969971476486019</v>
      </c>
      <c r="U83" s="201">
        <f t="shared" si="19"/>
        <v>0</v>
      </c>
      <c r="V83" s="172">
        <f t="shared" si="20"/>
        <v>1.4969971476486019</v>
      </c>
    </row>
    <row r="84" spans="1:22" ht="24" customHeight="1">
      <c r="A84" s="165">
        <v>76</v>
      </c>
      <c r="B84" s="166" t="s">
        <v>677</v>
      </c>
      <c r="C84" s="193">
        <v>0.65</v>
      </c>
      <c r="D84" s="198">
        <f t="shared" si="14"/>
        <v>0.35</v>
      </c>
      <c r="E84" s="192" t="s">
        <v>540</v>
      </c>
      <c r="F84" s="193">
        <v>0.35</v>
      </c>
      <c r="G84" s="199">
        <f>IFERROR(INDEX(Database!$B$2:$CT$473,MATCH(E84,Database!$A$2:$A$473,0),MATCH($C$4,Database!$B$1:$CT$1,0)),"")</f>
        <v>6976.7</v>
      </c>
      <c r="H84" s="199">
        <f>IFERROR(INDEX(Database!$B$2:$CT$473,MATCH(E84,Database!$A$2:$A$473,0),MATCH($C$5,Database!$B$1:$CT$1,0)),"")</f>
        <v>10444.1</v>
      </c>
      <c r="I84" s="177">
        <f t="shared" si="15"/>
        <v>0.52394900167701064</v>
      </c>
      <c r="J84" s="192"/>
      <c r="K84" s="193"/>
      <c r="L84" s="199" t="str">
        <f>IFERROR(INDEX(Database!$B$2:$CT$473,MATCH(J84,Database!$A$2:$A$473,0),MATCH($C$4,Database!$B$1:$CT$1,0)),"")</f>
        <v/>
      </c>
      <c r="M84" s="199" t="str">
        <f>IFERROR(INDEX(Database!$B$2:$CT$473,MATCH(J84,Database!$A$2:$A$473,0),MATCH($C$5,Database!$B$1:$CT$1,0)),"")</f>
        <v/>
      </c>
      <c r="N84" s="177">
        <f t="shared" si="16"/>
        <v>0</v>
      </c>
      <c r="O84" s="192"/>
      <c r="P84" s="193"/>
      <c r="Q84" s="199" t="str">
        <f>IFERROR(INDEX(Database!$B$2:$CT$473,MATCH(O84,Database!$A$2:$A$473,0),MATCH($C$4,Database!$B$1:$CT$1,0)),"")</f>
        <v/>
      </c>
      <c r="R84" s="199" t="str">
        <f>IFERROR(INDEX(Database!$B$2:$CT$473,MATCH(O84,Database!$A$2:$A$473,0),MATCH($C$5,Database!$B$1:$CT$1,0)),"")</f>
        <v/>
      </c>
      <c r="S84" s="177">
        <f t="shared" si="17"/>
        <v>0</v>
      </c>
      <c r="T84" s="200">
        <f t="shared" si="18"/>
        <v>0.52394900167701064</v>
      </c>
      <c r="U84" s="201">
        <f t="shared" si="19"/>
        <v>0.65</v>
      </c>
      <c r="V84" s="172">
        <f t="shared" si="20"/>
        <v>1.1739490016770107</v>
      </c>
    </row>
    <row r="85" spans="1:22" ht="24" customHeight="1">
      <c r="A85" s="160">
        <v>77</v>
      </c>
      <c r="B85" s="162" t="s">
        <v>678</v>
      </c>
      <c r="C85" s="193">
        <v>0</v>
      </c>
      <c r="D85" s="198">
        <f t="shared" si="14"/>
        <v>1</v>
      </c>
      <c r="E85" s="192" t="s">
        <v>530</v>
      </c>
      <c r="F85" s="193">
        <v>1</v>
      </c>
      <c r="G85" s="199">
        <f>IFERROR(INDEX(Database!$B$2:$CT$473,MATCH(E85,Database!$A$2:$A$473,0),MATCH($C$4,Database!$B$1:$CT$1,0)),"")</f>
        <v>4943.5</v>
      </c>
      <c r="H85" s="199">
        <f>IFERROR(INDEX(Database!$B$2:$CT$473,MATCH(E85,Database!$A$2:$A$473,0),MATCH($C$5,Database!$B$1:$CT$1,0)),"")</f>
        <v>7812.5</v>
      </c>
      <c r="I85" s="173">
        <f t="shared" si="15"/>
        <v>1.5803580459188833</v>
      </c>
      <c r="J85" s="192"/>
      <c r="K85" s="193"/>
      <c r="L85" s="199" t="str">
        <f>IFERROR(INDEX(Database!$B$2:$CT$473,MATCH(J85,Database!$A$2:$A$473,0),MATCH($C$4,Database!$B$1:$CT$1,0)),"")</f>
        <v/>
      </c>
      <c r="M85" s="199" t="str">
        <f>IFERROR(INDEX(Database!$B$2:$CT$473,MATCH(J85,Database!$A$2:$A$473,0),MATCH($C$5,Database!$B$1:$CT$1,0)),"")</f>
        <v/>
      </c>
      <c r="N85" s="173">
        <f t="shared" si="16"/>
        <v>0</v>
      </c>
      <c r="O85" s="192"/>
      <c r="P85" s="193"/>
      <c r="Q85" s="199" t="str">
        <f>IFERROR(INDEX(Database!$B$2:$CT$473,MATCH(O85,Database!$A$2:$A$473,0),MATCH($C$4,Database!$B$1:$CT$1,0)),"")</f>
        <v/>
      </c>
      <c r="R85" s="199" t="str">
        <f>IFERROR(INDEX(Database!$B$2:$CT$473,MATCH(O85,Database!$A$2:$A$473,0),MATCH($C$5,Database!$B$1:$CT$1,0)),"")</f>
        <v/>
      </c>
      <c r="S85" s="173">
        <f t="shared" si="17"/>
        <v>0</v>
      </c>
      <c r="T85" s="200">
        <f t="shared" si="18"/>
        <v>1.5803580459188833</v>
      </c>
      <c r="U85" s="201">
        <f t="shared" si="19"/>
        <v>0</v>
      </c>
      <c r="V85" s="172">
        <f t="shared" si="20"/>
        <v>1.5803580459188833</v>
      </c>
    </row>
    <row r="86" spans="1:22" ht="24" customHeight="1">
      <c r="A86" s="165">
        <v>78</v>
      </c>
      <c r="B86" s="166" t="s">
        <v>679</v>
      </c>
      <c r="C86" s="193">
        <v>0.85</v>
      </c>
      <c r="D86" s="198">
        <f t="shared" si="14"/>
        <v>0.15000000000000002</v>
      </c>
      <c r="E86" s="192" t="s">
        <v>525</v>
      </c>
      <c r="F86" s="193">
        <v>0.15</v>
      </c>
      <c r="G86" s="199">
        <f>IFERROR(INDEX(Database!$B$2:$CT$473,MATCH(E86,Database!$A$2:$A$473,0),MATCH($C$4,Database!$B$1:$CT$1,0)),"")</f>
        <v>4795.8</v>
      </c>
      <c r="H86" s="199">
        <f>IFERROR(INDEX(Database!$B$2:$CT$473,MATCH(E86,Database!$A$2:$A$473,0),MATCH($C$5,Database!$B$1:$CT$1,0)),"")</f>
        <v>6686.9</v>
      </c>
      <c r="I86" s="177">
        <f t="shared" si="15"/>
        <v>0.20914863005129486</v>
      </c>
      <c r="J86" s="192"/>
      <c r="K86" s="193"/>
      <c r="L86" s="199" t="str">
        <f>IFERROR(INDEX(Database!$B$2:$CT$473,MATCH(J86,Database!$A$2:$A$473,0),MATCH($C$4,Database!$B$1:$CT$1,0)),"")</f>
        <v/>
      </c>
      <c r="M86" s="199" t="str">
        <f>IFERROR(INDEX(Database!$B$2:$CT$473,MATCH(J86,Database!$A$2:$A$473,0),MATCH($C$5,Database!$B$1:$CT$1,0)),"")</f>
        <v/>
      </c>
      <c r="N86" s="177">
        <f t="shared" si="16"/>
        <v>0</v>
      </c>
      <c r="O86" s="192"/>
      <c r="P86" s="193"/>
      <c r="Q86" s="199" t="str">
        <f>IFERROR(INDEX(Database!$B$2:$CT$473,MATCH(O86,Database!$A$2:$A$473,0),MATCH($C$4,Database!$B$1:$CT$1,0)),"")</f>
        <v/>
      </c>
      <c r="R86" s="199" t="str">
        <f>IFERROR(INDEX(Database!$B$2:$CT$473,MATCH(O86,Database!$A$2:$A$473,0),MATCH($C$5,Database!$B$1:$CT$1,0)),"")</f>
        <v/>
      </c>
      <c r="S86" s="177">
        <f t="shared" si="17"/>
        <v>0</v>
      </c>
      <c r="T86" s="200">
        <f t="shared" si="18"/>
        <v>0.20914863005129486</v>
      </c>
      <c r="U86" s="201">
        <f t="shared" si="19"/>
        <v>0.85</v>
      </c>
      <c r="V86" s="172">
        <f t="shared" si="20"/>
        <v>1.0591486300512949</v>
      </c>
    </row>
    <row r="87" spans="1:22" ht="24" customHeight="1">
      <c r="A87" s="160">
        <v>79</v>
      </c>
      <c r="B87" s="162" t="s">
        <v>680</v>
      </c>
      <c r="C87" s="193">
        <v>0</v>
      </c>
      <c r="D87" s="198">
        <f t="shared" si="14"/>
        <v>1</v>
      </c>
      <c r="E87" s="192" t="s">
        <v>131</v>
      </c>
      <c r="F87" s="193">
        <v>1</v>
      </c>
      <c r="G87" s="199">
        <f>IFERROR(INDEX(Database!$B$2:$CT$473,MATCH(E87,Database!$A$2:$A$473,0),MATCH($C$4,Database!$B$1:$CT$1,0)),"")</f>
        <v>4799.6000000000004</v>
      </c>
      <c r="H87" s="199">
        <f>IFERROR(INDEX(Database!$B$2:$CT$473,MATCH(E87,Database!$A$2:$A$473,0),MATCH($C$5,Database!$B$1:$CT$1,0)),"")</f>
        <v>7368</v>
      </c>
      <c r="I87" s="173">
        <f t="shared" si="15"/>
        <v>1.5351279273272771</v>
      </c>
      <c r="J87" s="192"/>
      <c r="K87" s="193"/>
      <c r="L87" s="199" t="str">
        <f>IFERROR(INDEX(Database!$B$2:$CT$473,MATCH(J87,Database!$A$2:$A$473,0),MATCH($C$4,Database!$B$1:$CT$1,0)),"")</f>
        <v/>
      </c>
      <c r="M87" s="199" t="str">
        <f>IFERROR(INDEX(Database!$B$2:$CT$473,MATCH(J87,Database!$A$2:$A$473,0),MATCH($C$5,Database!$B$1:$CT$1,0)),"")</f>
        <v/>
      </c>
      <c r="N87" s="173">
        <f t="shared" si="16"/>
        <v>0</v>
      </c>
      <c r="O87" s="192"/>
      <c r="P87" s="193"/>
      <c r="Q87" s="199" t="str">
        <f>IFERROR(INDEX(Database!$B$2:$CT$473,MATCH(O87,Database!$A$2:$A$473,0),MATCH($C$4,Database!$B$1:$CT$1,0)),"")</f>
        <v/>
      </c>
      <c r="R87" s="199" t="str">
        <f>IFERROR(INDEX(Database!$B$2:$CT$473,MATCH(O87,Database!$A$2:$A$473,0),MATCH($C$5,Database!$B$1:$CT$1,0)),"")</f>
        <v/>
      </c>
      <c r="S87" s="173">
        <f t="shared" si="17"/>
        <v>0</v>
      </c>
      <c r="T87" s="200">
        <f t="shared" si="18"/>
        <v>1.5351279273272771</v>
      </c>
      <c r="U87" s="201">
        <f t="shared" si="19"/>
        <v>0</v>
      </c>
      <c r="V87" s="172">
        <f t="shared" si="20"/>
        <v>1.5351279273272771</v>
      </c>
    </row>
    <row r="88" spans="1:22" ht="24" customHeight="1">
      <c r="A88" s="165">
        <v>80</v>
      </c>
      <c r="B88" s="166" t="s">
        <v>681</v>
      </c>
      <c r="C88" s="193">
        <v>0.7</v>
      </c>
      <c r="D88" s="198">
        <f t="shared" si="14"/>
        <v>0.30000000000000004</v>
      </c>
      <c r="E88" s="192" t="s">
        <v>530</v>
      </c>
      <c r="F88" s="193">
        <v>0.3</v>
      </c>
      <c r="G88" s="199">
        <f>IFERROR(INDEX(Database!$B$2:$CT$473,MATCH(E88,Database!$A$2:$A$473,0),MATCH($C$4,Database!$B$1:$CT$1,0)),"")</f>
        <v>4943.5</v>
      </c>
      <c r="H88" s="199">
        <f>IFERROR(INDEX(Database!$B$2:$CT$473,MATCH(E88,Database!$A$2:$A$473,0),MATCH($C$5,Database!$B$1:$CT$1,0)),"")</f>
        <v>7812.5</v>
      </c>
      <c r="I88" s="177">
        <f t="shared" si="15"/>
        <v>0.47410741377566495</v>
      </c>
      <c r="J88" s="192"/>
      <c r="K88" s="193"/>
      <c r="L88" s="199" t="str">
        <f>IFERROR(INDEX(Database!$B$2:$CT$473,MATCH(J88,Database!$A$2:$A$473,0),MATCH($C$4,Database!$B$1:$CT$1,0)),"")</f>
        <v/>
      </c>
      <c r="M88" s="199" t="str">
        <f>IFERROR(INDEX(Database!$B$2:$CT$473,MATCH(J88,Database!$A$2:$A$473,0),MATCH($C$5,Database!$B$1:$CT$1,0)),"")</f>
        <v/>
      </c>
      <c r="N88" s="177">
        <f t="shared" si="16"/>
        <v>0</v>
      </c>
      <c r="O88" s="192"/>
      <c r="P88" s="193"/>
      <c r="Q88" s="199" t="str">
        <f>IFERROR(INDEX(Database!$B$2:$CT$473,MATCH(O88,Database!$A$2:$A$473,0),MATCH($C$4,Database!$B$1:$CT$1,0)),"")</f>
        <v/>
      </c>
      <c r="R88" s="199" t="str">
        <f>IFERROR(INDEX(Database!$B$2:$CT$473,MATCH(O88,Database!$A$2:$A$473,0),MATCH($C$5,Database!$B$1:$CT$1,0)),"")</f>
        <v/>
      </c>
      <c r="S88" s="177">
        <f t="shared" si="17"/>
        <v>0</v>
      </c>
      <c r="T88" s="200">
        <f t="shared" si="18"/>
        <v>0.47410741377566495</v>
      </c>
      <c r="U88" s="201">
        <f t="shared" si="19"/>
        <v>0.7</v>
      </c>
      <c r="V88" s="172">
        <f t="shared" si="20"/>
        <v>1.1741074137756649</v>
      </c>
    </row>
    <row r="89" spans="1:22" ht="24" customHeight="1">
      <c r="A89" s="160">
        <v>81</v>
      </c>
      <c r="B89" s="162" t="s">
        <v>682</v>
      </c>
      <c r="C89" s="193">
        <v>0</v>
      </c>
      <c r="D89" s="198">
        <f t="shared" si="14"/>
        <v>1</v>
      </c>
      <c r="E89" s="192" t="s">
        <v>534</v>
      </c>
      <c r="F89" s="193">
        <v>1</v>
      </c>
      <c r="G89" s="199">
        <f>IFERROR(INDEX(Database!$B$2:$CT$473,MATCH(E89,Database!$A$2:$A$473,0),MATCH($C$4,Database!$B$1:$CT$1,0)),"")</f>
        <v>11730.5</v>
      </c>
      <c r="H89" s="199">
        <f>IFERROR(INDEX(Database!$B$2:$CT$473,MATCH(E89,Database!$A$2:$A$473,0),MATCH($C$5,Database!$B$1:$CT$1,0)),"")</f>
        <v>17395.7</v>
      </c>
      <c r="I89" s="173">
        <f t="shared" si="15"/>
        <v>1.4829461659775798</v>
      </c>
      <c r="J89" s="192"/>
      <c r="K89" s="193"/>
      <c r="L89" s="199" t="str">
        <f>IFERROR(INDEX(Database!$B$2:$CT$473,MATCH(J89,Database!$A$2:$A$473,0),MATCH($C$4,Database!$B$1:$CT$1,0)),"")</f>
        <v/>
      </c>
      <c r="M89" s="199" t="str">
        <f>IFERROR(INDEX(Database!$B$2:$CT$473,MATCH(J89,Database!$A$2:$A$473,0),MATCH($C$5,Database!$B$1:$CT$1,0)),"")</f>
        <v/>
      </c>
      <c r="N89" s="173">
        <f t="shared" si="16"/>
        <v>0</v>
      </c>
      <c r="O89" s="192"/>
      <c r="P89" s="193"/>
      <c r="Q89" s="199" t="str">
        <f>IFERROR(INDEX(Database!$B$2:$CT$473,MATCH(O89,Database!$A$2:$A$473,0),MATCH($C$4,Database!$B$1:$CT$1,0)),"")</f>
        <v/>
      </c>
      <c r="R89" s="199" t="str">
        <f>IFERROR(INDEX(Database!$B$2:$CT$473,MATCH(O89,Database!$A$2:$A$473,0),MATCH($C$5,Database!$B$1:$CT$1,0)),"")</f>
        <v/>
      </c>
      <c r="S89" s="173">
        <f t="shared" si="17"/>
        <v>0</v>
      </c>
      <c r="T89" s="200">
        <f t="shared" si="18"/>
        <v>1.4829461659775798</v>
      </c>
      <c r="U89" s="201">
        <f t="shared" si="19"/>
        <v>0</v>
      </c>
      <c r="V89" s="172">
        <f t="shared" si="20"/>
        <v>1.4829461659775798</v>
      </c>
    </row>
    <row r="90" spans="1:22" ht="24" customHeight="1">
      <c r="A90" s="165">
        <v>82</v>
      </c>
      <c r="B90" s="166" t="s">
        <v>683</v>
      </c>
      <c r="C90" s="193">
        <v>0</v>
      </c>
      <c r="D90" s="198">
        <f t="shared" si="14"/>
        <v>1</v>
      </c>
      <c r="E90" s="192" t="s">
        <v>528</v>
      </c>
      <c r="F90" s="193">
        <v>0.5</v>
      </c>
      <c r="G90" s="199">
        <f>IFERROR(INDEX(Database!$B$2:$CT$473,MATCH(E90,Database!$A$2:$A$473,0),MATCH($C$4,Database!$B$1:$CT$1,0)),"")</f>
        <v>4474.8999999999996</v>
      </c>
      <c r="H90" s="199">
        <f>IFERROR(INDEX(Database!$B$2:$CT$473,MATCH(E90,Database!$A$2:$A$473,0),MATCH($C$5,Database!$B$1:$CT$1,0)),"")</f>
        <v>9507.4</v>
      </c>
      <c r="I90" s="177">
        <f t="shared" si="15"/>
        <v>1.0623030682249883</v>
      </c>
      <c r="J90" s="192" t="s">
        <v>537</v>
      </c>
      <c r="K90" s="193">
        <v>0.5</v>
      </c>
      <c r="L90" s="199">
        <f>IFERROR(INDEX(Database!$B$2:$CT$473,MATCH(J90,Database!$A$2:$A$473,0),MATCH($C$4,Database!$B$1:$CT$1,0)),"")</f>
        <v>2466.4</v>
      </c>
      <c r="M90" s="199">
        <f>IFERROR(INDEX(Database!$B$2:$CT$473,MATCH(J90,Database!$A$2:$A$473,0),MATCH($C$5,Database!$B$1:$CT$1,0)),"")</f>
        <v>4375.8</v>
      </c>
      <c r="N90" s="177">
        <f t="shared" si="16"/>
        <v>0.88708238728511191</v>
      </c>
      <c r="O90" s="192"/>
      <c r="P90" s="193"/>
      <c r="Q90" s="199" t="str">
        <f>IFERROR(INDEX(Database!$B$2:$CT$473,MATCH(O90,Database!$A$2:$A$473,0),MATCH($C$4,Database!$B$1:$CT$1,0)),"")</f>
        <v/>
      </c>
      <c r="R90" s="199" t="str">
        <f>IFERROR(INDEX(Database!$B$2:$CT$473,MATCH(O90,Database!$A$2:$A$473,0),MATCH($C$5,Database!$B$1:$CT$1,0)),"")</f>
        <v/>
      </c>
      <c r="S90" s="177">
        <f t="shared" si="17"/>
        <v>0</v>
      </c>
      <c r="T90" s="200">
        <f t="shared" si="18"/>
        <v>1.9493854555101002</v>
      </c>
      <c r="U90" s="201">
        <f t="shared" si="19"/>
        <v>0</v>
      </c>
      <c r="V90" s="172">
        <f t="shared" si="20"/>
        <v>1.9493854555101002</v>
      </c>
    </row>
    <row r="91" spans="1:22" ht="24" customHeight="1">
      <c r="A91" s="160">
        <v>83</v>
      </c>
      <c r="B91" s="162" t="s">
        <v>684</v>
      </c>
      <c r="C91" s="193">
        <v>0</v>
      </c>
      <c r="D91" s="198">
        <f t="shared" si="14"/>
        <v>1</v>
      </c>
      <c r="E91" s="192" t="s">
        <v>513</v>
      </c>
      <c r="F91" s="193">
        <v>1</v>
      </c>
      <c r="G91" s="199">
        <f>IFERROR(INDEX(Database!$B$2:$CT$473,MATCH(E91,Database!$A$2:$A$473,0),MATCH($C$4,Database!$B$1:$CT$1,0)),"")</f>
        <v>13431.2</v>
      </c>
      <c r="H91" s="199">
        <f>IFERROR(INDEX(Database!$B$2:$CT$473,MATCH(E91,Database!$A$2:$A$473,0),MATCH($C$5,Database!$B$1:$CT$1,0)),"")</f>
        <v>21500.5</v>
      </c>
      <c r="I91" s="173">
        <f t="shared" si="15"/>
        <v>1.6007877181487877</v>
      </c>
      <c r="J91" s="192"/>
      <c r="K91" s="193"/>
      <c r="L91" s="199" t="str">
        <f>IFERROR(INDEX(Database!$B$2:$CT$473,MATCH(J91,Database!$A$2:$A$473,0),MATCH($C$4,Database!$B$1:$CT$1,0)),"")</f>
        <v/>
      </c>
      <c r="M91" s="199" t="str">
        <f>IFERROR(INDEX(Database!$B$2:$CT$473,MATCH(J91,Database!$A$2:$A$473,0),MATCH($C$5,Database!$B$1:$CT$1,0)),"")</f>
        <v/>
      </c>
      <c r="N91" s="173">
        <f t="shared" si="16"/>
        <v>0</v>
      </c>
      <c r="O91" s="192"/>
      <c r="P91" s="193"/>
      <c r="Q91" s="199" t="str">
        <f>IFERROR(INDEX(Database!$B$2:$CT$473,MATCH(O91,Database!$A$2:$A$473,0),MATCH($C$4,Database!$B$1:$CT$1,0)),"")</f>
        <v/>
      </c>
      <c r="R91" s="199" t="str">
        <f>IFERROR(INDEX(Database!$B$2:$CT$473,MATCH(O91,Database!$A$2:$A$473,0),MATCH($C$5,Database!$B$1:$CT$1,0)),"")</f>
        <v/>
      </c>
      <c r="S91" s="173">
        <f t="shared" si="17"/>
        <v>0</v>
      </c>
      <c r="T91" s="200">
        <f t="shared" si="18"/>
        <v>1.6007877181487877</v>
      </c>
      <c r="U91" s="201">
        <f t="shared" si="19"/>
        <v>0</v>
      </c>
      <c r="V91" s="172">
        <f t="shared" si="20"/>
        <v>1.6007877181487877</v>
      </c>
    </row>
    <row r="92" spans="1:22" ht="24" customHeight="1">
      <c r="A92" s="165">
        <v>84</v>
      </c>
      <c r="B92" s="166" t="s">
        <v>685</v>
      </c>
      <c r="C92" s="193">
        <v>0.7</v>
      </c>
      <c r="D92" s="198">
        <f t="shared" si="14"/>
        <v>0.30000000000000004</v>
      </c>
      <c r="E92" s="192" t="s">
        <v>131</v>
      </c>
      <c r="F92" s="193">
        <v>0.1</v>
      </c>
      <c r="G92" s="199">
        <f>IFERROR(INDEX(Database!$B$2:$CT$473,MATCH(E92,Database!$A$2:$A$473,0),MATCH($C$4,Database!$B$1:$CT$1,0)),"")</f>
        <v>4799.6000000000004</v>
      </c>
      <c r="H92" s="199">
        <f>IFERROR(INDEX(Database!$B$2:$CT$473,MATCH(E92,Database!$A$2:$A$473,0),MATCH($C$5,Database!$B$1:$CT$1,0)),"")</f>
        <v>7368</v>
      </c>
      <c r="I92" s="177">
        <f t="shared" si="15"/>
        <v>0.15351279273272772</v>
      </c>
      <c r="J92" s="192" t="s">
        <v>172</v>
      </c>
      <c r="K92" s="193">
        <v>0.2</v>
      </c>
      <c r="L92" s="199">
        <f>IFERROR(INDEX(Database!$B$2:$CT$473,MATCH(J92,Database!$A$2:$A$473,0),MATCH($C$4,Database!$B$1:$CT$1,0)),"")</f>
        <v>4257.3999999999996</v>
      </c>
      <c r="M92" s="199">
        <f>IFERROR(INDEX(Database!$B$2:$CT$473,MATCH(J92,Database!$A$2:$A$473,0),MATCH($C$5,Database!$B$1:$CT$1,0)),"")</f>
        <v>8207.5</v>
      </c>
      <c r="N92" s="177">
        <f t="shared" si="16"/>
        <v>0.38556395922393955</v>
      </c>
      <c r="O92" s="192"/>
      <c r="P92" s="193"/>
      <c r="Q92" s="199" t="str">
        <f>IFERROR(INDEX(Database!$B$2:$CT$473,MATCH(O92,Database!$A$2:$A$473,0),MATCH($C$4,Database!$B$1:$CT$1,0)),"")</f>
        <v/>
      </c>
      <c r="R92" s="199" t="str">
        <f>IFERROR(INDEX(Database!$B$2:$CT$473,MATCH(O92,Database!$A$2:$A$473,0),MATCH($C$5,Database!$B$1:$CT$1,0)),"")</f>
        <v/>
      </c>
      <c r="S92" s="177">
        <f t="shared" si="17"/>
        <v>0</v>
      </c>
      <c r="T92" s="200">
        <f t="shared" si="18"/>
        <v>0.53907675195666727</v>
      </c>
      <c r="U92" s="201">
        <f t="shared" si="19"/>
        <v>0.7</v>
      </c>
      <c r="V92" s="172">
        <f t="shared" si="20"/>
        <v>1.2390767519566672</v>
      </c>
    </row>
    <row r="93" spans="1:22" ht="24" customHeight="1">
      <c r="A93" s="160">
        <v>85</v>
      </c>
      <c r="B93" s="162" t="s">
        <v>686</v>
      </c>
      <c r="C93" s="193">
        <v>0.7</v>
      </c>
      <c r="D93" s="198">
        <f t="shared" si="14"/>
        <v>0.30000000000000004</v>
      </c>
      <c r="E93" s="192" t="s">
        <v>525</v>
      </c>
      <c r="F93" s="193">
        <v>0.15</v>
      </c>
      <c r="G93" s="199">
        <f>IFERROR(INDEX(Database!$B$2:$CT$473,MATCH(E93,Database!$A$2:$A$473,0),MATCH($C$4,Database!$B$1:$CT$1,0)),"")</f>
        <v>4795.8</v>
      </c>
      <c r="H93" s="199">
        <f>IFERROR(INDEX(Database!$B$2:$CT$473,MATCH(E93,Database!$A$2:$A$473,0),MATCH($C$5,Database!$B$1:$CT$1,0)),"")</f>
        <v>6686.9</v>
      </c>
      <c r="I93" s="173">
        <f t="shared" si="15"/>
        <v>0.20914863005129486</v>
      </c>
      <c r="J93" s="192" t="s">
        <v>123</v>
      </c>
      <c r="K93" s="193">
        <v>0.15</v>
      </c>
      <c r="L93" s="199">
        <f>IFERROR(INDEX(Database!$B$2:$CT$473,MATCH(J93,Database!$A$2:$A$473,0),MATCH($C$4,Database!$B$1:$CT$1,0)),"")</f>
        <v>6783.9</v>
      </c>
      <c r="M93" s="199">
        <f>IFERROR(INDEX(Database!$B$2:$CT$473,MATCH(J93,Database!$A$2:$A$473,0),MATCH($C$5,Database!$B$1:$CT$1,0)),"")</f>
        <v>9344.2000000000007</v>
      </c>
      <c r="N93" s="173">
        <f t="shared" si="16"/>
        <v>0.20661124132136385</v>
      </c>
      <c r="O93" s="192"/>
      <c r="P93" s="193"/>
      <c r="Q93" s="199" t="str">
        <f>IFERROR(INDEX(Database!$B$2:$CT$473,MATCH(O93,Database!$A$2:$A$473,0),MATCH($C$4,Database!$B$1:$CT$1,0)),"")</f>
        <v/>
      </c>
      <c r="R93" s="199" t="str">
        <f>IFERROR(INDEX(Database!$B$2:$CT$473,MATCH(O93,Database!$A$2:$A$473,0),MATCH($C$5,Database!$B$1:$CT$1,0)),"")</f>
        <v/>
      </c>
      <c r="S93" s="173">
        <f t="shared" si="17"/>
        <v>0</v>
      </c>
      <c r="T93" s="200">
        <f t="shared" si="18"/>
        <v>0.41575987137265868</v>
      </c>
      <c r="U93" s="201">
        <f t="shared" si="19"/>
        <v>0.7</v>
      </c>
      <c r="V93" s="172">
        <f t="shared" si="20"/>
        <v>1.1157598713726586</v>
      </c>
    </row>
    <row r="94" spans="1:22" ht="24" customHeight="1">
      <c r="A94" s="165">
        <v>86</v>
      </c>
      <c r="B94" s="166" t="s">
        <v>687</v>
      </c>
      <c r="C94" s="193">
        <v>0.85</v>
      </c>
      <c r="D94" s="198">
        <f t="shared" si="14"/>
        <v>0.15000000000000002</v>
      </c>
      <c r="E94" s="192" t="s">
        <v>123</v>
      </c>
      <c r="F94" s="193">
        <v>0.15</v>
      </c>
      <c r="G94" s="199">
        <f>IFERROR(INDEX(Database!$B$2:$CT$473,MATCH(E94,Database!$A$2:$A$473,0),MATCH($C$4,Database!$B$1:$CT$1,0)),"")</f>
        <v>6783.9</v>
      </c>
      <c r="H94" s="199">
        <f>IFERROR(INDEX(Database!$B$2:$CT$473,MATCH(E94,Database!$A$2:$A$473,0),MATCH($C$5,Database!$B$1:$CT$1,0)),"")</f>
        <v>9344.2000000000007</v>
      </c>
      <c r="I94" s="177">
        <f t="shared" si="15"/>
        <v>0.20661124132136385</v>
      </c>
      <c r="J94" s="192"/>
      <c r="K94" s="193"/>
      <c r="L94" s="199" t="str">
        <f>IFERROR(INDEX(Database!$B$2:$CT$473,MATCH(J94,Database!$A$2:$A$473,0),MATCH($C$4,Database!$B$1:$CT$1,0)),"")</f>
        <v/>
      </c>
      <c r="M94" s="199" t="str">
        <f>IFERROR(INDEX(Database!$B$2:$CT$473,MATCH(J94,Database!$A$2:$A$473,0),MATCH($C$5,Database!$B$1:$CT$1,0)),"")</f>
        <v/>
      </c>
      <c r="N94" s="177">
        <f t="shared" si="16"/>
        <v>0</v>
      </c>
      <c r="O94" s="192"/>
      <c r="P94" s="193"/>
      <c r="Q94" s="199" t="str">
        <f>IFERROR(INDEX(Database!$B$2:$CT$473,MATCH(O94,Database!$A$2:$A$473,0),MATCH($C$4,Database!$B$1:$CT$1,0)),"")</f>
        <v/>
      </c>
      <c r="R94" s="199" t="str">
        <f>IFERROR(INDEX(Database!$B$2:$CT$473,MATCH(O94,Database!$A$2:$A$473,0),MATCH($C$5,Database!$B$1:$CT$1,0)),"")</f>
        <v/>
      </c>
      <c r="S94" s="177">
        <f t="shared" si="17"/>
        <v>0</v>
      </c>
      <c r="T94" s="200">
        <f t="shared" si="18"/>
        <v>0.20661124132136385</v>
      </c>
      <c r="U94" s="201">
        <f t="shared" si="19"/>
        <v>0.85</v>
      </c>
      <c r="V94" s="172">
        <f t="shared" si="20"/>
        <v>1.0566112413213637</v>
      </c>
    </row>
    <row r="95" spans="1:22" ht="24" customHeight="1">
      <c r="A95" s="160">
        <v>87</v>
      </c>
      <c r="B95" s="162" t="s">
        <v>688</v>
      </c>
      <c r="C95" s="193">
        <v>0</v>
      </c>
      <c r="D95" s="198">
        <f t="shared" si="14"/>
        <v>1</v>
      </c>
      <c r="E95" s="192" t="s">
        <v>531</v>
      </c>
      <c r="F95" s="193">
        <v>1</v>
      </c>
      <c r="G95" s="199">
        <f>IFERROR(INDEX(Database!$B$2:$CT$473,MATCH(E95,Database!$A$2:$A$473,0),MATCH($C$4,Database!$B$1:$CT$1,0)),"")</f>
        <v>8039.8</v>
      </c>
      <c r="H95" s="199">
        <f>IFERROR(INDEX(Database!$B$2:$CT$473,MATCH(E95,Database!$A$2:$A$473,0),MATCH($C$5,Database!$B$1:$CT$1,0)),"")</f>
        <v>14768.4</v>
      </c>
      <c r="I95" s="173">
        <f t="shared" si="15"/>
        <v>1.836911365954377</v>
      </c>
      <c r="J95" s="192"/>
      <c r="K95" s="193"/>
      <c r="L95" s="199" t="str">
        <f>IFERROR(INDEX(Database!$B$2:$CT$473,MATCH(J95,Database!$A$2:$A$473,0),MATCH($C$4,Database!$B$1:$CT$1,0)),"")</f>
        <v/>
      </c>
      <c r="M95" s="199" t="str">
        <f>IFERROR(INDEX(Database!$B$2:$CT$473,MATCH(J95,Database!$A$2:$A$473,0),MATCH($C$5,Database!$B$1:$CT$1,0)),"")</f>
        <v/>
      </c>
      <c r="N95" s="173">
        <f t="shared" si="16"/>
        <v>0</v>
      </c>
      <c r="O95" s="192"/>
      <c r="P95" s="193"/>
      <c r="Q95" s="199" t="str">
        <f>IFERROR(INDEX(Database!$B$2:$CT$473,MATCH(O95,Database!$A$2:$A$473,0),MATCH($C$4,Database!$B$1:$CT$1,0)),"")</f>
        <v/>
      </c>
      <c r="R95" s="199" t="str">
        <f>IFERROR(INDEX(Database!$B$2:$CT$473,MATCH(O95,Database!$A$2:$A$473,0),MATCH($C$5,Database!$B$1:$CT$1,0)),"")</f>
        <v/>
      </c>
      <c r="S95" s="173">
        <f t="shared" si="17"/>
        <v>0</v>
      </c>
      <c r="T95" s="200">
        <f t="shared" si="18"/>
        <v>1.836911365954377</v>
      </c>
      <c r="U95" s="201">
        <f t="shared" si="19"/>
        <v>0</v>
      </c>
      <c r="V95" s="172">
        <f t="shared" si="20"/>
        <v>1.836911365954377</v>
      </c>
    </row>
    <row r="96" spans="1:22" ht="24" customHeight="1">
      <c r="A96" s="165">
        <v>88</v>
      </c>
      <c r="B96" s="166" t="s">
        <v>689</v>
      </c>
      <c r="C96" s="193">
        <v>0</v>
      </c>
      <c r="D96" s="198">
        <f t="shared" si="14"/>
        <v>1</v>
      </c>
      <c r="E96" s="192" t="s">
        <v>538</v>
      </c>
      <c r="F96" s="193">
        <v>1</v>
      </c>
      <c r="G96" s="199">
        <f>IFERROR(INDEX(Database!$B$2:$CT$473,MATCH(E96,Database!$A$2:$A$473,0),MATCH($C$4,Database!$B$1:$CT$1,0)),"")</f>
        <v>425</v>
      </c>
      <c r="H96" s="199">
        <f>IFERROR(INDEX(Database!$B$2:$CT$473,MATCH(E96,Database!$A$2:$A$473,0),MATCH($C$5,Database!$B$1:$CT$1,0)),"")</f>
        <v>433</v>
      </c>
      <c r="I96" s="177">
        <f t="shared" si="15"/>
        <v>1.0188235294117647</v>
      </c>
      <c r="J96" s="192"/>
      <c r="K96" s="193"/>
      <c r="L96" s="199" t="str">
        <f>IFERROR(INDEX(Database!$B$2:$CT$473,MATCH(J96,Database!$A$2:$A$473,0),MATCH($C$4,Database!$B$1:$CT$1,0)),"")</f>
        <v/>
      </c>
      <c r="M96" s="199" t="str">
        <f>IFERROR(INDEX(Database!$B$2:$CT$473,MATCH(J96,Database!$A$2:$A$473,0),MATCH($C$5,Database!$B$1:$CT$1,0)),"")</f>
        <v/>
      </c>
      <c r="N96" s="177">
        <f t="shared" si="16"/>
        <v>0</v>
      </c>
      <c r="O96" s="192"/>
      <c r="P96" s="193"/>
      <c r="Q96" s="199" t="str">
        <f>IFERROR(INDEX(Database!$B$2:$CT$473,MATCH(O96,Database!$A$2:$A$473,0),MATCH($C$4,Database!$B$1:$CT$1,0)),"")</f>
        <v/>
      </c>
      <c r="R96" s="199" t="str">
        <f>IFERROR(INDEX(Database!$B$2:$CT$473,MATCH(O96,Database!$A$2:$A$473,0),MATCH($C$5,Database!$B$1:$CT$1,0)),"")</f>
        <v/>
      </c>
      <c r="S96" s="177">
        <f t="shared" si="17"/>
        <v>0</v>
      </c>
      <c r="T96" s="200">
        <f t="shared" si="18"/>
        <v>1.0188235294117647</v>
      </c>
      <c r="U96" s="201">
        <f t="shared" si="19"/>
        <v>0</v>
      </c>
      <c r="V96" s="172">
        <f t="shared" si="20"/>
        <v>1.0188235294117647</v>
      </c>
    </row>
    <row r="97" spans="1:22" ht="24" customHeight="1">
      <c r="A97" s="160">
        <v>89</v>
      </c>
      <c r="B97" s="162" t="s">
        <v>690</v>
      </c>
      <c r="C97" s="193">
        <v>0.6</v>
      </c>
      <c r="D97" s="198">
        <f t="shared" si="14"/>
        <v>0.4</v>
      </c>
      <c r="E97" s="192" t="s">
        <v>525</v>
      </c>
      <c r="F97" s="193">
        <v>0.2</v>
      </c>
      <c r="G97" s="199">
        <f>IFERROR(INDEX(Database!$B$2:$CT$473,MATCH(E97,Database!$A$2:$A$473,0),MATCH($C$4,Database!$B$1:$CT$1,0)),"")</f>
        <v>4795.8</v>
      </c>
      <c r="H97" s="199">
        <f>IFERROR(INDEX(Database!$B$2:$CT$473,MATCH(E97,Database!$A$2:$A$473,0),MATCH($C$5,Database!$B$1:$CT$1,0)),"")</f>
        <v>6686.9</v>
      </c>
      <c r="I97" s="173">
        <f t="shared" si="15"/>
        <v>0.27886484006839318</v>
      </c>
      <c r="J97" s="192" t="s">
        <v>123</v>
      </c>
      <c r="K97" s="193">
        <v>0.2</v>
      </c>
      <c r="L97" s="199">
        <f>IFERROR(INDEX(Database!$B$2:$CT$473,MATCH(J97,Database!$A$2:$A$473,0),MATCH($C$4,Database!$B$1:$CT$1,0)),"")</f>
        <v>6783.9</v>
      </c>
      <c r="M97" s="199">
        <f>IFERROR(INDEX(Database!$B$2:$CT$473,MATCH(J97,Database!$A$2:$A$473,0),MATCH($C$5,Database!$B$1:$CT$1,0)),"")</f>
        <v>9344.2000000000007</v>
      </c>
      <c r="N97" s="173">
        <f t="shared" si="16"/>
        <v>0.27548165509515182</v>
      </c>
      <c r="O97" s="192"/>
      <c r="P97" s="193"/>
      <c r="Q97" s="199" t="str">
        <f>IFERROR(INDEX(Database!$B$2:$CT$473,MATCH(O97,Database!$A$2:$A$473,0),MATCH($C$4,Database!$B$1:$CT$1,0)),"")</f>
        <v/>
      </c>
      <c r="R97" s="199" t="str">
        <f>IFERROR(INDEX(Database!$B$2:$CT$473,MATCH(O97,Database!$A$2:$A$473,0),MATCH($C$5,Database!$B$1:$CT$1,0)),"")</f>
        <v/>
      </c>
      <c r="S97" s="173">
        <f t="shared" si="17"/>
        <v>0</v>
      </c>
      <c r="T97" s="200">
        <f t="shared" si="18"/>
        <v>0.55434649516354506</v>
      </c>
      <c r="U97" s="201">
        <f t="shared" si="19"/>
        <v>0.6</v>
      </c>
      <c r="V97" s="172">
        <f t="shared" si="20"/>
        <v>1.1543464951635451</v>
      </c>
    </row>
    <row r="98" spans="1:22" ht="24" customHeight="1">
      <c r="A98" s="165">
        <v>90</v>
      </c>
      <c r="B98" s="166" t="s">
        <v>691</v>
      </c>
      <c r="C98" s="193">
        <v>0.8</v>
      </c>
      <c r="D98" s="198">
        <f t="shared" si="14"/>
        <v>0.19999999999999996</v>
      </c>
      <c r="E98" s="192" t="s">
        <v>123</v>
      </c>
      <c r="F98" s="193">
        <v>0.2</v>
      </c>
      <c r="G98" s="199">
        <f>IFERROR(INDEX(Database!$B$2:$CT$473,MATCH(E98,Database!$A$2:$A$473,0),MATCH($C$4,Database!$B$1:$CT$1,0)),"")</f>
        <v>6783.9</v>
      </c>
      <c r="H98" s="199">
        <f>IFERROR(INDEX(Database!$B$2:$CT$473,MATCH(E98,Database!$A$2:$A$473,0),MATCH($C$5,Database!$B$1:$CT$1,0)),"")</f>
        <v>9344.2000000000007</v>
      </c>
      <c r="I98" s="177">
        <f t="shared" si="15"/>
        <v>0.27548165509515182</v>
      </c>
      <c r="J98" s="192"/>
      <c r="K98" s="193"/>
      <c r="L98" s="199" t="str">
        <f>IFERROR(INDEX(Database!$B$2:$CT$473,MATCH(J98,Database!$A$2:$A$473,0),MATCH($C$4,Database!$B$1:$CT$1,0)),"")</f>
        <v/>
      </c>
      <c r="M98" s="199" t="str">
        <f>IFERROR(INDEX(Database!$B$2:$CT$473,MATCH(J98,Database!$A$2:$A$473,0),MATCH($C$5,Database!$B$1:$CT$1,0)),"")</f>
        <v/>
      </c>
      <c r="N98" s="177">
        <f t="shared" si="16"/>
        <v>0</v>
      </c>
      <c r="O98" s="192"/>
      <c r="P98" s="193"/>
      <c r="Q98" s="199" t="str">
        <f>IFERROR(INDEX(Database!$B$2:$CT$473,MATCH(O98,Database!$A$2:$A$473,0),MATCH($C$4,Database!$B$1:$CT$1,0)),"")</f>
        <v/>
      </c>
      <c r="R98" s="199" t="str">
        <f>IFERROR(INDEX(Database!$B$2:$CT$473,MATCH(O98,Database!$A$2:$A$473,0),MATCH($C$5,Database!$B$1:$CT$1,0)),"")</f>
        <v/>
      </c>
      <c r="S98" s="177">
        <f t="shared" si="17"/>
        <v>0</v>
      </c>
      <c r="T98" s="200">
        <f t="shared" si="18"/>
        <v>0.27548165509515182</v>
      </c>
      <c r="U98" s="201">
        <f t="shared" si="19"/>
        <v>0.8</v>
      </c>
      <c r="V98" s="172">
        <f t="shared" si="20"/>
        <v>1.0754816550951518</v>
      </c>
    </row>
    <row r="99" spans="1:22" ht="24" customHeight="1">
      <c r="A99" s="160">
        <v>91</v>
      </c>
      <c r="B99" s="162" t="s">
        <v>692</v>
      </c>
      <c r="C99" s="193">
        <v>1</v>
      </c>
      <c r="D99" s="198">
        <f t="shared" si="14"/>
        <v>0</v>
      </c>
      <c r="E99" s="192"/>
      <c r="F99" s="193"/>
      <c r="G99" s="199" t="str">
        <f>IFERROR(INDEX(Database!$B$2:$CT$473,MATCH(E99,Database!$A$2:$A$473,0),MATCH($C$4,Database!$B$1:$CT$1,0)),"")</f>
        <v/>
      </c>
      <c r="H99" s="199" t="str">
        <f>IFERROR(INDEX(Database!$B$2:$CT$473,MATCH(E99,Database!$A$2:$A$473,0),MATCH($C$5,Database!$B$1:$CT$1,0)),"")</f>
        <v/>
      </c>
      <c r="I99" s="173">
        <f t="shared" si="15"/>
        <v>0</v>
      </c>
      <c r="J99" s="192"/>
      <c r="K99" s="193"/>
      <c r="L99" s="199" t="str">
        <f>IFERROR(INDEX(Database!$B$2:$CT$473,MATCH(J99,Database!$A$2:$A$473,0),MATCH($C$4,Database!$B$1:$CT$1,0)),"")</f>
        <v/>
      </c>
      <c r="M99" s="199" t="str">
        <f>IFERROR(INDEX(Database!$B$2:$CT$473,MATCH(J99,Database!$A$2:$A$473,0),MATCH($C$5,Database!$B$1:$CT$1,0)),"")</f>
        <v/>
      </c>
      <c r="N99" s="173">
        <f t="shared" si="16"/>
        <v>0</v>
      </c>
      <c r="O99" s="192"/>
      <c r="P99" s="193"/>
      <c r="Q99" s="199" t="str">
        <f>IFERROR(INDEX(Database!$B$2:$CT$473,MATCH(O99,Database!$A$2:$A$473,0),MATCH($C$4,Database!$B$1:$CT$1,0)),"")</f>
        <v/>
      </c>
      <c r="R99" s="199" t="str">
        <f>IFERROR(INDEX(Database!$B$2:$CT$473,MATCH(O99,Database!$A$2:$A$473,0),MATCH($C$5,Database!$B$1:$CT$1,0)),"")</f>
        <v/>
      </c>
      <c r="S99" s="173">
        <f t="shared" si="17"/>
        <v>0</v>
      </c>
      <c r="T99" s="200">
        <f t="shared" si="18"/>
        <v>0</v>
      </c>
      <c r="U99" s="201">
        <f t="shared" si="19"/>
        <v>1</v>
      </c>
      <c r="V99" s="172">
        <f t="shared" si="20"/>
        <v>1</v>
      </c>
    </row>
    <row r="100" spans="1:22" ht="24" customHeight="1">
      <c r="A100" s="165">
        <v>92</v>
      </c>
      <c r="B100" s="166" t="s">
        <v>693</v>
      </c>
      <c r="C100" s="193">
        <v>0.6</v>
      </c>
      <c r="D100" s="198">
        <f t="shared" si="14"/>
        <v>0.4</v>
      </c>
      <c r="E100" s="192" t="s">
        <v>525</v>
      </c>
      <c r="F100" s="193">
        <v>0.2</v>
      </c>
      <c r="G100" s="199">
        <f>IFERROR(INDEX(Database!$B$2:$CT$473,MATCH(E100,Database!$A$2:$A$473,0),MATCH($C$4,Database!$B$1:$CT$1,0)),"")</f>
        <v>4795.8</v>
      </c>
      <c r="H100" s="199">
        <f>IFERROR(INDEX(Database!$B$2:$CT$473,MATCH(E100,Database!$A$2:$A$473,0),MATCH($C$5,Database!$B$1:$CT$1,0)),"")</f>
        <v>6686.9</v>
      </c>
      <c r="I100" s="177">
        <f t="shared" si="15"/>
        <v>0.27886484006839318</v>
      </c>
      <c r="J100" s="192" t="s">
        <v>123</v>
      </c>
      <c r="K100" s="193">
        <v>0.2</v>
      </c>
      <c r="L100" s="199">
        <f>IFERROR(INDEX(Database!$B$2:$CT$473,MATCH(J100,Database!$A$2:$A$473,0),MATCH($C$4,Database!$B$1:$CT$1,0)),"")</f>
        <v>6783.9</v>
      </c>
      <c r="M100" s="199">
        <f>IFERROR(INDEX(Database!$B$2:$CT$473,MATCH(J100,Database!$A$2:$A$473,0),MATCH($C$5,Database!$B$1:$CT$1,0)),"")</f>
        <v>9344.2000000000007</v>
      </c>
      <c r="N100" s="177">
        <f t="shared" si="16"/>
        <v>0.27548165509515182</v>
      </c>
      <c r="O100" s="192"/>
      <c r="P100" s="193"/>
      <c r="Q100" s="199" t="str">
        <f>IFERROR(INDEX(Database!$B$2:$CT$473,MATCH(O100,Database!$A$2:$A$473,0),MATCH($C$4,Database!$B$1:$CT$1,0)),"")</f>
        <v/>
      </c>
      <c r="R100" s="199" t="str">
        <f>IFERROR(INDEX(Database!$B$2:$CT$473,MATCH(O100,Database!$A$2:$A$473,0),MATCH($C$5,Database!$B$1:$CT$1,0)),"")</f>
        <v/>
      </c>
      <c r="S100" s="177">
        <f t="shared" si="17"/>
        <v>0</v>
      </c>
      <c r="T100" s="200">
        <f t="shared" si="18"/>
        <v>0.55434649516354506</v>
      </c>
      <c r="U100" s="201">
        <f t="shared" si="19"/>
        <v>0.6</v>
      </c>
      <c r="V100" s="172">
        <f t="shared" si="20"/>
        <v>1.1543464951635451</v>
      </c>
    </row>
    <row r="101" spans="1:22" ht="24" customHeight="1">
      <c r="A101" s="160">
        <v>93</v>
      </c>
      <c r="B101" s="162" t="s">
        <v>694</v>
      </c>
      <c r="C101" s="193">
        <v>0.8</v>
      </c>
      <c r="D101" s="198">
        <f t="shared" si="14"/>
        <v>0.19999999999999996</v>
      </c>
      <c r="E101" s="192" t="s">
        <v>123</v>
      </c>
      <c r="F101" s="193">
        <v>0.2</v>
      </c>
      <c r="G101" s="199">
        <f>IFERROR(INDEX(Database!$B$2:$CT$473,MATCH(E101,Database!$A$2:$A$473,0),MATCH($C$4,Database!$B$1:$CT$1,0)),"")</f>
        <v>6783.9</v>
      </c>
      <c r="H101" s="199">
        <f>IFERROR(INDEX(Database!$B$2:$CT$473,MATCH(E101,Database!$A$2:$A$473,0),MATCH($C$5,Database!$B$1:$CT$1,0)),"")</f>
        <v>9344.2000000000007</v>
      </c>
      <c r="I101" s="173">
        <f t="shared" si="15"/>
        <v>0.27548165509515182</v>
      </c>
      <c r="J101" s="192"/>
      <c r="K101" s="193"/>
      <c r="L101" s="199" t="str">
        <f>IFERROR(INDEX(Database!$B$2:$CT$473,MATCH(J101,Database!$A$2:$A$473,0),MATCH($C$4,Database!$B$1:$CT$1,0)),"")</f>
        <v/>
      </c>
      <c r="M101" s="199" t="str">
        <f>IFERROR(INDEX(Database!$B$2:$CT$473,MATCH(J101,Database!$A$2:$A$473,0),MATCH($C$5,Database!$B$1:$CT$1,0)),"")</f>
        <v/>
      </c>
      <c r="N101" s="173">
        <f t="shared" si="16"/>
        <v>0</v>
      </c>
      <c r="O101" s="192"/>
      <c r="P101" s="193"/>
      <c r="Q101" s="199" t="str">
        <f>IFERROR(INDEX(Database!$B$2:$CT$473,MATCH(O101,Database!$A$2:$A$473,0),MATCH($C$4,Database!$B$1:$CT$1,0)),"")</f>
        <v/>
      </c>
      <c r="R101" s="199" t="str">
        <f>IFERROR(INDEX(Database!$B$2:$CT$473,MATCH(O101,Database!$A$2:$A$473,0),MATCH($C$5,Database!$B$1:$CT$1,0)),"")</f>
        <v/>
      </c>
      <c r="S101" s="173">
        <f t="shared" si="17"/>
        <v>0</v>
      </c>
      <c r="T101" s="200">
        <f t="shared" si="18"/>
        <v>0.27548165509515182</v>
      </c>
      <c r="U101" s="201">
        <f t="shared" si="19"/>
        <v>0.8</v>
      </c>
      <c r="V101" s="172">
        <f t="shared" si="20"/>
        <v>1.0754816550951518</v>
      </c>
    </row>
    <row r="102" spans="1:22" ht="24" customHeight="1">
      <c r="A102" s="165">
        <v>94</v>
      </c>
      <c r="B102" s="166" t="s">
        <v>695</v>
      </c>
      <c r="C102" s="193">
        <v>0</v>
      </c>
      <c r="D102" s="198">
        <f t="shared" si="14"/>
        <v>1</v>
      </c>
      <c r="E102" s="192" t="s">
        <v>131</v>
      </c>
      <c r="F102" s="193">
        <v>1</v>
      </c>
      <c r="G102" s="199">
        <f>IFERROR(INDEX(Database!$B$2:$CT$473,MATCH(E102,Database!$A$2:$A$473,0),MATCH($C$4,Database!$B$1:$CT$1,0)),"")</f>
        <v>4799.6000000000004</v>
      </c>
      <c r="H102" s="199">
        <f>IFERROR(INDEX(Database!$B$2:$CT$473,MATCH(E102,Database!$A$2:$A$473,0),MATCH($C$5,Database!$B$1:$CT$1,0)),"")</f>
        <v>7368</v>
      </c>
      <c r="I102" s="177">
        <f t="shared" si="15"/>
        <v>1.5351279273272771</v>
      </c>
      <c r="J102" s="192"/>
      <c r="K102" s="193"/>
      <c r="L102" s="199" t="str">
        <f>IFERROR(INDEX(Database!$B$2:$CT$473,MATCH(J102,Database!$A$2:$A$473,0),MATCH($C$4,Database!$B$1:$CT$1,0)),"")</f>
        <v/>
      </c>
      <c r="M102" s="199" t="str">
        <f>IFERROR(INDEX(Database!$B$2:$CT$473,MATCH(J102,Database!$A$2:$A$473,0),MATCH($C$5,Database!$B$1:$CT$1,0)),"")</f>
        <v/>
      </c>
      <c r="N102" s="177">
        <f t="shared" si="16"/>
        <v>0</v>
      </c>
      <c r="O102" s="192"/>
      <c r="P102" s="193"/>
      <c r="Q102" s="199" t="str">
        <f>IFERROR(INDEX(Database!$B$2:$CT$473,MATCH(O102,Database!$A$2:$A$473,0),MATCH($C$4,Database!$B$1:$CT$1,0)),"")</f>
        <v/>
      </c>
      <c r="R102" s="199" t="str">
        <f>IFERROR(INDEX(Database!$B$2:$CT$473,MATCH(O102,Database!$A$2:$A$473,0),MATCH($C$5,Database!$B$1:$CT$1,0)),"")</f>
        <v/>
      </c>
      <c r="S102" s="177">
        <f t="shared" si="17"/>
        <v>0</v>
      </c>
      <c r="T102" s="200">
        <f t="shared" si="18"/>
        <v>1.5351279273272771</v>
      </c>
      <c r="U102" s="201">
        <f t="shared" si="19"/>
        <v>0</v>
      </c>
      <c r="V102" s="172">
        <f t="shared" si="20"/>
        <v>1.5351279273272771</v>
      </c>
    </row>
    <row r="103" spans="1:22" ht="24" customHeight="1">
      <c r="A103" s="160">
        <v>95</v>
      </c>
      <c r="B103" s="162" t="s">
        <v>696</v>
      </c>
      <c r="C103" s="193">
        <v>0</v>
      </c>
      <c r="D103" s="198">
        <f t="shared" si="14"/>
        <v>1</v>
      </c>
      <c r="E103" s="192" t="s">
        <v>140</v>
      </c>
      <c r="F103" s="193">
        <v>1</v>
      </c>
      <c r="G103" s="199">
        <f>IFERROR(INDEX(Database!$B$2:$CT$473,MATCH(E103,Database!$A$2:$A$473,0),MATCH($C$4,Database!$B$1:$CT$1,0)),"")</f>
        <v>5239</v>
      </c>
      <c r="H103" s="199">
        <f>IFERROR(INDEX(Database!$B$2:$CT$473,MATCH(E103,Database!$A$2:$A$473,0),MATCH($C$5,Database!$B$1:$CT$1,0)),"")</f>
        <v>9656.7000000000007</v>
      </c>
      <c r="I103" s="173">
        <f t="shared" si="15"/>
        <v>1.8432334414964688</v>
      </c>
      <c r="J103" s="192"/>
      <c r="K103" s="193"/>
      <c r="L103" s="199" t="str">
        <f>IFERROR(INDEX(Database!$B$2:$CT$473,MATCH(J103,Database!$A$2:$A$473,0),MATCH($C$4,Database!$B$1:$CT$1,0)),"")</f>
        <v/>
      </c>
      <c r="M103" s="199" t="str">
        <f>IFERROR(INDEX(Database!$B$2:$CT$473,MATCH(J103,Database!$A$2:$A$473,0),MATCH($C$5,Database!$B$1:$CT$1,0)),"")</f>
        <v/>
      </c>
      <c r="N103" s="173">
        <f t="shared" si="16"/>
        <v>0</v>
      </c>
      <c r="O103" s="192"/>
      <c r="P103" s="193"/>
      <c r="Q103" s="199" t="str">
        <f>IFERROR(INDEX(Database!$B$2:$CT$473,MATCH(O103,Database!$A$2:$A$473,0),MATCH($C$4,Database!$B$1:$CT$1,0)),"")</f>
        <v/>
      </c>
      <c r="R103" s="199" t="str">
        <f>IFERROR(INDEX(Database!$B$2:$CT$473,MATCH(O103,Database!$A$2:$A$473,0),MATCH($C$5,Database!$B$1:$CT$1,0)),"")</f>
        <v/>
      </c>
      <c r="S103" s="173">
        <f t="shared" si="17"/>
        <v>0</v>
      </c>
      <c r="T103" s="200">
        <f t="shared" si="18"/>
        <v>1.8432334414964688</v>
      </c>
      <c r="U103" s="201">
        <f t="shared" si="19"/>
        <v>0</v>
      </c>
      <c r="V103" s="172">
        <f t="shared" si="20"/>
        <v>1.8432334414964688</v>
      </c>
    </row>
    <row r="104" spans="1:22" ht="24" customHeight="1">
      <c r="A104" s="165">
        <v>96</v>
      </c>
      <c r="B104" s="166" t="s">
        <v>697</v>
      </c>
      <c r="C104" s="193">
        <v>0</v>
      </c>
      <c r="D104" s="198">
        <f t="shared" si="14"/>
        <v>1</v>
      </c>
      <c r="E104" s="192" t="s">
        <v>140</v>
      </c>
      <c r="F104" s="193">
        <v>1</v>
      </c>
      <c r="G104" s="199">
        <f>IFERROR(INDEX(Database!$B$2:$CT$473,MATCH(E104,Database!$A$2:$A$473,0),MATCH($C$4,Database!$B$1:$CT$1,0)),"")</f>
        <v>5239</v>
      </c>
      <c r="H104" s="199">
        <f>IFERROR(INDEX(Database!$B$2:$CT$473,MATCH(E104,Database!$A$2:$A$473,0),MATCH($C$5,Database!$B$1:$CT$1,0)),"")</f>
        <v>9656.7000000000007</v>
      </c>
      <c r="I104" s="177">
        <f t="shared" si="15"/>
        <v>1.8432334414964688</v>
      </c>
      <c r="J104" s="192"/>
      <c r="K104" s="193"/>
      <c r="L104" s="199" t="str">
        <f>IFERROR(INDEX(Database!$B$2:$CT$473,MATCH(J104,Database!$A$2:$A$473,0),MATCH($C$4,Database!$B$1:$CT$1,0)),"")</f>
        <v/>
      </c>
      <c r="M104" s="199" t="str">
        <f>IFERROR(INDEX(Database!$B$2:$CT$473,MATCH(J104,Database!$A$2:$A$473,0),MATCH($C$5,Database!$B$1:$CT$1,0)),"")</f>
        <v/>
      </c>
      <c r="N104" s="177">
        <f t="shared" si="16"/>
        <v>0</v>
      </c>
      <c r="O104" s="192"/>
      <c r="P104" s="193"/>
      <c r="Q104" s="199" t="str">
        <f>IFERROR(INDEX(Database!$B$2:$CT$473,MATCH(O104,Database!$A$2:$A$473,0),MATCH($C$4,Database!$B$1:$CT$1,0)),"")</f>
        <v/>
      </c>
      <c r="R104" s="199" t="str">
        <f>IFERROR(INDEX(Database!$B$2:$CT$473,MATCH(O104,Database!$A$2:$A$473,0),MATCH($C$5,Database!$B$1:$CT$1,0)),"")</f>
        <v/>
      </c>
      <c r="S104" s="177">
        <f t="shared" si="17"/>
        <v>0</v>
      </c>
      <c r="T104" s="200">
        <f t="shared" si="18"/>
        <v>1.8432334414964688</v>
      </c>
      <c r="U104" s="201">
        <f t="shared" si="19"/>
        <v>0</v>
      </c>
      <c r="V104" s="172">
        <f t="shared" si="20"/>
        <v>1.8432334414964688</v>
      </c>
    </row>
    <row r="105" spans="1:22" ht="24" customHeight="1">
      <c r="A105" s="160">
        <v>97</v>
      </c>
      <c r="B105" s="162" t="s">
        <v>698</v>
      </c>
      <c r="C105" s="193">
        <v>1</v>
      </c>
      <c r="D105" s="198">
        <f t="shared" ref="D105:D136" si="21">1-C105</f>
        <v>0</v>
      </c>
      <c r="E105" s="192"/>
      <c r="F105" s="193"/>
      <c r="G105" s="199" t="str">
        <f>IFERROR(INDEX(Database!$B$2:$CT$473,MATCH(E105,Database!$A$2:$A$473,0),MATCH($C$4,Database!$B$1:$CT$1,0)),"")</f>
        <v/>
      </c>
      <c r="H105" s="199" t="str">
        <f>IFERROR(INDEX(Database!$B$2:$CT$473,MATCH(E105,Database!$A$2:$A$473,0),MATCH($C$5,Database!$B$1:$CT$1,0)),"")</f>
        <v/>
      </c>
      <c r="I105" s="173">
        <f t="shared" ref="I105:I136" si="22">IF(OR(G105="",G105=0),0,(H105/G105)*F105)</f>
        <v>0</v>
      </c>
      <c r="J105" s="192"/>
      <c r="K105" s="193"/>
      <c r="L105" s="199" t="str">
        <f>IFERROR(INDEX(Database!$B$2:$CT$473,MATCH(J105,Database!$A$2:$A$473,0),MATCH($C$4,Database!$B$1:$CT$1,0)),"")</f>
        <v/>
      </c>
      <c r="M105" s="199" t="str">
        <f>IFERROR(INDEX(Database!$B$2:$CT$473,MATCH(J105,Database!$A$2:$A$473,0),MATCH($C$5,Database!$B$1:$CT$1,0)),"")</f>
        <v/>
      </c>
      <c r="N105" s="173">
        <f t="shared" ref="N105:N136" si="23">IF(OR(L105="",L105=0),0,(M105/L105)*K105)</f>
        <v>0</v>
      </c>
      <c r="O105" s="192"/>
      <c r="P105" s="193"/>
      <c r="Q105" s="199" t="str">
        <f>IFERROR(INDEX(Database!$B$2:$CT$473,MATCH(O105,Database!$A$2:$A$473,0),MATCH($C$4,Database!$B$1:$CT$1,0)),"")</f>
        <v/>
      </c>
      <c r="R105" s="199" t="str">
        <f>IFERROR(INDEX(Database!$B$2:$CT$473,MATCH(O105,Database!$A$2:$A$473,0),MATCH($C$5,Database!$B$1:$CT$1,0)),"")</f>
        <v/>
      </c>
      <c r="S105" s="173">
        <f t="shared" ref="S105:S136" si="24">IF(OR(Q105="",Q105=0),0,(R105/Q105)*P105)</f>
        <v>0</v>
      </c>
      <c r="T105" s="200">
        <f t="shared" ref="T105:T136" si="25">I105+N105+S105</f>
        <v>0</v>
      </c>
      <c r="U105" s="201">
        <f t="shared" ref="U105:U131" si="26">IF(OR($H$5="",$H$5=0),C105,($J$5/$H$5)*C105)</f>
        <v>1</v>
      </c>
      <c r="V105" s="172">
        <f t="shared" ref="V105:V136" si="27">T105+U105</f>
        <v>1</v>
      </c>
    </row>
    <row r="106" spans="1:22" ht="24" customHeight="1">
      <c r="A106" s="165">
        <v>98</v>
      </c>
      <c r="B106" s="166" t="s">
        <v>699</v>
      </c>
      <c r="C106" s="193">
        <v>0</v>
      </c>
      <c r="D106" s="198">
        <f t="shared" si="21"/>
        <v>1</v>
      </c>
      <c r="E106" s="192" t="s">
        <v>534</v>
      </c>
      <c r="F106" s="193">
        <v>1</v>
      </c>
      <c r="G106" s="199">
        <f>IFERROR(INDEX(Database!$B$2:$CT$473,MATCH(E106,Database!$A$2:$A$473,0),MATCH($C$4,Database!$B$1:$CT$1,0)),"")</f>
        <v>11730.5</v>
      </c>
      <c r="H106" s="199">
        <f>IFERROR(INDEX(Database!$B$2:$CT$473,MATCH(E106,Database!$A$2:$A$473,0),MATCH($C$5,Database!$B$1:$CT$1,0)),"")</f>
        <v>17395.7</v>
      </c>
      <c r="I106" s="177">
        <f t="shared" si="22"/>
        <v>1.4829461659775798</v>
      </c>
      <c r="J106" s="192"/>
      <c r="K106" s="193"/>
      <c r="L106" s="199" t="str">
        <f>IFERROR(INDEX(Database!$B$2:$CT$473,MATCH(J106,Database!$A$2:$A$473,0),MATCH($C$4,Database!$B$1:$CT$1,0)),"")</f>
        <v/>
      </c>
      <c r="M106" s="199" t="str">
        <f>IFERROR(INDEX(Database!$B$2:$CT$473,MATCH(J106,Database!$A$2:$A$473,0),MATCH($C$5,Database!$B$1:$CT$1,0)),"")</f>
        <v/>
      </c>
      <c r="N106" s="177">
        <f t="shared" si="23"/>
        <v>0</v>
      </c>
      <c r="O106" s="192"/>
      <c r="P106" s="193"/>
      <c r="Q106" s="199" t="str">
        <f>IFERROR(INDEX(Database!$B$2:$CT$473,MATCH(O106,Database!$A$2:$A$473,0),MATCH($C$4,Database!$B$1:$CT$1,0)),"")</f>
        <v/>
      </c>
      <c r="R106" s="199" t="str">
        <f>IFERROR(INDEX(Database!$B$2:$CT$473,MATCH(O106,Database!$A$2:$A$473,0),MATCH($C$5,Database!$B$1:$CT$1,0)),"")</f>
        <v/>
      </c>
      <c r="S106" s="177">
        <f t="shared" si="24"/>
        <v>0</v>
      </c>
      <c r="T106" s="200">
        <f t="shared" si="25"/>
        <v>1.4829461659775798</v>
      </c>
      <c r="U106" s="201">
        <f t="shared" si="26"/>
        <v>0</v>
      </c>
      <c r="V106" s="172">
        <f t="shared" si="27"/>
        <v>1.4829461659775798</v>
      </c>
    </row>
    <row r="107" spans="1:22" ht="24" customHeight="1">
      <c r="A107" s="160">
        <v>99</v>
      </c>
      <c r="B107" s="162" t="s">
        <v>700</v>
      </c>
      <c r="C107" s="193">
        <v>0.7</v>
      </c>
      <c r="D107" s="198">
        <f t="shared" si="21"/>
        <v>0.30000000000000004</v>
      </c>
      <c r="E107" s="192" t="s">
        <v>534</v>
      </c>
      <c r="F107" s="193">
        <v>0.3</v>
      </c>
      <c r="G107" s="199">
        <f>IFERROR(INDEX(Database!$B$2:$CT$473,MATCH(E107,Database!$A$2:$A$473,0),MATCH($C$4,Database!$B$1:$CT$1,0)),"")</f>
        <v>11730.5</v>
      </c>
      <c r="H107" s="199">
        <f>IFERROR(INDEX(Database!$B$2:$CT$473,MATCH(E107,Database!$A$2:$A$473,0),MATCH($C$5,Database!$B$1:$CT$1,0)),"")</f>
        <v>17395.7</v>
      </c>
      <c r="I107" s="173">
        <f t="shared" si="22"/>
        <v>0.44488384979327394</v>
      </c>
      <c r="J107" s="192"/>
      <c r="K107" s="193"/>
      <c r="L107" s="199" t="str">
        <f>IFERROR(INDEX(Database!$B$2:$CT$473,MATCH(J107,Database!$A$2:$A$473,0),MATCH($C$4,Database!$B$1:$CT$1,0)),"")</f>
        <v/>
      </c>
      <c r="M107" s="199" t="str">
        <f>IFERROR(INDEX(Database!$B$2:$CT$473,MATCH(J107,Database!$A$2:$A$473,0),MATCH($C$5,Database!$B$1:$CT$1,0)),"")</f>
        <v/>
      </c>
      <c r="N107" s="173">
        <f t="shared" si="23"/>
        <v>0</v>
      </c>
      <c r="O107" s="192"/>
      <c r="P107" s="193"/>
      <c r="Q107" s="199" t="str">
        <f>IFERROR(INDEX(Database!$B$2:$CT$473,MATCH(O107,Database!$A$2:$A$473,0),MATCH($C$4,Database!$B$1:$CT$1,0)),"")</f>
        <v/>
      </c>
      <c r="R107" s="199" t="str">
        <f>IFERROR(INDEX(Database!$B$2:$CT$473,MATCH(O107,Database!$A$2:$A$473,0),MATCH($C$5,Database!$B$1:$CT$1,0)),"")</f>
        <v/>
      </c>
      <c r="S107" s="173">
        <f t="shared" si="24"/>
        <v>0</v>
      </c>
      <c r="T107" s="200">
        <f t="shared" si="25"/>
        <v>0.44488384979327394</v>
      </c>
      <c r="U107" s="201">
        <f t="shared" si="26"/>
        <v>0.7</v>
      </c>
      <c r="V107" s="172">
        <f t="shared" si="27"/>
        <v>1.1448838497932738</v>
      </c>
    </row>
    <row r="108" spans="1:22" ht="24" customHeight="1">
      <c r="A108" s="165">
        <v>100</v>
      </c>
      <c r="B108" s="166" t="s">
        <v>701</v>
      </c>
      <c r="C108" s="193">
        <v>0</v>
      </c>
      <c r="D108" s="198">
        <f t="shared" si="21"/>
        <v>1</v>
      </c>
      <c r="E108" s="192" t="s">
        <v>512</v>
      </c>
      <c r="F108" s="193">
        <v>1</v>
      </c>
      <c r="G108" s="199">
        <f>IFERROR(INDEX(Database!$B$2:$CT$473,MATCH(E108,Database!$A$2:$A$473,0),MATCH($C$4,Database!$B$1:$CT$1,0)),"")</f>
        <v>7397.2</v>
      </c>
      <c r="H108" s="199">
        <f>IFERROR(INDEX(Database!$B$2:$CT$473,MATCH(E108,Database!$A$2:$A$473,0),MATCH($C$5,Database!$B$1:$CT$1,0)),"")</f>
        <v>13455.5</v>
      </c>
      <c r="I108" s="177">
        <f t="shared" si="22"/>
        <v>1.8189990807332506</v>
      </c>
      <c r="J108" s="192"/>
      <c r="K108" s="193"/>
      <c r="L108" s="199" t="str">
        <f>IFERROR(INDEX(Database!$B$2:$CT$473,MATCH(J108,Database!$A$2:$A$473,0),MATCH($C$4,Database!$B$1:$CT$1,0)),"")</f>
        <v/>
      </c>
      <c r="M108" s="199" t="str">
        <f>IFERROR(INDEX(Database!$B$2:$CT$473,MATCH(J108,Database!$A$2:$A$473,0),MATCH($C$5,Database!$B$1:$CT$1,0)),"")</f>
        <v/>
      </c>
      <c r="N108" s="177">
        <f t="shared" si="23"/>
        <v>0</v>
      </c>
      <c r="O108" s="192"/>
      <c r="P108" s="193"/>
      <c r="Q108" s="199" t="str">
        <f>IFERROR(INDEX(Database!$B$2:$CT$473,MATCH(O108,Database!$A$2:$A$473,0),MATCH($C$4,Database!$B$1:$CT$1,0)),"")</f>
        <v/>
      </c>
      <c r="R108" s="199" t="str">
        <f>IFERROR(INDEX(Database!$B$2:$CT$473,MATCH(O108,Database!$A$2:$A$473,0),MATCH($C$5,Database!$B$1:$CT$1,0)),"")</f>
        <v/>
      </c>
      <c r="S108" s="177">
        <f t="shared" si="24"/>
        <v>0</v>
      </c>
      <c r="T108" s="200">
        <f t="shared" si="25"/>
        <v>1.8189990807332506</v>
      </c>
      <c r="U108" s="201">
        <f t="shared" si="26"/>
        <v>0</v>
      </c>
      <c r="V108" s="172">
        <f t="shared" si="27"/>
        <v>1.8189990807332506</v>
      </c>
    </row>
    <row r="109" spans="1:22" ht="24" customHeight="1">
      <c r="A109" s="160">
        <v>101</v>
      </c>
      <c r="B109" s="162" t="s">
        <v>702</v>
      </c>
      <c r="C109" s="193">
        <v>0.7</v>
      </c>
      <c r="D109" s="198">
        <f t="shared" si="21"/>
        <v>0.30000000000000004</v>
      </c>
      <c r="E109" s="192" t="s">
        <v>534</v>
      </c>
      <c r="F109" s="193">
        <v>0.3</v>
      </c>
      <c r="G109" s="199">
        <f>IFERROR(INDEX(Database!$B$2:$CT$473,MATCH(E109,Database!$A$2:$A$473,0),MATCH($C$4,Database!$B$1:$CT$1,0)),"")</f>
        <v>11730.5</v>
      </c>
      <c r="H109" s="199">
        <f>IFERROR(INDEX(Database!$B$2:$CT$473,MATCH(E109,Database!$A$2:$A$473,0),MATCH($C$5,Database!$B$1:$CT$1,0)),"")</f>
        <v>17395.7</v>
      </c>
      <c r="I109" s="173">
        <f t="shared" si="22"/>
        <v>0.44488384979327394</v>
      </c>
      <c r="J109" s="192"/>
      <c r="K109" s="193"/>
      <c r="L109" s="199" t="str">
        <f>IFERROR(INDEX(Database!$B$2:$CT$473,MATCH(J109,Database!$A$2:$A$473,0),MATCH($C$4,Database!$B$1:$CT$1,0)),"")</f>
        <v/>
      </c>
      <c r="M109" s="199" t="str">
        <f>IFERROR(INDEX(Database!$B$2:$CT$473,MATCH(J109,Database!$A$2:$A$473,0),MATCH($C$5,Database!$B$1:$CT$1,0)),"")</f>
        <v/>
      </c>
      <c r="N109" s="173">
        <f t="shared" si="23"/>
        <v>0</v>
      </c>
      <c r="O109" s="192"/>
      <c r="P109" s="193"/>
      <c r="Q109" s="199" t="str">
        <f>IFERROR(INDEX(Database!$B$2:$CT$473,MATCH(O109,Database!$A$2:$A$473,0),MATCH($C$4,Database!$B$1:$CT$1,0)),"")</f>
        <v/>
      </c>
      <c r="R109" s="199" t="str">
        <f>IFERROR(INDEX(Database!$B$2:$CT$473,MATCH(O109,Database!$A$2:$A$473,0),MATCH($C$5,Database!$B$1:$CT$1,0)),"")</f>
        <v/>
      </c>
      <c r="S109" s="173">
        <f t="shared" si="24"/>
        <v>0</v>
      </c>
      <c r="T109" s="200">
        <f t="shared" si="25"/>
        <v>0.44488384979327394</v>
      </c>
      <c r="U109" s="201">
        <f t="shared" si="26"/>
        <v>0.7</v>
      </c>
      <c r="V109" s="172">
        <f t="shared" si="27"/>
        <v>1.1448838497932738</v>
      </c>
    </row>
    <row r="110" spans="1:22" ht="24" customHeight="1">
      <c r="A110" s="165">
        <v>102</v>
      </c>
      <c r="B110" s="166" t="s">
        <v>703</v>
      </c>
      <c r="C110" s="193">
        <v>0</v>
      </c>
      <c r="D110" s="198">
        <f t="shared" si="21"/>
        <v>1</v>
      </c>
      <c r="E110" s="192" t="s">
        <v>514</v>
      </c>
      <c r="F110" s="193">
        <v>1</v>
      </c>
      <c r="G110" s="199">
        <f>IFERROR(INDEX(Database!$B$2:$CT$473,MATCH(E110,Database!$A$2:$A$473,0),MATCH($C$4,Database!$B$1:$CT$1,0)),"")</f>
        <v>2258.9</v>
      </c>
      <c r="H110" s="199">
        <f>IFERROR(INDEX(Database!$B$2:$CT$473,MATCH(E110,Database!$A$2:$A$473,0),MATCH($C$5,Database!$B$1:$CT$1,0)),"")</f>
        <v>4243.3</v>
      </c>
      <c r="I110" s="177">
        <f t="shared" si="22"/>
        <v>1.8784806764354331</v>
      </c>
      <c r="J110" s="192"/>
      <c r="K110" s="193"/>
      <c r="L110" s="199" t="str">
        <f>IFERROR(INDEX(Database!$B$2:$CT$473,MATCH(J110,Database!$A$2:$A$473,0),MATCH($C$4,Database!$B$1:$CT$1,0)),"")</f>
        <v/>
      </c>
      <c r="M110" s="199" t="str">
        <f>IFERROR(INDEX(Database!$B$2:$CT$473,MATCH(J110,Database!$A$2:$A$473,0),MATCH($C$5,Database!$B$1:$CT$1,0)),"")</f>
        <v/>
      </c>
      <c r="N110" s="177">
        <f t="shared" si="23"/>
        <v>0</v>
      </c>
      <c r="O110" s="192"/>
      <c r="P110" s="193"/>
      <c r="Q110" s="199" t="str">
        <f>IFERROR(INDEX(Database!$B$2:$CT$473,MATCH(O110,Database!$A$2:$A$473,0),MATCH($C$4,Database!$B$1:$CT$1,0)),"")</f>
        <v/>
      </c>
      <c r="R110" s="199" t="str">
        <f>IFERROR(INDEX(Database!$B$2:$CT$473,MATCH(O110,Database!$A$2:$A$473,0),MATCH($C$5,Database!$B$1:$CT$1,0)),"")</f>
        <v/>
      </c>
      <c r="S110" s="177">
        <f t="shared" si="24"/>
        <v>0</v>
      </c>
      <c r="T110" s="200">
        <f t="shared" si="25"/>
        <v>1.8784806764354331</v>
      </c>
      <c r="U110" s="201">
        <f t="shared" si="26"/>
        <v>0</v>
      </c>
      <c r="V110" s="172">
        <f t="shared" si="27"/>
        <v>1.8784806764354331</v>
      </c>
    </row>
    <row r="111" spans="1:22" ht="24" customHeight="1">
      <c r="A111" s="160">
        <v>103</v>
      </c>
      <c r="B111" s="162" t="s">
        <v>704</v>
      </c>
      <c r="C111" s="193">
        <v>0</v>
      </c>
      <c r="D111" s="198">
        <f t="shared" si="21"/>
        <v>1</v>
      </c>
      <c r="E111" s="192" t="s">
        <v>534</v>
      </c>
      <c r="F111" s="193">
        <v>1</v>
      </c>
      <c r="G111" s="199">
        <f>IFERROR(INDEX(Database!$B$2:$CT$473,MATCH(E111,Database!$A$2:$A$473,0),MATCH($C$4,Database!$B$1:$CT$1,0)),"")</f>
        <v>11730.5</v>
      </c>
      <c r="H111" s="199">
        <f>IFERROR(INDEX(Database!$B$2:$CT$473,MATCH(E111,Database!$A$2:$A$473,0),MATCH($C$5,Database!$B$1:$CT$1,0)),"")</f>
        <v>17395.7</v>
      </c>
      <c r="I111" s="173">
        <f t="shared" si="22"/>
        <v>1.4829461659775798</v>
      </c>
      <c r="J111" s="192"/>
      <c r="K111" s="193"/>
      <c r="L111" s="199" t="str">
        <f>IFERROR(INDEX(Database!$B$2:$CT$473,MATCH(J111,Database!$A$2:$A$473,0),MATCH($C$4,Database!$B$1:$CT$1,0)),"")</f>
        <v/>
      </c>
      <c r="M111" s="199" t="str">
        <f>IFERROR(INDEX(Database!$B$2:$CT$473,MATCH(J111,Database!$A$2:$A$473,0),MATCH($C$5,Database!$B$1:$CT$1,0)),"")</f>
        <v/>
      </c>
      <c r="N111" s="173">
        <f t="shared" si="23"/>
        <v>0</v>
      </c>
      <c r="O111" s="192"/>
      <c r="P111" s="193"/>
      <c r="Q111" s="199" t="str">
        <f>IFERROR(INDEX(Database!$B$2:$CT$473,MATCH(O111,Database!$A$2:$A$473,0),MATCH($C$4,Database!$B$1:$CT$1,0)),"")</f>
        <v/>
      </c>
      <c r="R111" s="199" t="str">
        <f>IFERROR(INDEX(Database!$B$2:$CT$473,MATCH(O111,Database!$A$2:$A$473,0),MATCH($C$5,Database!$B$1:$CT$1,0)),"")</f>
        <v/>
      </c>
      <c r="S111" s="173">
        <f t="shared" si="24"/>
        <v>0</v>
      </c>
      <c r="T111" s="200">
        <f t="shared" si="25"/>
        <v>1.4829461659775798</v>
      </c>
      <c r="U111" s="201">
        <f t="shared" si="26"/>
        <v>0</v>
      </c>
      <c r="V111" s="172">
        <f t="shared" si="27"/>
        <v>1.4829461659775798</v>
      </c>
    </row>
    <row r="112" spans="1:22" ht="24" customHeight="1">
      <c r="A112" s="165">
        <v>104</v>
      </c>
      <c r="B112" s="166" t="s">
        <v>705</v>
      </c>
      <c r="C112" s="193">
        <v>0.7</v>
      </c>
      <c r="D112" s="198">
        <f t="shared" si="21"/>
        <v>0.30000000000000004</v>
      </c>
      <c r="E112" s="192" t="s">
        <v>514</v>
      </c>
      <c r="F112" s="193">
        <v>0.3</v>
      </c>
      <c r="G112" s="199">
        <f>IFERROR(INDEX(Database!$B$2:$CT$473,MATCH(E112,Database!$A$2:$A$473,0),MATCH($C$4,Database!$B$1:$CT$1,0)),"")</f>
        <v>2258.9</v>
      </c>
      <c r="H112" s="199">
        <f>IFERROR(INDEX(Database!$B$2:$CT$473,MATCH(E112,Database!$A$2:$A$473,0),MATCH($C$5,Database!$B$1:$CT$1,0)),"")</f>
        <v>4243.3</v>
      </c>
      <c r="I112" s="177">
        <f t="shared" si="22"/>
        <v>0.5635442029306299</v>
      </c>
      <c r="J112" s="192"/>
      <c r="K112" s="193"/>
      <c r="L112" s="199" t="str">
        <f>IFERROR(INDEX(Database!$B$2:$CT$473,MATCH(J112,Database!$A$2:$A$473,0),MATCH($C$4,Database!$B$1:$CT$1,0)),"")</f>
        <v/>
      </c>
      <c r="M112" s="199" t="str">
        <f>IFERROR(INDEX(Database!$B$2:$CT$473,MATCH(J112,Database!$A$2:$A$473,0),MATCH($C$5,Database!$B$1:$CT$1,0)),"")</f>
        <v/>
      </c>
      <c r="N112" s="177">
        <f t="shared" si="23"/>
        <v>0</v>
      </c>
      <c r="O112" s="192"/>
      <c r="P112" s="193"/>
      <c r="Q112" s="199" t="str">
        <f>IFERROR(INDEX(Database!$B$2:$CT$473,MATCH(O112,Database!$A$2:$A$473,0),MATCH($C$4,Database!$B$1:$CT$1,0)),"")</f>
        <v/>
      </c>
      <c r="R112" s="199" t="str">
        <f>IFERROR(INDEX(Database!$B$2:$CT$473,MATCH(O112,Database!$A$2:$A$473,0),MATCH($C$5,Database!$B$1:$CT$1,0)),"")</f>
        <v/>
      </c>
      <c r="S112" s="177">
        <f t="shared" si="24"/>
        <v>0</v>
      </c>
      <c r="T112" s="200">
        <f t="shared" si="25"/>
        <v>0.5635442029306299</v>
      </c>
      <c r="U112" s="201">
        <f t="shared" si="26"/>
        <v>0.7</v>
      </c>
      <c r="V112" s="172">
        <f t="shared" si="27"/>
        <v>1.2635442029306299</v>
      </c>
    </row>
    <row r="113" spans="1:22" ht="24" customHeight="1">
      <c r="A113" s="160">
        <v>105</v>
      </c>
      <c r="B113" s="162" t="s">
        <v>706</v>
      </c>
      <c r="C113" s="193">
        <v>0.8</v>
      </c>
      <c r="D113" s="198">
        <f t="shared" si="21"/>
        <v>0.19999999999999996</v>
      </c>
      <c r="E113" s="192" t="s">
        <v>131</v>
      </c>
      <c r="F113" s="193">
        <v>0.2</v>
      </c>
      <c r="G113" s="199">
        <f>IFERROR(INDEX(Database!$B$2:$CT$473,MATCH(E113,Database!$A$2:$A$473,0),MATCH($C$4,Database!$B$1:$CT$1,0)),"")</f>
        <v>4799.6000000000004</v>
      </c>
      <c r="H113" s="199">
        <f>IFERROR(INDEX(Database!$B$2:$CT$473,MATCH(E113,Database!$A$2:$A$473,0),MATCH($C$5,Database!$B$1:$CT$1,0)),"")</f>
        <v>7368</v>
      </c>
      <c r="I113" s="173">
        <f t="shared" si="22"/>
        <v>0.30702558546545544</v>
      </c>
      <c r="J113" s="192"/>
      <c r="K113" s="193"/>
      <c r="L113" s="199" t="str">
        <f>IFERROR(INDEX(Database!$B$2:$CT$473,MATCH(J113,Database!$A$2:$A$473,0),MATCH($C$4,Database!$B$1:$CT$1,0)),"")</f>
        <v/>
      </c>
      <c r="M113" s="199" t="str">
        <f>IFERROR(INDEX(Database!$B$2:$CT$473,MATCH(J113,Database!$A$2:$A$473,0),MATCH($C$5,Database!$B$1:$CT$1,0)),"")</f>
        <v/>
      </c>
      <c r="N113" s="173">
        <f t="shared" si="23"/>
        <v>0</v>
      </c>
      <c r="O113" s="192"/>
      <c r="P113" s="193"/>
      <c r="Q113" s="199" t="str">
        <f>IFERROR(INDEX(Database!$B$2:$CT$473,MATCH(O113,Database!$A$2:$A$473,0),MATCH($C$4,Database!$B$1:$CT$1,0)),"")</f>
        <v/>
      </c>
      <c r="R113" s="199" t="str">
        <f>IFERROR(INDEX(Database!$B$2:$CT$473,MATCH(O113,Database!$A$2:$A$473,0),MATCH($C$5,Database!$B$1:$CT$1,0)),"")</f>
        <v/>
      </c>
      <c r="S113" s="173">
        <f t="shared" si="24"/>
        <v>0</v>
      </c>
      <c r="T113" s="200">
        <f t="shared" si="25"/>
        <v>0.30702558546545544</v>
      </c>
      <c r="U113" s="201">
        <f t="shared" si="26"/>
        <v>0.8</v>
      </c>
      <c r="V113" s="172">
        <f t="shared" si="27"/>
        <v>1.1070255854654554</v>
      </c>
    </row>
    <row r="114" spans="1:22" ht="24" customHeight="1">
      <c r="A114" s="165">
        <v>106</v>
      </c>
      <c r="B114" s="166" t="s">
        <v>707</v>
      </c>
      <c r="C114" s="193">
        <v>1</v>
      </c>
      <c r="D114" s="198">
        <f t="shared" si="21"/>
        <v>0</v>
      </c>
      <c r="E114" s="192"/>
      <c r="F114" s="193"/>
      <c r="G114" s="199" t="str">
        <f>IFERROR(INDEX(Database!$B$2:$CT$473,MATCH(E114,Database!$A$2:$A$473,0),MATCH($C$4,Database!$B$1:$CT$1,0)),"")</f>
        <v/>
      </c>
      <c r="H114" s="199" t="str">
        <f>IFERROR(INDEX(Database!$B$2:$CT$473,MATCH(E114,Database!$A$2:$A$473,0),MATCH($C$5,Database!$B$1:$CT$1,0)),"")</f>
        <v/>
      </c>
      <c r="I114" s="177">
        <f t="shared" si="22"/>
        <v>0</v>
      </c>
      <c r="J114" s="192"/>
      <c r="K114" s="193"/>
      <c r="L114" s="199" t="str">
        <f>IFERROR(INDEX(Database!$B$2:$CT$473,MATCH(J114,Database!$A$2:$A$473,0),MATCH($C$4,Database!$B$1:$CT$1,0)),"")</f>
        <v/>
      </c>
      <c r="M114" s="199" t="str">
        <f>IFERROR(INDEX(Database!$B$2:$CT$473,MATCH(J114,Database!$A$2:$A$473,0),MATCH($C$5,Database!$B$1:$CT$1,0)),"")</f>
        <v/>
      </c>
      <c r="N114" s="177">
        <f t="shared" si="23"/>
        <v>0</v>
      </c>
      <c r="O114" s="192"/>
      <c r="P114" s="193"/>
      <c r="Q114" s="199" t="str">
        <f>IFERROR(INDEX(Database!$B$2:$CT$473,MATCH(O114,Database!$A$2:$A$473,0),MATCH($C$4,Database!$B$1:$CT$1,0)),"")</f>
        <v/>
      </c>
      <c r="R114" s="199" t="str">
        <f>IFERROR(INDEX(Database!$B$2:$CT$473,MATCH(O114,Database!$A$2:$A$473,0),MATCH($C$5,Database!$B$1:$CT$1,0)),"")</f>
        <v/>
      </c>
      <c r="S114" s="177">
        <f t="shared" si="24"/>
        <v>0</v>
      </c>
      <c r="T114" s="200">
        <f t="shared" si="25"/>
        <v>0</v>
      </c>
      <c r="U114" s="201">
        <f t="shared" si="26"/>
        <v>1</v>
      </c>
      <c r="V114" s="172">
        <f t="shared" si="27"/>
        <v>1</v>
      </c>
    </row>
    <row r="115" spans="1:22" ht="24" customHeight="1">
      <c r="A115" s="160">
        <v>107</v>
      </c>
      <c r="B115" s="162" t="s">
        <v>708</v>
      </c>
      <c r="C115" s="193">
        <v>0.9</v>
      </c>
      <c r="D115" s="198">
        <f t="shared" si="21"/>
        <v>9.9999999999999978E-2</v>
      </c>
      <c r="E115" s="192" t="s">
        <v>525</v>
      </c>
      <c r="F115" s="193">
        <v>0.1</v>
      </c>
      <c r="G115" s="199">
        <f>IFERROR(INDEX(Database!$B$2:$CT$473,MATCH(E115,Database!$A$2:$A$473,0),MATCH($C$4,Database!$B$1:$CT$1,0)),"")</f>
        <v>4795.8</v>
      </c>
      <c r="H115" s="199">
        <f>IFERROR(INDEX(Database!$B$2:$CT$473,MATCH(E115,Database!$A$2:$A$473,0),MATCH($C$5,Database!$B$1:$CT$1,0)),"")</f>
        <v>6686.9</v>
      </c>
      <c r="I115" s="173">
        <f t="shared" si="22"/>
        <v>0.13943242003419659</v>
      </c>
      <c r="J115" s="192"/>
      <c r="K115" s="193"/>
      <c r="L115" s="199" t="str">
        <f>IFERROR(INDEX(Database!$B$2:$CT$473,MATCH(J115,Database!$A$2:$A$473,0),MATCH($C$4,Database!$B$1:$CT$1,0)),"")</f>
        <v/>
      </c>
      <c r="M115" s="199" t="str">
        <f>IFERROR(INDEX(Database!$B$2:$CT$473,MATCH(J115,Database!$A$2:$A$473,0),MATCH($C$5,Database!$B$1:$CT$1,0)),"")</f>
        <v/>
      </c>
      <c r="N115" s="173">
        <f t="shared" si="23"/>
        <v>0</v>
      </c>
      <c r="O115" s="192"/>
      <c r="P115" s="193"/>
      <c r="Q115" s="199" t="str">
        <f>IFERROR(INDEX(Database!$B$2:$CT$473,MATCH(O115,Database!$A$2:$A$473,0),MATCH($C$4,Database!$B$1:$CT$1,0)),"")</f>
        <v/>
      </c>
      <c r="R115" s="199" t="str">
        <f>IFERROR(INDEX(Database!$B$2:$CT$473,MATCH(O115,Database!$A$2:$A$473,0),MATCH($C$5,Database!$B$1:$CT$1,0)),"")</f>
        <v/>
      </c>
      <c r="S115" s="173">
        <f t="shared" si="24"/>
        <v>0</v>
      </c>
      <c r="T115" s="200">
        <f t="shared" si="25"/>
        <v>0.13943242003419659</v>
      </c>
      <c r="U115" s="201">
        <f t="shared" si="26"/>
        <v>0.9</v>
      </c>
      <c r="V115" s="172">
        <f t="shared" si="27"/>
        <v>1.0394324200341967</v>
      </c>
    </row>
    <row r="116" spans="1:22" ht="24" customHeight="1">
      <c r="A116" s="165">
        <v>108</v>
      </c>
      <c r="B116" s="166" t="s">
        <v>709</v>
      </c>
      <c r="C116" s="193">
        <v>0</v>
      </c>
      <c r="D116" s="198">
        <f t="shared" si="21"/>
        <v>1</v>
      </c>
      <c r="E116" s="192" t="s">
        <v>522</v>
      </c>
      <c r="F116" s="193">
        <v>1</v>
      </c>
      <c r="G116" s="199">
        <f>IFERROR(INDEX(Database!$B$2:$CT$473,MATCH(E116,Database!$A$2:$A$473,0),MATCH($C$4,Database!$B$1:$CT$1,0)),"")</f>
        <v>5376.9</v>
      </c>
      <c r="H116" s="199">
        <f>IFERROR(INDEX(Database!$B$2:$CT$473,MATCH(E116,Database!$A$2:$A$473,0),MATCH($C$5,Database!$B$1:$CT$1,0)),"")</f>
        <v>10242.299999999999</v>
      </c>
      <c r="I116" s="177">
        <f t="shared" si="22"/>
        <v>1.9048708363555209</v>
      </c>
      <c r="J116" s="192"/>
      <c r="K116" s="193"/>
      <c r="L116" s="199" t="str">
        <f>IFERROR(INDEX(Database!$B$2:$CT$473,MATCH(J116,Database!$A$2:$A$473,0),MATCH($C$4,Database!$B$1:$CT$1,0)),"")</f>
        <v/>
      </c>
      <c r="M116" s="199" t="str">
        <f>IFERROR(INDEX(Database!$B$2:$CT$473,MATCH(J116,Database!$A$2:$A$473,0),MATCH($C$5,Database!$B$1:$CT$1,0)),"")</f>
        <v/>
      </c>
      <c r="N116" s="177">
        <f t="shared" si="23"/>
        <v>0</v>
      </c>
      <c r="O116" s="192"/>
      <c r="P116" s="193"/>
      <c r="Q116" s="199" t="str">
        <f>IFERROR(INDEX(Database!$B$2:$CT$473,MATCH(O116,Database!$A$2:$A$473,0),MATCH($C$4,Database!$B$1:$CT$1,0)),"")</f>
        <v/>
      </c>
      <c r="R116" s="199" t="str">
        <f>IFERROR(INDEX(Database!$B$2:$CT$473,MATCH(O116,Database!$A$2:$A$473,0),MATCH($C$5,Database!$B$1:$CT$1,0)),"")</f>
        <v/>
      </c>
      <c r="S116" s="177">
        <f t="shared" si="24"/>
        <v>0</v>
      </c>
      <c r="T116" s="200">
        <f t="shared" si="25"/>
        <v>1.9048708363555209</v>
      </c>
      <c r="U116" s="201">
        <f t="shared" si="26"/>
        <v>0</v>
      </c>
      <c r="V116" s="172">
        <f t="shared" si="27"/>
        <v>1.9048708363555209</v>
      </c>
    </row>
    <row r="117" spans="1:22" ht="24" customHeight="1">
      <c r="A117" s="160">
        <v>109</v>
      </c>
      <c r="B117" s="162" t="s">
        <v>710</v>
      </c>
      <c r="C117" s="193">
        <v>1</v>
      </c>
      <c r="D117" s="198">
        <f t="shared" si="21"/>
        <v>0</v>
      </c>
      <c r="E117" s="192"/>
      <c r="F117" s="193"/>
      <c r="G117" s="199" t="str">
        <f>IFERROR(INDEX(Database!$B$2:$CT$473,MATCH(E117,Database!$A$2:$A$473,0),MATCH($C$4,Database!$B$1:$CT$1,0)),"")</f>
        <v/>
      </c>
      <c r="H117" s="199" t="str">
        <f>IFERROR(INDEX(Database!$B$2:$CT$473,MATCH(E117,Database!$A$2:$A$473,0),MATCH($C$5,Database!$B$1:$CT$1,0)),"")</f>
        <v/>
      </c>
      <c r="I117" s="173">
        <f t="shared" si="22"/>
        <v>0</v>
      </c>
      <c r="J117" s="192"/>
      <c r="K117" s="193"/>
      <c r="L117" s="199" t="str">
        <f>IFERROR(INDEX(Database!$B$2:$CT$473,MATCH(J117,Database!$A$2:$A$473,0),MATCH($C$4,Database!$B$1:$CT$1,0)),"")</f>
        <v/>
      </c>
      <c r="M117" s="199" t="str">
        <f>IFERROR(INDEX(Database!$B$2:$CT$473,MATCH(J117,Database!$A$2:$A$473,0),MATCH($C$5,Database!$B$1:$CT$1,0)),"")</f>
        <v/>
      </c>
      <c r="N117" s="173">
        <f t="shared" si="23"/>
        <v>0</v>
      </c>
      <c r="O117" s="192"/>
      <c r="P117" s="193"/>
      <c r="Q117" s="199" t="str">
        <f>IFERROR(INDEX(Database!$B$2:$CT$473,MATCH(O117,Database!$A$2:$A$473,0),MATCH($C$4,Database!$B$1:$CT$1,0)),"")</f>
        <v/>
      </c>
      <c r="R117" s="199" t="str">
        <f>IFERROR(INDEX(Database!$B$2:$CT$473,MATCH(O117,Database!$A$2:$A$473,0),MATCH($C$5,Database!$B$1:$CT$1,0)),"")</f>
        <v/>
      </c>
      <c r="S117" s="173">
        <f t="shared" si="24"/>
        <v>0</v>
      </c>
      <c r="T117" s="200">
        <f t="shared" si="25"/>
        <v>0</v>
      </c>
      <c r="U117" s="201">
        <f t="shared" si="26"/>
        <v>1</v>
      </c>
      <c r="V117" s="172">
        <f t="shared" si="27"/>
        <v>1</v>
      </c>
    </row>
    <row r="118" spans="1:22" ht="24" customHeight="1">
      <c r="A118" s="165">
        <v>110</v>
      </c>
      <c r="B118" s="166" t="s">
        <v>711</v>
      </c>
      <c r="C118" s="193">
        <v>1</v>
      </c>
      <c r="D118" s="198">
        <f t="shared" si="21"/>
        <v>0</v>
      </c>
      <c r="E118" s="192"/>
      <c r="F118" s="193"/>
      <c r="G118" s="199" t="str">
        <f>IFERROR(INDEX(Database!$B$2:$CT$473,MATCH(E118,Database!$A$2:$A$473,0),MATCH($C$4,Database!$B$1:$CT$1,0)),"")</f>
        <v/>
      </c>
      <c r="H118" s="199" t="str">
        <f>IFERROR(INDEX(Database!$B$2:$CT$473,MATCH(E118,Database!$A$2:$A$473,0),MATCH($C$5,Database!$B$1:$CT$1,0)),"")</f>
        <v/>
      </c>
      <c r="I118" s="177">
        <f t="shared" si="22"/>
        <v>0</v>
      </c>
      <c r="J118" s="192"/>
      <c r="K118" s="193"/>
      <c r="L118" s="199" t="str">
        <f>IFERROR(INDEX(Database!$B$2:$CT$473,MATCH(J118,Database!$A$2:$A$473,0),MATCH($C$4,Database!$B$1:$CT$1,0)),"")</f>
        <v/>
      </c>
      <c r="M118" s="199" t="str">
        <f>IFERROR(INDEX(Database!$B$2:$CT$473,MATCH(J118,Database!$A$2:$A$473,0),MATCH($C$5,Database!$B$1:$CT$1,0)),"")</f>
        <v/>
      </c>
      <c r="N118" s="177">
        <f t="shared" si="23"/>
        <v>0</v>
      </c>
      <c r="O118" s="192"/>
      <c r="P118" s="193"/>
      <c r="Q118" s="199" t="str">
        <f>IFERROR(INDEX(Database!$B$2:$CT$473,MATCH(O118,Database!$A$2:$A$473,0),MATCH($C$4,Database!$B$1:$CT$1,0)),"")</f>
        <v/>
      </c>
      <c r="R118" s="199" t="str">
        <f>IFERROR(INDEX(Database!$B$2:$CT$473,MATCH(O118,Database!$A$2:$A$473,0),MATCH($C$5,Database!$B$1:$CT$1,0)),"")</f>
        <v/>
      </c>
      <c r="S118" s="177">
        <f t="shared" si="24"/>
        <v>0</v>
      </c>
      <c r="T118" s="200">
        <f t="shared" si="25"/>
        <v>0</v>
      </c>
      <c r="U118" s="201">
        <f t="shared" si="26"/>
        <v>1</v>
      </c>
      <c r="V118" s="172">
        <f t="shared" si="27"/>
        <v>1</v>
      </c>
    </row>
    <row r="119" spans="1:22" ht="24" customHeight="1">
      <c r="A119" s="160">
        <v>111</v>
      </c>
      <c r="B119" s="162" t="s">
        <v>712</v>
      </c>
      <c r="C119" s="193">
        <v>1</v>
      </c>
      <c r="D119" s="198">
        <f t="shared" si="21"/>
        <v>0</v>
      </c>
      <c r="E119" s="192"/>
      <c r="F119" s="193"/>
      <c r="G119" s="199" t="str">
        <f>IFERROR(INDEX(Database!$B$2:$CT$473,MATCH(E119,Database!$A$2:$A$473,0),MATCH($C$4,Database!$B$1:$CT$1,0)),"")</f>
        <v/>
      </c>
      <c r="H119" s="199" t="str">
        <f>IFERROR(INDEX(Database!$B$2:$CT$473,MATCH(E119,Database!$A$2:$A$473,0),MATCH($C$5,Database!$B$1:$CT$1,0)),"")</f>
        <v/>
      </c>
      <c r="I119" s="173">
        <f t="shared" si="22"/>
        <v>0</v>
      </c>
      <c r="J119" s="192"/>
      <c r="K119" s="193"/>
      <c r="L119" s="199" t="str">
        <f>IFERROR(INDEX(Database!$B$2:$CT$473,MATCH(J119,Database!$A$2:$A$473,0),MATCH($C$4,Database!$B$1:$CT$1,0)),"")</f>
        <v/>
      </c>
      <c r="M119" s="199" t="str">
        <f>IFERROR(INDEX(Database!$B$2:$CT$473,MATCH(J119,Database!$A$2:$A$473,0),MATCH($C$5,Database!$B$1:$CT$1,0)),"")</f>
        <v/>
      </c>
      <c r="N119" s="173">
        <f t="shared" si="23"/>
        <v>0</v>
      </c>
      <c r="O119" s="192"/>
      <c r="P119" s="193"/>
      <c r="Q119" s="199" t="str">
        <f>IFERROR(INDEX(Database!$B$2:$CT$473,MATCH(O119,Database!$A$2:$A$473,0),MATCH($C$4,Database!$B$1:$CT$1,0)),"")</f>
        <v/>
      </c>
      <c r="R119" s="199" t="str">
        <f>IFERROR(INDEX(Database!$B$2:$CT$473,MATCH(O119,Database!$A$2:$A$473,0),MATCH($C$5,Database!$B$1:$CT$1,0)),"")</f>
        <v/>
      </c>
      <c r="S119" s="173">
        <f t="shared" si="24"/>
        <v>0</v>
      </c>
      <c r="T119" s="200">
        <f t="shared" si="25"/>
        <v>0</v>
      </c>
      <c r="U119" s="201">
        <f t="shared" si="26"/>
        <v>1</v>
      </c>
      <c r="V119" s="172">
        <f t="shared" si="27"/>
        <v>1</v>
      </c>
    </row>
    <row r="120" spans="1:22" ht="24" customHeight="1">
      <c r="A120" s="165">
        <v>112</v>
      </c>
      <c r="B120" s="166" t="s">
        <v>713</v>
      </c>
      <c r="C120" s="193">
        <v>1</v>
      </c>
      <c r="D120" s="198">
        <f t="shared" si="21"/>
        <v>0</v>
      </c>
      <c r="E120" s="192"/>
      <c r="F120" s="193"/>
      <c r="G120" s="199" t="str">
        <f>IFERROR(INDEX(Database!$B$2:$CT$473,MATCH(E120,Database!$A$2:$A$473,0),MATCH($C$4,Database!$B$1:$CT$1,0)),"")</f>
        <v/>
      </c>
      <c r="H120" s="199" t="str">
        <f>IFERROR(INDEX(Database!$B$2:$CT$473,MATCH(E120,Database!$A$2:$A$473,0),MATCH($C$5,Database!$B$1:$CT$1,0)),"")</f>
        <v/>
      </c>
      <c r="I120" s="177">
        <f t="shared" si="22"/>
        <v>0</v>
      </c>
      <c r="J120" s="192"/>
      <c r="K120" s="193"/>
      <c r="L120" s="199" t="str">
        <f>IFERROR(INDEX(Database!$B$2:$CT$473,MATCH(J120,Database!$A$2:$A$473,0),MATCH($C$4,Database!$B$1:$CT$1,0)),"")</f>
        <v/>
      </c>
      <c r="M120" s="199" t="str">
        <f>IFERROR(INDEX(Database!$B$2:$CT$473,MATCH(J120,Database!$A$2:$A$473,0),MATCH($C$5,Database!$B$1:$CT$1,0)),"")</f>
        <v/>
      </c>
      <c r="N120" s="177">
        <f t="shared" si="23"/>
        <v>0</v>
      </c>
      <c r="O120" s="192"/>
      <c r="P120" s="193"/>
      <c r="Q120" s="199" t="str">
        <f>IFERROR(INDEX(Database!$B$2:$CT$473,MATCH(O120,Database!$A$2:$A$473,0),MATCH($C$4,Database!$B$1:$CT$1,0)),"")</f>
        <v/>
      </c>
      <c r="R120" s="199" t="str">
        <f>IFERROR(INDEX(Database!$B$2:$CT$473,MATCH(O120,Database!$A$2:$A$473,0),MATCH($C$5,Database!$B$1:$CT$1,0)),"")</f>
        <v/>
      </c>
      <c r="S120" s="177">
        <f t="shared" si="24"/>
        <v>0</v>
      </c>
      <c r="T120" s="200">
        <f t="shared" si="25"/>
        <v>0</v>
      </c>
      <c r="U120" s="201">
        <f t="shared" si="26"/>
        <v>1</v>
      </c>
      <c r="V120" s="172">
        <f t="shared" si="27"/>
        <v>1</v>
      </c>
    </row>
    <row r="121" spans="1:22" ht="24" customHeight="1">
      <c r="A121" s="160">
        <v>113</v>
      </c>
      <c r="B121" s="162" t="s">
        <v>714</v>
      </c>
      <c r="C121" s="193">
        <v>0.39999999999999991</v>
      </c>
      <c r="D121" s="198">
        <f t="shared" si="21"/>
        <v>0.60000000000000009</v>
      </c>
      <c r="E121" s="192" t="s">
        <v>528</v>
      </c>
      <c r="F121" s="193">
        <v>0.4</v>
      </c>
      <c r="G121" s="199">
        <f>IFERROR(INDEX(Database!$B$2:$CT$473,MATCH(E121,Database!$A$2:$A$473,0),MATCH($C$4,Database!$B$1:$CT$1,0)),"")</f>
        <v>4474.8999999999996</v>
      </c>
      <c r="H121" s="199">
        <f>IFERROR(INDEX(Database!$B$2:$CT$473,MATCH(E121,Database!$A$2:$A$473,0),MATCH($C$5,Database!$B$1:$CT$1,0)),"")</f>
        <v>9507.4</v>
      </c>
      <c r="I121" s="173">
        <f t="shared" si="22"/>
        <v>0.84984245457999075</v>
      </c>
      <c r="J121" s="192" t="s">
        <v>537</v>
      </c>
      <c r="K121" s="193">
        <v>0.2</v>
      </c>
      <c r="L121" s="199">
        <f>IFERROR(INDEX(Database!$B$2:$CT$473,MATCH(J121,Database!$A$2:$A$473,0),MATCH($C$4,Database!$B$1:$CT$1,0)),"")</f>
        <v>2466.4</v>
      </c>
      <c r="M121" s="199">
        <f>IFERROR(INDEX(Database!$B$2:$CT$473,MATCH(J121,Database!$A$2:$A$473,0),MATCH($C$5,Database!$B$1:$CT$1,0)),"")</f>
        <v>4375.8</v>
      </c>
      <c r="N121" s="173">
        <f t="shared" si="23"/>
        <v>0.35483295491404476</v>
      </c>
      <c r="O121" s="192"/>
      <c r="P121" s="193"/>
      <c r="Q121" s="199" t="str">
        <f>IFERROR(INDEX(Database!$B$2:$CT$473,MATCH(O121,Database!$A$2:$A$473,0),MATCH($C$4,Database!$B$1:$CT$1,0)),"")</f>
        <v/>
      </c>
      <c r="R121" s="199" t="str">
        <f>IFERROR(INDEX(Database!$B$2:$CT$473,MATCH(O121,Database!$A$2:$A$473,0),MATCH($C$5,Database!$B$1:$CT$1,0)),"")</f>
        <v/>
      </c>
      <c r="S121" s="173">
        <f t="shared" si="24"/>
        <v>0</v>
      </c>
      <c r="T121" s="200">
        <f t="shared" si="25"/>
        <v>1.2046754094940355</v>
      </c>
      <c r="U121" s="201">
        <f t="shared" si="26"/>
        <v>0.39999999999999991</v>
      </c>
      <c r="V121" s="172">
        <f t="shared" si="27"/>
        <v>1.6046754094940354</v>
      </c>
    </row>
    <row r="122" spans="1:22" ht="24" customHeight="1">
      <c r="A122" s="165">
        <v>114</v>
      </c>
      <c r="B122" s="166" t="s">
        <v>715</v>
      </c>
      <c r="C122" s="193">
        <v>0</v>
      </c>
      <c r="D122" s="198">
        <f t="shared" si="21"/>
        <v>1</v>
      </c>
      <c r="E122" s="192" t="s">
        <v>521</v>
      </c>
      <c r="F122" s="193">
        <v>1</v>
      </c>
      <c r="G122" s="199">
        <f>IFERROR(INDEX(Database!$B$2:$CT$473,MATCH(E122,Database!$A$2:$A$473,0),MATCH($C$4,Database!$B$1:$CT$1,0)),"")</f>
        <v>3022.7</v>
      </c>
      <c r="H122" s="199">
        <f>IFERROR(INDEX(Database!$B$2:$CT$473,MATCH(E122,Database!$A$2:$A$473,0),MATCH($C$5,Database!$B$1:$CT$1,0)),"")</f>
        <v>4819.6000000000004</v>
      </c>
      <c r="I122" s="177">
        <f t="shared" si="22"/>
        <v>1.5944685215204952</v>
      </c>
      <c r="J122" s="192"/>
      <c r="K122" s="193"/>
      <c r="L122" s="199" t="str">
        <f>IFERROR(INDEX(Database!$B$2:$CT$473,MATCH(J122,Database!$A$2:$A$473,0),MATCH($C$4,Database!$B$1:$CT$1,0)),"")</f>
        <v/>
      </c>
      <c r="M122" s="199" t="str">
        <f>IFERROR(INDEX(Database!$B$2:$CT$473,MATCH(J122,Database!$A$2:$A$473,0),MATCH($C$5,Database!$B$1:$CT$1,0)),"")</f>
        <v/>
      </c>
      <c r="N122" s="177">
        <f t="shared" si="23"/>
        <v>0</v>
      </c>
      <c r="O122" s="192"/>
      <c r="P122" s="193"/>
      <c r="Q122" s="199" t="str">
        <f>IFERROR(INDEX(Database!$B$2:$CT$473,MATCH(O122,Database!$A$2:$A$473,0),MATCH($C$4,Database!$B$1:$CT$1,0)),"")</f>
        <v/>
      </c>
      <c r="R122" s="199" t="str">
        <f>IFERROR(INDEX(Database!$B$2:$CT$473,MATCH(O122,Database!$A$2:$A$473,0),MATCH($C$5,Database!$B$1:$CT$1,0)),"")</f>
        <v/>
      </c>
      <c r="S122" s="177">
        <f t="shared" si="24"/>
        <v>0</v>
      </c>
      <c r="T122" s="200">
        <f t="shared" si="25"/>
        <v>1.5944685215204952</v>
      </c>
      <c r="U122" s="201">
        <f t="shared" si="26"/>
        <v>0</v>
      </c>
      <c r="V122" s="172">
        <f t="shared" si="27"/>
        <v>1.5944685215204952</v>
      </c>
    </row>
    <row r="123" spans="1:22" ht="24" customHeight="1">
      <c r="A123" s="160">
        <v>115</v>
      </c>
      <c r="B123" s="162" t="s">
        <v>716</v>
      </c>
      <c r="C123" s="193">
        <v>1</v>
      </c>
      <c r="D123" s="198">
        <f t="shared" si="21"/>
        <v>0</v>
      </c>
      <c r="E123" s="192"/>
      <c r="F123" s="193"/>
      <c r="G123" s="199" t="str">
        <f>IFERROR(INDEX(Database!$B$2:$CT$473,MATCH(E123,Database!$A$2:$A$473,0),MATCH($C$4,Database!$B$1:$CT$1,0)),"")</f>
        <v/>
      </c>
      <c r="H123" s="199" t="str">
        <f>IFERROR(INDEX(Database!$B$2:$CT$473,MATCH(E123,Database!$A$2:$A$473,0),MATCH($C$5,Database!$B$1:$CT$1,0)),"")</f>
        <v/>
      </c>
      <c r="I123" s="173">
        <f t="shared" si="22"/>
        <v>0</v>
      </c>
      <c r="J123" s="192"/>
      <c r="K123" s="193"/>
      <c r="L123" s="199" t="str">
        <f>IFERROR(INDEX(Database!$B$2:$CT$473,MATCH(J123,Database!$A$2:$A$473,0),MATCH($C$4,Database!$B$1:$CT$1,0)),"")</f>
        <v/>
      </c>
      <c r="M123" s="199" t="str">
        <f>IFERROR(INDEX(Database!$B$2:$CT$473,MATCH(J123,Database!$A$2:$A$473,0),MATCH($C$5,Database!$B$1:$CT$1,0)),"")</f>
        <v/>
      </c>
      <c r="N123" s="173">
        <f t="shared" si="23"/>
        <v>0</v>
      </c>
      <c r="O123" s="192"/>
      <c r="P123" s="193"/>
      <c r="Q123" s="199" t="str">
        <f>IFERROR(INDEX(Database!$B$2:$CT$473,MATCH(O123,Database!$A$2:$A$473,0),MATCH($C$4,Database!$B$1:$CT$1,0)),"")</f>
        <v/>
      </c>
      <c r="R123" s="199" t="str">
        <f>IFERROR(INDEX(Database!$B$2:$CT$473,MATCH(O123,Database!$A$2:$A$473,0),MATCH($C$5,Database!$B$1:$CT$1,0)),"")</f>
        <v/>
      </c>
      <c r="S123" s="173">
        <f t="shared" si="24"/>
        <v>0</v>
      </c>
      <c r="T123" s="200">
        <f t="shared" si="25"/>
        <v>0</v>
      </c>
      <c r="U123" s="201">
        <f t="shared" si="26"/>
        <v>1</v>
      </c>
      <c r="V123" s="172">
        <f t="shared" si="27"/>
        <v>1</v>
      </c>
    </row>
    <row r="124" spans="1:22" ht="24" customHeight="1">
      <c r="A124" s="165">
        <v>116</v>
      </c>
      <c r="B124" s="166" t="s">
        <v>717</v>
      </c>
      <c r="C124" s="193">
        <v>1</v>
      </c>
      <c r="D124" s="198">
        <f t="shared" si="21"/>
        <v>0</v>
      </c>
      <c r="E124" s="192"/>
      <c r="F124" s="193"/>
      <c r="G124" s="199" t="str">
        <f>IFERROR(INDEX(Database!$B$2:$CT$473,MATCH(E124,Database!$A$2:$A$473,0),MATCH($C$4,Database!$B$1:$CT$1,0)),"")</f>
        <v/>
      </c>
      <c r="H124" s="199" t="str">
        <f>IFERROR(INDEX(Database!$B$2:$CT$473,MATCH(E124,Database!$A$2:$A$473,0),MATCH($C$5,Database!$B$1:$CT$1,0)),"")</f>
        <v/>
      </c>
      <c r="I124" s="177">
        <f t="shared" si="22"/>
        <v>0</v>
      </c>
      <c r="J124" s="192"/>
      <c r="K124" s="193"/>
      <c r="L124" s="199" t="str">
        <f>IFERROR(INDEX(Database!$B$2:$CT$473,MATCH(J124,Database!$A$2:$A$473,0),MATCH($C$4,Database!$B$1:$CT$1,0)),"")</f>
        <v/>
      </c>
      <c r="M124" s="199" t="str">
        <f>IFERROR(INDEX(Database!$B$2:$CT$473,MATCH(J124,Database!$A$2:$A$473,0),MATCH($C$5,Database!$B$1:$CT$1,0)),"")</f>
        <v/>
      </c>
      <c r="N124" s="177">
        <f t="shared" si="23"/>
        <v>0</v>
      </c>
      <c r="O124" s="192"/>
      <c r="P124" s="193"/>
      <c r="Q124" s="199" t="str">
        <f>IFERROR(INDEX(Database!$B$2:$CT$473,MATCH(O124,Database!$A$2:$A$473,0),MATCH($C$4,Database!$B$1:$CT$1,0)),"")</f>
        <v/>
      </c>
      <c r="R124" s="199" t="str">
        <f>IFERROR(INDEX(Database!$B$2:$CT$473,MATCH(O124,Database!$A$2:$A$473,0),MATCH($C$5,Database!$B$1:$CT$1,0)),"")</f>
        <v/>
      </c>
      <c r="S124" s="177">
        <f t="shared" si="24"/>
        <v>0</v>
      </c>
      <c r="T124" s="200">
        <f t="shared" si="25"/>
        <v>0</v>
      </c>
      <c r="U124" s="201">
        <f t="shared" si="26"/>
        <v>1</v>
      </c>
      <c r="V124" s="172">
        <f t="shared" si="27"/>
        <v>1</v>
      </c>
    </row>
    <row r="125" spans="1:22" ht="24" customHeight="1">
      <c r="A125" s="160">
        <v>117</v>
      </c>
      <c r="B125" s="162" t="s">
        <v>718</v>
      </c>
      <c r="C125" s="193">
        <v>0</v>
      </c>
      <c r="D125" s="198">
        <f t="shared" si="21"/>
        <v>1</v>
      </c>
      <c r="E125" s="192" t="s">
        <v>126</v>
      </c>
      <c r="F125" s="193">
        <v>1</v>
      </c>
      <c r="G125" s="199">
        <f>IFERROR(INDEX(Database!$B$2:$CT$473,MATCH(E125,Database!$A$2:$A$473,0),MATCH($C$4,Database!$B$1:$CT$1,0)),"")</f>
        <v>3727.2</v>
      </c>
      <c r="H125" s="199">
        <f>IFERROR(INDEX(Database!$B$2:$CT$473,MATCH(E125,Database!$A$2:$A$473,0),MATCH($C$5,Database!$B$1:$CT$1,0)),"")</f>
        <v>5661.7</v>
      </c>
      <c r="I125" s="173">
        <f t="shared" si="22"/>
        <v>1.5190223223867783</v>
      </c>
      <c r="J125" s="192"/>
      <c r="K125" s="193"/>
      <c r="L125" s="199" t="str">
        <f>IFERROR(INDEX(Database!$B$2:$CT$473,MATCH(J125,Database!$A$2:$A$473,0),MATCH($C$4,Database!$B$1:$CT$1,0)),"")</f>
        <v/>
      </c>
      <c r="M125" s="199" t="str">
        <f>IFERROR(INDEX(Database!$B$2:$CT$473,MATCH(J125,Database!$A$2:$A$473,0),MATCH($C$5,Database!$B$1:$CT$1,0)),"")</f>
        <v/>
      </c>
      <c r="N125" s="173">
        <f t="shared" si="23"/>
        <v>0</v>
      </c>
      <c r="O125" s="192"/>
      <c r="P125" s="193"/>
      <c r="Q125" s="199" t="str">
        <f>IFERROR(INDEX(Database!$B$2:$CT$473,MATCH(O125,Database!$A$2:$A$473,0),MATCH($C$4,Database!$B$1:$CT$1,0)),"")</f>
        <v/>
      </c>
      <c r="R125" s="199" t="str">
        <f>IFERROR(INDEX(Database!$B$2:$CT$473,MATCH(O125,Database!$A$2:$A$473,0),MATCH($C$5,Database!$B$1:$CT$1,0)),"")</f>
        <v/>
      </c>
      <c r="S125" s="173">
        <f t="shared" si="24"/>
        <v>0</v>
      </c>
      <c r="T125" s="200">
        <f t="shared" si="25"/>
        <v>1.5190223223867783</v>
      </c>
      <c r="U125" s="201">
        <f t="shared" si="26"/>
        <v>0</v>
      </c>
      <c r="V125" s="172">
        <f t="shared" si="27"/>
        <v>1.5190223223867783</v>
      </c>
    </row>
    <row r="126" spans="1:22" ht="24" customHeight="1">
      <c r="A126" s="165">
        <v>118</v>
      </c>
      <c r="B126" s="166" t="s">
        <v>719</v>
      </c>
      <c r="C126" s="193">
        <v>0</v>
      </c>
      <c r="D126" s="198">
        <f t="shared" si="21"/>
        <v>1</v>
      </c>
      <c r="E126" s="192" t="s">
        <v>538</v>
      </c>
      <c r="F126" s="193">
        <v>1</v>
      </c>
      <c r="G126" s="199">
        <f>IFERROR(INDEX(Database!$B$2:$CT$473,MATCH(E126,Database!$A$2:$A$473,0),MATCH($C$4,Database!$B$1:$CT$1,0)),"")</f>
        <v>425</v>
      </c>
      <c r="H126" s="199">
        <f>IFERROR(INDEX(Database!$B$2:$CT$473,MATCH(E126,Database!$A$2:$A$473,0),MATCH($C$5,Database!$B$1:$CT$1,0)),"")</f>
        <v>433</v>
      </c>
      <c r="I126" s="177">
        <f t="shared" si="22"/>
        <v>1.0188235294117647</v>
      </c>
      <c r="J126" s="192"/>
      <c r="K126" s="193"/>
      <c r="L126" s="199" t="str">
        <f>IFERROR(INDEX(Database!$B$2:$CT$473,MATCH(J126,Database!$A$2:$A$473,0),MATCH($C$4,Database!$B$1:$CT$1,0)),"")</f>
        <v/>
      </c>
      <c r="M126" s="199" t="str">
        <f>IFERROR(INDEX(Database!$B$2:$CT$473,MATCH(J126,Database!$A$2:$A$473,0),MATCH($C$5,Database!$B$1:$CT$1,0)),"")</f>
        <v/>
      </c>
      <c r="N126" s="177">
        <f t="shared" si="23"/>
        <v>0</v>
      </c>
      <c r="O126" s="192"/>
      <c r="P126" s="193"/>
      <c r="Q126" s="199" t="str">
        <f>IFERROR(INDEX(Database!$B$2:$CT$473,MATCH(O126,Database!$A$2:$A$473,0),MATCH($C$4,Database!$B$1:$CT$1,0)),"")</f>
        <v/>
      </c>
      <c r="R126" s="199" t="str">
        <f>IFERROR(INDEX(Database!$B$2:$CT$473,MATCH(O126,Database!$A$2:$A$473,0),MATCH($C$5,Database!$B$1:$CT$1,0)),"")</f>
        <v/>
      </c>
      <c r="S126" s="177">
        <f t="shared" si="24"/>
        <v>0</v>
      </c>
      <c r="T126" s="200">
        <f t="shared" si="25"/>
        <v>1.0188235294117647</v>
      </c>
      <c r="U126" s="201">
        <f t="shared" si="26"/>
        <v>0</v>
      </c>
      <c r="V126" s="172">
        <f t="shared" si="27"/>
        <v>1.0188235294117647</v>
      </c>
    </row>
    <row r="127" spans="1:22" ht="24" customHeight="1">
      <c r="A127" s="160">
        <v>119</v>
      </c>
      <c r="B127" s="162" t="s">
        <v>720</v>
      </c>
      <c r="C127" s="193">
        <v>0</v>
      </c>
      <c r="D127" s="198">
        <f t="shared" si="21"/>
        <v>1</v>
      </c>
      <c r="E127" s="192" t="s">
        <v>538</v>
      </c>
      <c r="F127" s="193">
        <v>1</v>
      </c>
      <c r="G127" s="199">
        <f>IFERROR(INDEX(Database!$B$2:$CT$473,MATCH(E127,Database!$A$2:$A$473,0),MATCH($C$4,Database!$B$1:$CT$1,0)),"")</f>
        <v>425</v>
      </c>
      <c r="H127" s="199">
        <f>IFERROR(INDEX(Database!$B$2:$CT$473,MATCH(E127,Database!$A$2:$A$473,0),MATCH($C$5,Database!$B$1:$CT$1,0)),"")</f>
        <v>433</v>
      </c>
      <c r="I127" s="173">
        <f t="shared" si="22"/>
        <v>1.0188235294117647</v>
      </c>
      <c r="J127" s="192"/>
      <c r="K127" s="193"/>
      <c r="L127" s="199" t="str">
        <f>IFERROR(INDEX(Database!$B$2:$CT$473,MATCH(J127,Database!$A$2:$A$473,0),MATCH($C$4,Database!$B$1:$CT$1,0)),"")</f>
        <v/>
      </c>
      <c r="M127" s="199" t="str">
        <f>IFERROR(INDEX(Database!$B$2:$CT$473,MATCH(J127,Database!$A$2:$A$473,0),MATCH($C$5,Database!$B$1:$CT$1,0)),"")</f>
        <v/>
      </c>
      <c r="N127" s="173">
        <f t="shared" si="23"/>
        <v>0</v>
      </c>
      <c r="O127" s="192"/>
      <c r="P127" s="193"/>
      <c r="Q127" s="199" t="str">
        <f>IFERROR(INDEX(Database!$B$2:$CT$473,MATCH(O127,Database!$A$2:$A$473,0),MATCH($C$4,Database!$B$1:$CT$1,0)),"")</f>
        <v/>
      </c>
      <c r="R127" s="199" t="str">
        <f>IFERROR(INDEX(Database!$B$2:$CT$473,MATCH(O127,Database!$A$2:$A$473,0),MATCH($C$5,Database!$B$1:$CT$1,0)),"")</f>
        <v/>
      </c>
      <c r="S127" s="173">
        <f t="shared" si="24"/>
        <v>0</v>
      </c>
      <c r="T127" s="200">
        <f t="shared" si="25"/>
        <v>1.0188235294117647</v>
      </c>
      <c r="U127" s="201">
        <f t="shared" si="26"/>
        <v>0</v>
      </c>
      <c r="V127" s="172">
        <f t="shared" si="27"/>
        <v>1.0188235294117647</v>
      </c>
    </row>
    <row r="128" spans="1:22" ht="24" customHeight="1">
      <c r="A128" s="165">
        <v>120</v>
      </c>
      <c r="B128" s="166" t="s">
        <v>721</v>
      </c>
      <c r="C128" s="193">
        <v>0</v>
      </c>
      <c r="D128" s="198">
        <f t="shared" si="21"/>
        <v>1</v>
      </c>
      <c r="E128" s="192" t="s">
        <v>538</v>
      </c>
      <c r="F128" s="193">
        <v>1</v>
      </c>
      <c r="G128" s="199">
        <f>IFERROR(INDEX(Database!$B$2:$CT$473,MATCH(E128,Database!$A$2:$A$473,0),MATCH($C$4,Database!$B$1:$CT$1,0)),"")</f>
        <v>425</v>
      </c>
      <c r="H128" s="199">
        <f>IFERROR(INDEX(Database!$B$2:$CT$473,MATCH(E128,Database!$A$2:$A$473,0),MATCH($C$5,Database!$B$1:$CT$1,0)),"")</f>
        <v>433</v>
      </c>
      <c r="I128" s="177">
        <f t="shared" si="22"/>
        <v>1.0188235294117647</v>
      </c>
      <c r="J128" s="192"/>
      <c r="K128" s="193"/>
      <c r="L128" s="199" t="str">
        <f>IFERROR(INDEX(Database!$B$2:$CT$473,MATCH(J128,Database!$A$2:$A$473,0),MATCH($C$4,Database!$B$1:$CT$1,0)),"")</f>
        <v/>
      </c>
      <c r="M128" s="199" t="str">
        <f>IFERROR(INDEX(Database!$B$2:$CT$473,MATCH(J128,Database!$A$2:$A$473,0),MATCH($C$5,Database!$B$1:$CT$1,0)),"")</f>
        <v/>
      </c>
      <c r="N128" s="177">
        <f t="shared" si="23"/>
        <v>0</v>
      </c>
      <c r="O128" s="192"/>
      <c r="P128" s="193"/>
      <c r="Q128" s="199" t="str">
        <f>IFERROR(INDEX(Database!$B$2:$CT$473,MATCH(O128,Database!$A$2:$A$473,0),MATCH($C$4,Database!$B$1:$CT$1,0)),"")</f>
        <v/>
      </c>
      <c r="R128" s="199" t="str">
        <f>IFERROR(INDEX(Database!$B$2:$CT$473,MATCH(O128,Database!$A$2:$A$473,0),MATCH($C$5,Database!$B$1:$CT$1,0)),"")</f>
        <v/>
      </c>
      <c r="S128" s="177">
        <f t="shared" si="24"/>
        <v>0</v>
      </c>
      <c r="T128" s="200">
        <f t="shared" si="25"/>
        <v>1.0188235294117647</v>
      </c>
      <c r="U128" s="201">
        <f t="shared" si="26"/>
        <v>0</v>
      </c>
      <c r="V128" s="172">
        <f t="shared" si="27"/>
        <v>1.0188235294117647</v>
      </c>
    </row>
    <row r="129" spans="1:22" ht="24" customHeight="1">
      <c r="A129" s="160">
        <v>121</v>
      </c>
      <c r="B129" s="162" t="s">
        <v>722</v>
      </c>
      <c r="C129" s="193">
        <v>0</v>
      </c>
      <c r="D129" s="198">
        <f t="shared" si="21"/>
        <v>1</v>
      </c>
      <c r="E129" s="192" t="s">
        <v>123</v>
      </c>
      <c r="F129" s="193">
        <v>1</v>
      </c>
      <c r="G129" s="199">
        <f>IFERROR(INDEX(Database!$B$2:$CT$473,MATCH(E129,Database!$A$2:$A$473,0),MATCH($C$4,Database!$B$1:$CT$1,0)),"")</f>
        <v>6783.9</v>
      </c>
      <c r="H129" s="199">
        <f>IFERROR(INDEX(Database!$B$2:$CT$473,MATCH(E129,Database!$A$2:$A$473,0),MATCH($C$5,Database!$B$1:$CT$1,0)),"")</f>
        <v>9344.2000000000007</v>
      </c>
      <c r="I129" s="173">
        <f t="shared" si="22"/>
        <v>1.3774082754757591</v>
      </c>
      <c r="J129" s="192"/>
      <c r="K129" s="193"/>
      <c r="L129" s="199" t="str">
        <f>IFERROR(INDEX(Database!$B$2:$CT$473,MATCH(J129,Database!$A$2:$A$473,0),MATCH($C$4,Database!$B$1:$CT$1,0)),"")</f>
        <v/>
      </c>
      <c r="M129" s="199" t="str">
        <f>IFERROR(INDEX(Database!$B$2:$CT$473,MATCH(J129,Database!$A$2:$A$473,0),MATCH($C$5,Database!$B$1:$CT$1,0)),"")</f>
        <v/>
      </c>
      <c r="N129" s="173">
        <f t="shared" si="23"/>
        <v>0</v>
      </c>
      <c r="O129" s="192"/>
      <c r="P129" s="193"/>
      <c r="Q129" s="199" t="str">
        <f>IFERROR(INDEX(Database!$B$2:$CT$473,MATCH(O129,Database!$A$2:$A$473,0),MATCH($C$4,Database!$B$1:$CT$1,0)),"")</f>
        <v/>
      </c>
      <c r="R129" s="199" t="str">
        <f>IFERROR(INDEX(Database!$B$2:$CT$473,MATCH(O129,Database!$A$2:$A$473,0),MATCH($C$5,Database!$B$1:$CT$1,0)),"")</f>
        <v/>
      </c>
      <c r="S129" s="173">
        <f t="shared" si="24"/>
        <v>0</v>
      </c>
      <c r="T129" s="200">
        <f t="shared" si="25"/>
        <v>1.3774082754757591</v>
      </c>
      <c r="U129" s="201">
        <f t="shared" si="26"/>
        <v>0</v>
      </c>
      <c r="V129" s="172">
        <f t="shared" si="27"/>
        <v>1.3774082754757591</v>
      </c>
    </row>
    <row r="130" spans="1:22" ht="24" customHeight="1">
      <c r="A130" s="165">
        <v>122</v>
      </c>
      <c r="B130" s="166" t="s">
        <v>723</v>
      </c>
      <c r="C130" s="193">
        <v>0.5</v>
      </c>
      <c r="D130" s="198">
        <f t="shared" si="21"/>
        <v>0.5</v>
      </c>
      <c r="E130" s="192" t="s">
        <v>123</v>
      </c>
      <c r="F130" s="193">
        <v>0.5</v>
      </c>
      <c r="G130" s="199">
        <f>IFERROR(INDEX(Database!$B$2:$CT$473,MATCH(E130,Database!$A$2:$A$473,0),MATCH($C$4,Database!$B$1:$CT$1,0)),"")</f>
        <v>6783.9</v>
      </c>
      <c r="H130" s="199">
        <f>IFERROR(INDEX(Database!$B$2:$CT$473,MATCH(E130,Database!$A$2:$A$473,0),MATCH($C$5,Database!$B$1:$CT$1,0)),"")</f>
        <v>9344.2000000000007</v>
      </c>
      <c r="I130" s="177">
        <f t="shared" si="22"/>
        <v>0.68870413773787953</v>
      </c>
      <c r="J130" s="192"/>
      <c r="K130" s="193"/>
      <c r="L130" s="199" t="str">
        <f>IFERROR(INDEX(Database!$B$2:$CT$473,MATCH(J130,Database!$A$2:$A$473,0),MATCH($C$4,Database!$B$1:$CT$1,0)),"")</f>
        <v/>
      </c>
      <c r="M130" s="199" t="str">
        <f>IFERROR(INDEX(Database!$B$2:$CT$473,MATCH(J130,Database!$A$2:$A$473,0),MATCH($C$5,Database!$B$1:$CT$1,0)),"")</f>
        <v/>
      </c>
      <c r="N130" s="177">
        <f t="shared" si="23"/>
        <v>0</v>
      </c>
      <c r="O130" s="192"/>
      <c r="P130" s="193"/>
      <c r="Q130" s="199" t="str">
        <f>IFERROR(INDEX(Database!$B$2:$CT$473,MATCH(O130,Database!$A$2:$A$473,0),MATCH($C$4,Database!$B$1:$CT$1,0)),"")</f>
        <v/>
      </c>
      <c r="R130" s="199" t="str">
        <f>IFERROR(INDEX(Database!$B$2:$CT$473,MATCH(O130,Database!$A$2:$A$473,0),MATCH($C$5,Database!$B$1:$CT$1,0)),"")</f>
        <v/>
      </c>
      <c r="S130" s="177">
        <f t="shared" si="24"/>
        <v>0</v>
      </c>
      <c r="T130" s="200">
        <f t="shared" si="25"/>
        <v>0.68870413773787953</v>
      </c>
      <c r="U130" s="201">
        <f t="shared" si="26"/>
        <v>0.5</v>
      </c>
      <c r="V130" s="172">
        <f t="shared" si="27"/>
        <v>1.1887041377378795</v>
      </c>
    </row>
    <row r="131" spans="1:22" ht="24" customHeight="1">
      <c r="A131" s="160">
        <v>123</v>
      </c>
      <c r="B131" s="162" t="s">
        <v>724</v>
      </c>
      <c r="C131" s="193">
        <v>0</v>
      </c>
      <c r="D131" s="198">
        <f t="shared" si="21"/>
        <v>1</v>
      </c>
      <c r="E131" s="192" t="s">
        <v>441</v>
      </c>
      <c r="F131" s="193">
        <v>1</v>
      </c>
      <c r="G131" s="199">
        <f>IFERROR(INDEX(Database!$B$2:$CT$473,MATCH(E131,Database!$A$2:$A$473,0),MATCH($C$4,Database!$B$1:$CT$1,0)),"")</f>
        <v>5802.5</v>
      </c>
      <c r="H131" s="199">
        <f>IFERROR(INDEX(Database!$B$2:$CT$473,MATCH(E131,Database!$A$2:$A$473,0),MATCH($C$5,Database!$B$1:$CT$1,0)),"")</f>
        <v>10641.3</v>
      </c>
      <c r="I131" s="173">
        <f t="shared" si="22"/>
        <v>1.8339164153382161</v>
      </c>
      <c r="J131" s="192"/>
      <c r="K131" s="193"/>
      <c r="L131" s="199" t="str">
        <f>IFERROR(INDEX(Database!$B$2:$CT$473,MATCH(J131,Database!$A$2:$A$473,0),MATCH($C$4,Database!$B$1:$CT$1,0)),"")</f>
        <v/>
      </c>
      <c r="M131" s="199" t="str">
        <f>IFERROR(INDEX(Database!$B$2:$CT$473,MATCH(J131,Database!$A$2:$A$473,0),MATCH($C$5,Database!$B$1:$CT$1,0)),"")</f>
        <v/>
      </c>
      <c r="N131" s="173">
        <f t="shared" si="23"/>
        <v>0</v>
      </c>
      <c r="O131" s="192"/>
      <c r="P131" s="193"/>
      <c r="Q131" s="199" t="str">
        <f>IFERROR(INDEX(Database!$B$2:$CT$473,MATCH(O131,Database!$A$2:$A$473,0),MATCH($C$4,Database!$B$1:$CT$1,0)),"")</f>
        <v/>
      </c>
      <c r="R131" s="199" t="str">
        <f>IFERROR(INDEX(Database!$B$2:$CT$473,MATCH(O131,Database!$A$2:$A$473,0),MATCH($C$5,Database!$B$1:$CT$1,0)),"")</f>
        <v/>
      </c>
      <c r="S131" s="173">
        <f t="shared" si="24"/>
        <v>0</v>
      </c>
      <c r="T131" s="200">
        <f t="shared" si="25"/>
        <v>1.8339164153382161</v>
      </c>
      <c r="U131" s="201">
        <f t="shared" si="26"/>
        <v>0</v>
      </c>
      <c r="V131" s="172">
        <f t="shared" si="27"/>
        <v>1.8339164153382161</v>
      </c>
    </row>
    <row r="133" spans="1:22">
      <c r="A133" s="280" t="s">
        <v>725</v>
      </c>
      <c r="B133" s="278"/>
      <c r="C133" s="284" t="s">
        <v>726</v>
      </c>
      <c r="D133" s="282"/>
      <c r="E133" s="282"/>
      <c r="F133" s="282"/>
      <c r="G133" s="282"/>
      <c r="H133" s="282"/>
      <c r="I133" s="282"/>
      <c r="J133" s="282"/>
      <c r="K133" s="282"/>
      <c r="L133" s="282"/>
      <c r="M133" s="282"/>
      <c r="N133" s="282"/>
      <c r="O133" s="282"/>
      <c r="P133" s="282"/>
      <c r="Q133" s="282"/>
      <c r="R133" s="282"/>
      <c r="S133" s="282"/>
      <c r="T133" s="282"/>
      <c r="U133" s="282"/>
      <c r="V133" s="278"/>
    </row>
    <row r="135" spans="1:22" ht="28.05" customHeight="1">
      <c r="A135" s="281" t="s">
        <v>727</v>
      </c>
      <c r="B135" s="282"/>
      <c r="C135" s="282"/>
      <c r="D135" s="282"/>
      <c r="E135" s="282"/>
      <c r="F135" s="278"/>
    </row>
    <row r="136" spans="1:22" ht="18.399999999999999">
      <c r="A136" s="283" t="s">
        <v>728</v>
      </c>
      <c r="B136" s="282"/>
      <c r="C136" s="282"/>
      <c r="D136" s="278"/>
      <c r="E136" s="172">
        <f>AVERAGE(V9:V131)</f>
        <v>1.3047121285474303</v>
      </c>
    </row>
    <row r="137" spans="1:22" ht="13.9">
      <c r="A137" s="283" t="s">
        <v>729</v>
      </c>
      <c r="B137" s="282"/>
      <c r="C137" s="282"/>
      <c r="D137" s="278"/>
      <c r="E137" s="177">
        <f>MAX(V9:V131)</f>
        <v>1.9493854555101002</v>
      </c>
    </row>
    <row r="138" spans="1:22" ht="13.9">
      <c r="A138" s="283" t="s">
        <v>730</v>
      </c>
      <c r="B138" s="282"/>
      <c r="C138" s="282"/>
      <c r="D138" s="278"/>
      <c r="E138" s="177">
        <f>MIN(V9:V131)</f>
        <v>1</v>
      </c>
    </row>
    <row r="139" spans="1:22" ht="13.9">
      <c r="A139" s="283" t="s">
        <v>731</v>
      </c>
      <c r="B139" s="282"/>
      <c r="C139" s="282"/>
      <c r="D139" s="278"/>
      <c r="E139" s="167">
        <f>COUNTA(V9:V131)</f>
        <v>123</v>
      </c>
    </row>
  </sheetData>
  <mergeCells count="24">
    <mergeCell ref="A139:D139"/>
    <mergeCell ref="E4:G4"/>
    <mergeCell ref="O7:S7"/>
    <mergeCell ref="A135:F135"/>
    <mergeCell ref="T7:V7"/>
    <mergeCell ref="A138:D138"/>
    <mergeCell ref="C133:V133"/>
    <mergeCell ref="A1:V1"/>
    <mergeCell ref="J7:N7"/>
    <mergeCell ref="A5:B5"/>
    <mergeCell ref="A137:D137"/>
    <mergeCell ref="E3:J3"/>
    <mergeCell ref="K3:V3"/>
    <mergeCell ref="A4:B4"/>
    <mergeCell ref="I4:J4"/>
    <mergeCell ref="E7:I7"/>
    <mergeCell ref="A136:D136"/>
    <mergeCell ref="E5:G5"/>
    <mergeCell ref="A3:D3"/>
    <mergeCell ref="K4:V5"/>
    <mergeCell ref="C5:D5"/>
    <mergeCell ref="C4:D4"/>
    <mergeCell ref="A7:B7"/>
    <mergeCell ref="A133:B133"/>
  </mergeCells>
  <pageMargins left="0.75" right="0.75" top="1" bottom="1" header="0.5" footer="0.5"/>
  <extLst>
    <ext xmlns:x14="http://schemas.microsoft.com/office/spreadsheetml/2009/9/main" uri="{CCE6A557-97BC-4b89-ADB6-D9C93CAAB3DF}">
      <x14:dataValidations xmlns:xm="http://schemas.microsoft.com/office/excel/2006/main" count="2">
        <x14:dataValidation type="list" errorTitle="دوره نامعتبر" error="لطفاً یک دوره معتبر انتخاب کنید" promptTitle="انتخاب دوره" prompt="یک دوره از لیست انتخاب کنید" xr:uid="{00000000-0002-0000-0000-000000000000}">
          <x14:formula1>
            <xm:f>'فهرست مراجع'!$A$2:$A$98</xm:f>
          </x14:formula1>
          <xm:sqref>C4 C5</xm:sqref>
        </x14:dataValidation>
        <x14:dataValidation type="list" allowBlank="1" errorTitle="فصل نامعتبر" error="لطفاً یک فصل معتبر انتخاب کنید" xr:uid="{00000000-0002-0000-0000-000001000000}">
          <x14:formula1>
            <xm:f>'فهرست مراجع'!$B$2:$B$473</xm:f>
          </x14:formula1>
          <xm:sqref>E9 E10 E11 E12 E13 E14 E15 E16 E17 E18 E19 E20 E21 E22 E23 E24 E25 E26 E27 E28 E29 E30 E31 E32 E33 E34 E35 E36 E37 E38 E39 E40 E41 E42 E43 E44 E45 E46 E47 E48 E49 E50 E51 E52 E53 E54 E55 E56 E57 E58 E59 E60 E61 E62 E63 E64 E65 E66 E67 E68 E69 E70 E71 E72 E73 E74 E75 E76 E77 E78 E79 E80 E81 E82 E83 E84 E85 E86 E87 E88 E89 E90 E91 E92 E93 E94 E95 E96 E97 E98 E99 E100 E101 E102 E103 E104 E105 E106 E107 E108 E109 E110 E111 E112 E113 E114 E115 E116 E117 E118 E119 E120 E121 E122 E123 E124 E125 E126 E127 E128 E129 E130 E131 J9 J10 J11 J12 J13 J14 J15 J16 J17 J18 J19 J20 J21 J22 J23 J24 J25 J26 J27 J28 J29 J30 J31 J32 J33 J34 J35 J36 J37 J38 J39 J40 J41 J42 J43 J44 J45 J46 J47 J48 J49 J50 J51 J52 J53 J54 J55 J56 J57 J58 J59 J60 J61 J62 J63 J64 J65 J66 J67 J68 J69 J70 J71 J72 J73 J74 J75 J76 J77 J78 J79 J80 J81 J82 J83 J84 J85 J86 J87 J88 J89 J90 J91 J92 J93 J94 J95 J96 J97 J98 J99 J100 J101 J102 J103 J104 J105 J106 J107 J108 J109 J110 J111 J112 J113 J114 J115 J116 J117 J118 J119 J120 J121 J122 J123 J124 J125 J126 J127 J128 J129 J130 J131 O9 O10 O11 O12 O13 O14 O15 O16 O17 O18 O19 O20 O21 O22 O23 O24 O25 O26 O27 O28 O29 O30 O31 O32 O33 O34 O35 O36 O37 O38 O39 O40 O41 O42 O43 O44 O45 O46 O47 O48 O49 O50 O51 O52 O53 O54 O55 O56 O57 O58 O59 O60 O61 O62 O63 O64 O65 O66 O67 O68 O69 O70 O71 O72 O73 O74 O75 O76 O77 O78 O79 O80 O81 O82 O83 O84 O85 O86 O87 O88 O89 O90 O91 O92 O93 O94 O95 O96 O97 O98 O99 O100 O101 O102 O103 O104 O105 O106 O107 O108 O109 O110 O111 O112 O113 O114 O115 O116 O117 O118 O119 O120 O121 O122 O123 O124 O125 O126 O127 O128 O129 O130 O131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CT473"/>
  <sheetViews>
    <sheetView rightToLeft="1" workbookViewId="0"/>
  </sheetViews>
  <sheetFormatPr defaultRowHeight="13.5"/>
  <sheetData>
    <row r="1" spans="1:98" ht="28.05" customHeight="1">
      <c r="A1" s="145" t="s">
        <v>0</v>
      </c>
      <c r="B1" s="145" t="s">
        <v>1</v>
      </c>
      <c r="C1" s="145" t="s">
        <v>2</v>
      </c>
      <c r="D1" s="145" t="s">
        <v>3</v>
      </c>
      <c r="E1" s="145" t="s">
        <v>4</v>
      </c>
      <c r="F1" s="145" t="s">
        <v>5</v>
      </c>
      <c r="G1" s="145" t="s">
        <v>6</v>
      </c>
      <c r="H1" s="145" t="s">
        <v>7</v>
      </c>
      <c r="I1" s="145" t="s">
        <v>8</v>
      </c>
      <c r="J1" s="145" t="s">
        <v>9</v>
      </c>
      <c r="K1" s="145" t="s">
        <v>10</v>
      </c>
      <c r="L1" s="145" t="s">
        <v>11</v>
      </c>
      <c r="M1" s="145" t="s">
        <v>12</v>
      </c>
      <c r="N1" s="145" t="s">
        <v>13</v>
      </c>
      <c r="O1" s="145" t="s">
        <v>14</v>
      </c>
      <c r="P1" s="145" t="s">
        <v>15</v>
      </c>
      <c r="Q1" s="145" t="s">
        <v>16</v>
      </c>
      <c r="R1" s="145" t="s">
        <v>17</v>
      </c>
      <c r="S1" s="145" t="s">
        <v>18</v>
      </c>
      <c r="T1" s="145" t="s">
        <v>19</v>
      </c>
      <c r="U1" s="145" t="s">
        <v>20</v>
      </c>
      <c r="V1" s="145" t="s">
        <v>21</v>
      </c>
      <c r="W1" s="145" t="s">
        <v>22</v>
      </c>
      <c r="X1" s="145" t="s">
        <v>23</v>
      </c>
      <c r="Y1" s="145" t="s">
        <v>24</v>
      </c>
      <c r="Z1" s="145" t="s">
        <v>25</v>
      </c>
      <c r="AA1" s="145" t="s">
        <v>26</v>
      </c>
      <c r="AB1" s="145" t="s">
        <v>27</v>
      </c>
      <c r="AC1" s="145" t="s">
        <v>28</v>
      </c>
      <c r="AD1" s="145" t="s">
        <v>29</v>
      </c>
      <c r="AE1" s="145" t="s">
        <v>30</v>
      </c>
      <c r="AF1" s="145" t="s">
        <v>31</v>
      </c>
      <c r="AG1" s="145" t="s">
        <v>32</v>
      </c>
      <c r="AH1" s="145" t="s">
        <v>33</v>
      </c>
      <c r="AI1" s="145" t="s">
        <v>34</v>
      </c>
      <c r="AJ1" s="145" t="s">
        <v>35</v>
      </c>
      <c r="AK1" s="145" t="s">
        <v>36</v>
      </c>
      <c r="AL1" s="145" t="s">
        <v>37</v>
      </c>
      <c r="AM1" s="145" t="s">
        <v>38</v>
      </c>
      <c r="AN1" s="145" t="s">
        <v>39</v>
      </c>
      <c r="AO1" s="145" t="s">
        <v>40</v>
      </c>
      <c r="AP1" s="145" t="s">
        <v>41</v>
      </c>
      <c r="AQ1" s="145" t="s">
        <v>42</v>
      </c>
      <c r="AR1" s="145" t="s">
        <v>43</v>
      </c>
      <c r="AS1" s="145" t="s">
        <v>44</v>
      </c>
      <c r="AT1" s="145" t="s">
        <v>45</v>
      </c>
      <c r="AU1" s="145" t="s">
        <v>46</v>
      </c>
      <c r="AV1" s="145" t="s">
        <v>47</v>
      </c>
      <c r="AW1" s="145" t="s">
        <v>48</v>
      </c>
      <c r="AX1" s="145" t="s">
        <v>49</v>
      </c>
      <c r="AY1" s="145" t="s">
        <v>50</v>
      </c>
      <c r="AZ1" s="145" t="s">
        <v>51</v>
      </c>
      <c r="BA1" s="145" t="s">
        <v>52</v>
      </c>
      <c r="BB1" s="145" t="s">
        <v>53</v>
      </c>
      <c r="BC1" s="145" t="s">
        <v>54</v>
      </c>
      <c r="BD1" s="145" t="s">
        <v>55</v>
      </c>
      <c r="BE1" s="145" t="s">
        <v>56</v>
      </c>
      <c r="BF1" s="145" t="s">
        <v>57</v>
      </c>
      <c r="BG1" s="145" t="s">
        <v>58</v>
      </c>
      <c r="BH1" s="145" t="s">
        <v>59</v>
      </c>
      <c r="BI1" s="145" t="s">
        <v>60</v>
      </c>
      <c r="BJ1" s="145" t="s">
        <v>61</v>
      </c>
      <c r="BK1" s="145" t="s">
        <v>62</v>
      </c>
      <c r="BL1" s="145" t="s">
        <v>63</v>
      </c>
      <c r="BM1" s="145" t="s">
        <v>64</v>
      </c>
      <c r="BN1" s="145" t="s">
        <v>65</v>
      </c>
      <c r="BO1" s="145" t="s">
        <v>66</v>
      </c>
      <c r="BP1" s="145" t="s">
        <v>67</v>
      </c>
      <c r="BQ1" s="145" t="s">
        <v>68</v>
      </c>
      <c r="BR1" s="145" t="s">
        <v>69</v>
      </c>
      <c r="BS1" s="145" t="s">
        <v>70</v>
      </c>
      <c r="BT1" s="145" t="s">
        <v>71</v>
      </c>
      <c r="BU1" s="145" t="s">
        <v>72</v>
      </c>
      <c r="BV1" s="145" t="s">
        <v>73</v>
      </c>
      <c r="BW1" s="145" t="s">
        <v>74</v>
      </c>
      <c r="BX1" s="145" t="s">
        <v>75</v>
      </c>
      <c r="BY1" s="145" t="s">
        <v>76</v>
      </c>
      <c r="BZ1" s="145" t="s">
        <v>77</v>
      </c>
      <c r="CA1" s="145" t="s">
        <v>78</v>
      </c>
      <c r="CB1" s="145" t="s">
        <v>79</v>
      </c>
      <c r="CC1" s="145" t="s">
        <v>80</v>
      </c>
      <c r="CD1" s="145" t="s">
        <v>81</v>
      </c>
      <c r="CE1" s="145" t="s">
        <v>82</v>
      </c>
      <c r="CF1" s="145" t="s">
        <v>83</v>
      </c>
      <c r="CG1" s="145" t="s">
        <v>84</v>
      </c>
      <c r="CH1" s="145" t="s">
        <v>85</v>
      </c>
      <c r="CI1" s="145" t="s">
        <v>86</v>
      </c>
      <c r="CJ1" s="145" t="s">
        <v>87</v>
      </c>
      <c r="CK1" s="145" t="s">
        <v>88</v>
      </c>
      <c r="CL1" s="145" t="s">
        <v>89</v>
      </c>
      <c r="CM1" s="145" t="s">
        <v>90</v>
      </c>
      <c r="CN1" s="145" t="s">
        <v>91</v>
      </c>
      <c r="CO1" s="145" t="s">
        <v>92</v>
      </c>
      <c r="CP1" s="145" t="s">
        <v>93</v>
      </c>
      <c r="CQ1" s="145" t="s">
        <v>94</v>
      </c>
      <c r="CR1" s="145" t="s">
        <v>95</v>
      </c>
      <c r="CS1" s="145" t="s">
        <v>96</v>
      </c>
      <c r="CT1" s="145" t="s">
        <v>97</v>
      </c>
    </row>
    <row r="2" spans="1:98">
      <c r="A2" s="2" t="s">
        <v>98</v>
      </c>
      <c r="B2" s="3"/>
      <c r="C2" s="3"/>
      <c r="D2" s="3"/>
      <c r="E2" s="3"/>
      <c r="F2" s="3"/>
      <c r="G2" s="3"/>
      <c r="H2" s="3"/>
      <c r="I2" s="3"/>
      <c r="J2" s="3"/>
      <c r="K2" s="3"/>
      <c r="L2" s="3"/>
      <c r="M2" s="3"/>
      <c r="N2" s="3">
        <v>141.30000000000001</v>
      </c>
      <c r="O2" s="3">
        <v>153.1</v>
      </c>
      <c r="P2" s="3">
        <v>154.80000000000001</v>
      </c>
      <c r="Q2" s="3">
        <v>155.69999999999999</v>
      </c>
      <c r="R2" s="3">
        <v>156</v>
      </c>
      <c r="S2" s="3">
        <v>171.6</v>
      </c>
      <c r="T2" s="3">
        <v>173.8</v>
      </c>
      <c r="U2" s="3">
        <v>178.7</v>
      </c>
      <c r="V2" s="3">
        <v>183.1</v>
      </c>
      <c r="W2" s="3">
        <v>203.3</v>
      </c>
      <c r="X2" s="3">
        <v>205.2</v>
      </c>
      <c r="Y2" s="3">
        <v>209.4</v>
      </c>
      <c r="Z2" s="3">
        <v>210.8</v>
      </c>
      <c r="AA2" s="3">
        <v>225.1</v>
      </c>
      <c r="AB2" s="3">
        <v>227.9</v>
      </c>
      <c r="AC2" s="3">
        <v>232.7</v>
      </c>
      <c r="AD2" s="3">
        <v>236</v>
      </c>
      <c r="AE2" s="3">
        <v>253.3</v>
      </c>
      <c r="AF2" s="3">
        <v>255.4</v>
      </c>
      <c r="AG2" s="3">
        <v>258</v>
      </c>
      <c r="AH2" s="3">
        <v>267.39999999999998</v>
      </c>
      <c r="AI2" s="3">
        <v>283.89999999999998</v>
      </c>
      <c r="AJ2" s="3">
        <v>289.39999999999998</v>
      </c>
      <c r="AK2" s="3">
        <v>298.2</v>
      </c>
      <c r="AL2" s="3">
        <v>304.8</v>
      </c>
      <c r="AM2" s="3">
        <v>335.8</v>
      </c>
      <c r="AN2" s="3">
        <v>350.8</v>
      </c>
      <c r="AO2" s="3">
        <v>376.3</v>
      </c>
      <c r="AP2" s="3">
        <v>386.6</v>
      </c>
      <c r="AQ2" s="3">
        <v>432.5</v>
      </c>
      <c r="AR2" s="3">
        <v>441.4</v>
      </c>
      <c r="AS2" s="3">
        <v>450.5</v>
      </c>
      <c r="AT2" s="3">
        <v>460.9</v>
      </c>
      <c r="AU2" s="3">
        <v>526.70000000000005</v>
      </c>
      <c r="AV2" s="3">
        <v>536.29999999999995</v>
      </c>
      <c r="AW2" s="3">
        <v>543.79999999999995</v>
      </c>
      <c r="AX2" s="3">
        <v>551.70000000000005</v>
      </c>
      <c r="AY2" s="3">
        <v>605.79999999999995</v>
      </c>
      <c r="AZ2" s="3">
        <v>610.6</v>
      </c>
      <c r="BA2" s="3">
        <v>614.4</v>
      </c>
      <c r="BB2" s="3">
        <v>618.4</v>
      </c>
      <c r="BC2" s="3">
        <v>667.6</v>
      </c>
      <c r="BD2" s="3">
        <v>673.8</v>
      </c>
      <c r="BE2" s="3">
        <v>680</v>
      </c>
      <c r="BF2" s="3">
        <v>686.2</v>
      </c>
      <c r="BG2" s="3">
        <v>742.7</v>
      </c>
      <c r="BH2" s="3">
        <v>747.8</v>
      </c>
      <c r="BI2" s="3">
        <v>758.2</v>
      </c>
      <c r="BJ2" s="3">
        <v>765</v>
      </c>
      <c r="BK2" s="3">
        <v>874.6</v>
      </c>
      <c r="BL2" s="3">
        <v>966</v>
      </c>
      <c r="BM2" s="3">
        <v>923.4</v>
      </c>
      <c r="BN2" s="3">
        <v>996.6</v>
      </c>
      <c r="BO2" s="3">
        <v>937.2</v>
      </c>
      <c r="BP2" s="3">
        <v>950.7</v>
      </c>
      <c r="BQ2" s="3">
        <v>1195.5</v>
      </c>
      <c r="BR2" s="3">
        <v>1254</v>
      </c>
      <c r="BS2" s="3">
        <v>1281.5</v>
      </c>
      <c r="BT2" s="3">
        <v>1318.9</v>
      </c>
      <c r="BU2" s="3">
        <v>1583.8</v>
      </c>
      <c r="BV2" s="3">
        <v>2010.8</v>
      </c>
      <c r="BW2" s="3">
        <v>1746.8</v>
      </c>
      <c r="BX2" s="3">
        <v>2115.1999999999998</v>
      </c>
      <c r="BY2" s="3">
        <v>1772.1</v>
      </c>
      <c r="BZ2" s="3">
        <v>1825.3</v>
      </c>
      <c r="CA2" s="3">
        <v>2756.1</v>
      </c>
      <c r="CB2" s="3">
        <v>2920</v>
      </c>
      <c r="CC2" s="3">
        <v>2930.4</v>
      </c>
      <c r="CD2" s="3">
        <v>2967.4</v>
      </c>
      <c r="CE2" s="3">
        <v>3867.4</v>
      </c>
      <c r="CF2" s="3">
        <v>3957.9</v>
      </c>
      <c r="CG2" s="3">
        <v>4062.4</v>
      </c>
      <c r="CH2" s="3">
        <v>4304.7</v>
      </c>
      <c r="CI2" s="3">
        <v>4304.7</v>
      </c>
      <c r="CJ2" s="3">
        <v>4304.7</v>
      </c>
      <c r="CK2" s="3">
        <v>5282.8</v>
      </c>
      <c r="CL2" s="3">
        <v>5489.3</v>
      </c>
      <c r="CM2" s="3">
        <v>5623.2</v>
      </c>
      <c r="CN2" s="3">
        <v>5786.5</v>
      </c>
      <c r="CO2" s="3">
        <v>7127</v>
      </c>
      <c r="CP2" s="3">
        <v>7443.4</v>
      </c>
      <c r="CQ2" s="3">
        <v>7443.4</v>
      </c>
      <c r="CR2" s="3">
        <v>7796.2</v>
      </c>
      <c r="CS2" s="3">
        <v>7870.7</v>
      </c>
      <c r="CT2" s="3">
        <v>7955.6</v>
      </c>
    </row>
    <row r="3" spans="1:98">
      <c r="A3" s="4" t="s">
        <v>99</v>
      </c>
      <c r="B3" s="5"/>
      <c r="C3" s="5"/>
      <c r="D3" s="5"/>
      <c r="E3" s="5"/>
      <c r="F3" s="5"/>
      <c r="G3" s="5"/>
      <c r="H3" s="5"/>
      <c r="I3" s="5"/>
      <c r="J3" s="5"/>
      <c r="K3" s="5"/>
      <c r="L3" s="5"/>
      <c r="M3" s="5"/>
      <c r="N3" s="5">
        <v>138.5</v>
      </c>
      <c r="O3" s="5">
        <v>168.3</v>
      </c>
      <c r="P3" s="5">
        <v>201.5</v>
      </c>
      <c r="Q3" s="5">
        <v>214.8</v>
      </c>
      <c r="R3" s="5">
        <v>220.4</v>
      </c>
      <c r="S3" s="5">
        <v>236.2</v>
      </c>
      <c r="T3" s="5">
        <v>220.6</v>
      </c>
      <c r="U3" s="5">
        <v>248.3</v>
      </c>
      <c r="V3" s="5">
        <v>275</v>
      </c>
      <c r="W3" s="5">
        <v>347.1</v>
      </c>
      <c r="X3" s="5">
        <v>396</v>
      </c>
      <c r="Y3" s="5">
        <v>270.60000000000002</v>
      </c>
      <c r="Z3" s="5">
        <v>219.9</v>
      </c>
      <c r="AA3" s="5">
        <v>202.4</v>
      </c>
      <c r="AB3" s="5">
        <v>210.3</v>
      </c>
      <c r="AC3" s="5">
        <v>205.2</v>
      </c>
      <c r="AD3" s="5">
        <v>240.2</v>
      </c>
      <c r="AE3" s="5">
        <v>264.2</v>
      </c>
      <c r="AF3" s="5">
        <v>272.60000000000002</v>
      </c>
      <c r="AG3" s="5">
        <v>297</v>
      </c>
      <c r="AH3" s="5">
        <v>291.8</v>
      </c>
      <c r="AI3" s="5">
        <v>298.3</v>
      </c>
      <c r="AJ3" s="5">
        <v>316.2</v>
      </c>
      <c r="AK3" s="5">
        <v>328.6</v>
      </c>
      <c r="AL3" s="5">
        <v>384.3</v>
      </c>
      <c r="AM3" s="5">
        <v>442.5</v>
      </c>
      <c r="AN3" s="5">
        <v>553.1</v>
      </c>
      <c r="AO3" s="5">
        <v>635.9</v>
      </c>
      <c r="AP3" s="5">
        <v>635.1</v>
      </c>
      <c r="AQ3" s="5">
        <v>639</v>
      </c>
      <c r="AR3" s="5">
        <v>638.20000000000005</v>
      </c>
      <c r="AS3" s="5">
        <v>627.29999999999995</v>
      </c>
      <c r="AT3" s="5">
        <v>588</v>
      </c>
      <c r="AU3" s="5">
        <v>639.79999999999995</v>
      </c>
      <c r="AV3" s="5">
        <v>622.20000000000005</v>
      </c>
      <c r="AW3" s="5">
        <v>619.6</v>
      </c>
      <c r="AX3" s="5">
        <v>571.5</v>
      </c>
      <c r="AY3" s="5">
        <v>541.1</v>
      </c>
      <c r="AZ3" s="5">
        <v>525.5</v>
      </c>
      <c r="BA3" s="5">
        <v>495.2</v>
      </c>
      <c r="BB3" s="5">
        <v>457.2</v>
      </c>
      <c r="BC3" s="5">
        <v>546.29999999999995</v>
      </c>
      <c r="BD3" s="5">
        <v>546.1</v>
      </c>
      <c r="BE3" s="5">
        <v>577.29999999999995</v>
      </c>
      <c r="BF3" s="5">
        <v>565.5</v>
      </c>
      <c r="BG3" s="5">
        <v>583.79999999999995</v>
      </c>
      <c r="BH3" s="5">
        <v>717.8</v>
      </c>
      <c r="BI3" s="5">
        <v>742.1</v>
      </c>
      <c r="BJ3" s="5">
        <v>786.9</v>
      </c>
      <c r="BK3" s="5">
        <v>973.9</v>
      </c>
      <c r="BL3" s="5">
        <v>1370.1</v>
      </c>
      <c r="BM3" s="5">
        <v>1105.8</v>
      </c>
      <c r="BN3" s="5">
        <v>1357.5</v>
      </c>
      <c r="BO3" s="5">
        <v>1432.9</v>
      </c>
      <c r="BP3" s="5">
        <v>1491.8</v>
      </c>
      <c r="BQ3" s="5">
        <v>1601.9</v>
      </c>
      <c r="BR3" s="5">
        <v>1413.6</v>
      </c>
      <c r="BS3" s="5">
        <v>1472.4</v>
      </c>
      <c r="BT3" s="5">
        <v>1854.8</v>
      </c>
      <c r="BU3" s="5">
        <v>2092.6999999999998</v>
      </c>
      <c r="BV3" s="5">
        <v>3842.1</v>
      </c>
      <c r="BW3" s="5">
        <v>3189</v>
      </c>
      <c r="BX3" s="5">
        <v>4084.4</v>
      </c>
      <c r="BY3" s="5">
        <v>3502.1</v>
      </c>
      <c r="BZ3" s="5">
        <v>3644.4</v>
      </c>
      <c r="CA3" s="5">
        <v>4507</v>
      </c>
      <c r="CB3" s="5">
        <v>5256.1</v>
      </c>
      <c r="CC3" s="5">
        <v>5090.5</v>
      </c>
      <c r="CD3" s="5">
        <v>4997.6000000000004</v>
      </c>
      <c r="CE3" s="5">
        <v>5795.9</v>
      </c>
      <c r="CF3" s="5">
        <v>5299</v>
      </c>
      <c r="CG3" s="5">
        <v>5302.5</v>
      </c>
      <c r="CH3" s="5">
        <v>6275.8</v>
      </c>
      <c r="CI3" s="5">
        <v>7040.3</v>
      </c>
      <c r="CJ3" s="5">
        <v>8327.2999999999993</v>
      </c>
      <c r="CK3" s="5">
        <v>8389.7999999999993</v>
      </c>
      <c r="CL3" s="5">
        <v>7925.1</v>
      </c>
      <c r="CM3" s="5">
        <v>7615.6</v>
      </c>
      <c r="CN3" s="5">
        <v>7992.2</v>
      </c>
      <c r="CO3" s="5">
        <v>8902.7000000000007</v>
      </c>
      <c r="CP3" s="5">
        <v>9352.7999999999993</v>
      </c>
      <c r="CQ3" s="5">
        <v>9655.2000000000007</v>
      </c>
      <c r="CR3" s="5">
        <v>10182.1</v>
      </c>
      <c r="CS3" s="5">
        <v>10761.5</v>
      </c>
      <c r="CT3" s="5">
        <v>11733.4</v>
      </c>
    </row>
    <row r="4" spans="1:98">
      <c r="A4" s="2" t="s">
        <v>100</v>
      </c>
      <c r="B4" s="3"/>
      <c r="C4" s="3"/>
      <c r="D4" s="3"/>
      <c r="E4" s="3"/>
      <c r="F4" s="3"/>
      <c r="G4" s="3"/>
      <c r="H4" s="3"/>
      <c r="I4" s="3"/>
      <c r="J4" s="3"/>
      <c r="K4" s="3"/>
      <c r="L4" s="3"/>
      <c r="M4" s="3"/>
      <c r="N4" s="3">
        <v>171.2</v>
      </c>
      <c r="O4" s="3">
        <v>175.4</v>
      </c>
      <c r="P4" s="3">
        <v>175.8</v>
      </c>
      <c r="Q4" s="3">
        <v>178</v>
      </c>
      <c r="R4" s="3">
        <v>178.1</v>
      </c>
      <c r="S4" s="3">
        <v>188.8</v>
      </c>
      <c r="T4" s="3">
        <v>190.1</v>
      </c>
      <c r="U4" s="3">
        <v>194.8</v>
      </c>
      <c r="V4" s="3">
        <v>198.3</v>
      </c>
      <c r="W4" s="3">
        <v>216.7</v>
      </c>
      <c r="X4" s="3">
        <v>239.4</v>
      </c>
      <c r="Y4" s="3">
        <v>238.2</v>
      </c>
      <c r="Z4" s="3">
        <v>238.3</v>
      </c>
      <c r="AA4" s="3">
        <v>242.9</v>
      </c>
      <c r="AB4" s="3">
        <v>245</v>
      </c>
      <c r="AC4" s="3">
        <v>245.7</v>
      </c>
      <c r="AD4" s="3">
        <v>246.3</v>
      </c>
      <c r="AE4" s="3">
        <v>254.1</v>
      </c>
      <c r="AF4" s="3">
        <v>254.8</v>
      </c>
      <c r="AG4" s="3">
        <v>257.3</v>
      </c>
      <c r="AH4" s="3">
        <v>292.7</v>
      </c>
      <c r="AI4" s="3">
        <v>296.8</v>
      </c>
      <c r="AJ4" s="3">
        <v>319.3</v>
      </c>
      <c r="AK4" s="3">
        <v>333.9</v>
      </c>
      <c r="AL4" s="3">
        <v>342.6</v>
      </c>
      <c r="AM4" s="3">
        <v>359.2</v>
      </c>
      <c r="AN4" s="3">
        <v>373.8</v>
      </c>
      <c r="AO4" s="3">
        <v>426.3</v>
      </c>
      <c r="AP4" s="3">
        <v>437.7</v>
      </c>
      <c r="AQ4" s="3">
        <v>475.1</v>
      </c>
      <c r="AR4" s="3">
        <v>498.1</v>
      </c>
      <c r="AS4" s="3">
        <v>508.5</v>
      </c>
      <c r="AT4" s="3">
        <v>513.4</v>
      </c>
      <c r="AU4" s="3">
        <v>545.5</v>
      </c>
      <c r="AV4" s="3">
        <v>584.20000000000005</v>
      </c>
      <c r="AW4" s="3">
        <v>577.6</v>
      </c>
      <c r="AX4" s="3">
        <v>581.1</v>
      </c>
      <c r="AY4" s="3">
        <v>603.70000000000005</v>
      </c>
      <c r="AZ4" s="3">
        <v>605.5</v>
      </c>
      <c r="BA4" s="3">
        <v>597.70000000000005</v>
      </c>
      <c r="BB4" s="3">
        <v>598.4</v>
      </c>
      <c r="BC4" s="3">
        <v>617.6</v>
      </c>
      <c r="BD4" s="3">
        <v>626.20000000000005</v>
      </c>
      <c r="BE4" s="3">
        <v>655.20000000000005</v>
      </c>
      <c r="BF4" s="3">
        <v>664.6</v>
      </c>
      <c r="BG4" s="3">
        <v>709.5</v>
      </c>
      <c r="BH4" s="3">
        <v>710.7</v>
      </c>
      <c r="BI4" s="3">
        <v>722.3</v>
      </c>
      <c r="BJ4" s="3">
        <v>728.9</v>
      </c>
      <c r="BK4" s="3">
        <v>820.5</v>
      </c>
      <c r="BL4" s="3">
        <v>982.4</v>
      </c>
      <c r="BM4" s="3">
        <v>875.5</v>
      </c>
      <c r="BN4" s="3">
        <v>1008.4</v>
      </c>
      <c r="BO4" s="3">
        <v>931.3</v>
      </c>
      <c r="BP4" s="3">
        <v>952.4</v>
      </c>
      <c r="BQ4" s="3">
        <v>1112.9000000000001</v>
      </c>
      <c r="BR4" s="3">
        <v>1258.7</v>
      </c>
      <c r="BS4" s="3">
        <v>1330.4</v>
      </c>
      <c r="BT4" s="3">
        <v>1377.4</v>
      </c>
      <c r="BU4" s="3">
        <v>1580.1</v>
      </c>
      <c r="BV4" s="3">
        <v>2231.3000000000002</v>
      </c>
      <c r="BW4" s="3">
        <v>1813.9</v>
      </c>
      <c r="BX4" s="3">
        <v>2324.6999999999998</v>
      </c>
      <c r="BY4" s="3">
        <v>1849.4</v>
      </c>
      <c r="BZ4" s="3">
        <v>1954.8</v>
      </c>
      <c r="CA4" s="3">
        <v>2973.4</v>
      </c>
      <c r="CB4" s="3">
        <v>3555.8</v>
      </c>
      <c r="CC4" s="3">
        <v>3417.1</v>
      </c>
      <c r="CD4" s="3">
        <v>3539.5</v>
      </c>
      <c r="CE4" s="3">
        <v>4290.3</v>
      </c>
      <c r="CF4" s="3">
        <v>4533.3999999999996</v>
      </c>
      <c r="CG4" s="3">
        <v>4743.3999999999996</v>
      </c>
      <c r="CH4" s="3">
        <v>4979.8999999999996</v>
      </c>
      <c r="CI4" s="3">
        <v>5014.5</v>
      </c>
      <c r="CJ4" s="3">
        <v>5390.1</v>
      </c>
      <c r="CK4" s="3">
        <v>6232.2</v>
      </c>
      <c r="CL4" s="3">
        <v>6688.7</v>
      </c>
      <c r="CM4" s="3">
        <v>6981.4</v>
      </c>
      <c r="CN4" s="3">
        <v>7099.6</v>
      </c>
      <c r="CO4" s="3">
        <v>8299</v>
      </c>
      <c r="CP4" s="3">
        <v>9345.5</v>
      </c>
      <c r="CQ4" s="3">
        <v>9450.7000000000007</v>
      </c>
      <c r="CR4" s="3">
        <v>9964</v>
      </c>
      <c r="CS4" s="3">
        <v>10309.4</v>
      </c>
      <c r="CT4" s="3">
        <v>10668.9</v>
      </c>
    </row>
    <row r="5" spans="1:98">
      <c r="A5" s="4" t="s">
        <v>101</v>
      </c>
      <c r="B5" s="5"/>
      <c r="C5" s="5"/>
      <c r="D5" s="5"/>
      <c r="E5" s="5"/>
      <c r="F5" s="5"/>
      <c r="G5" s="5"/>
      <c r="H5" s="5"/>
      <c r="I5" s="5"/>
      <c r="J5" s="5"/>
      <c r="K5" s="5"/>
      <c r="L5" s="5"/>
      <c r="M5" s="5"/>
      <c r="N5" s="5">
        <v>158.4</v>
      </c>
      <c r="O5" s="5">
        <v>173.6</v>
      </c>
      <c r="P5" s="5">
        <v>175.8</v>
      </c>
      <c r="Q5" s="5">
        <v>178.2</v>
      </c>
      <c r="R5" s="5">
        <v>178.8</v>
      </c>
      <c r="S5" s="5">
        <v>198.1</v>
      </c>
      <c r="T5" s="5">
        <v>201.2</v>
      </c>
      <c r="U5" s="5">
        <v>208.5</v>
      </c>
      <c r="V5" s="5">
        <v>213</v>
      </c>
      <c r="W5" s="5">
        <v>236.9</v>
      </c>
      <c r="X5" s="5">
        <v>240.9</v>
      </c>
      <c r="Y5" s="5">
        <v>245</v>
      </c>
      <c r="Z5" s="5">
        <v>245.6</v>
      </c>
      <c r="AA5" s="5">
        <v>265.8</v>
      </c>
      <c r="AB5" s="5">
        <v>268.3</v>
      </c>
      <c r="AC5" s="5">
        <v>272.7</v>
      </c>
      <c r="AD5" s="5">
        <v>276.5</v>
      </c>
      <c r="AE5" s="5">
        <v>295.60000000000002</v>
      </c>
      <c r="AF5" s="5">
        <v>297.39999999999998</v>
      </c>
      <c r="AG5" s="5">
        <v>304.7</v>
      </c>
      <c r="AH5" s="5">
        <v>313.8</v>
      </c>
      <c r="AI5" s="5">
        <v>336.1</v>
      </c>
      <c r="AJ5" s="5">
        <v>343</v>
      </c>
      <c r="AK5" s="5">
        <v>350</v>
      </c>
      <c r="AL5" s="5">
        <v>354</v>
      </c>
      <c r="AM5" s="5">
        <v>397.1</v>
      </c>
      <c r="AN5" s="5">
        <v>412.5</v>
      </c>
      <c r="AO5" s="5">
        <v>443.7</v>
      </c>
      <c r="AP5" s="5">
        <v>451.2</v>
      </c>
      <c r="AQ5" s="5">
        <v>509.3</v>
      </c>
      <c r="AR5" s="5">
        <v>517.70000000000005</v>
      </c>
      <c r="AS5" s="5">
        <v>533.29999999999995</v>
      </c>
      <c r="AT5" s="5">
        <v>543.6</v>
      </c>
      <c r="AU5" s="5">
        <v>630.4</v>
      </c>
      <c r="AV5" s="5">
        <v>641.79999999999995</v>
      </c>
      <c r="AW5" s="5">
        <v>651.9</v>
      </c>
      <c r="AX5" s="5">
        <v>661.6</v>
      </c>
      <c r="AY5" s="5">
        <v>727.5</v>
      </c>
      <c r="AZ5" s="5">
        <v>733.5</v>
      </c>
      <c r="BA5" s="5">
        <v>739.3</v>
      </c>
      <c r="BB5" s="5">
        <v>745.1</v>
      </c>
      <c r="BC5" s="5">
        <v>802.5</v>
      </c>
      <c r="BD5" s="5">
        <v>809.5</v>
      </c>
      <c r="BE5" s="5">
        <v>816.9</v>
      </c>
      <c r="BF5" s="5">
        <v>824</v>
      </c>
      <c r="BG5" s="5">
        <v>897.4</v>
      </c>
      <c r="BH5" s="5">
        <v>900.5</v>
      </c>
      <c r="BI5" s="5">
        <v>916.9</v>
      </c>
      <c r="BJ5" s="5">
        <v>925</v>
      </c>
      <c r="BK5" s="5">
        <v>1059.4000000000001</v>
      </c>
      <c r="BL5" s="5">
        <v>1131.7</v>
      </c>
      <c r="BM5" s="5">
        <v>1100.9000000000001</v>
      </c>
      <c r="BN5" s="5">
        <v>1156.8</v>
      </c>
      <c r="BO5" s="5">
        <v>1105.0999999999999</v>
      </c>
      <c r="BP5" s="5">
        <v>1109.2</v>
      </c>
      <c r="BQ5" s="5">
        <v>1425.6</v>
      </c>
      <c r="BR5" s="5">
        <v>1483.3</v>
      </c>
      <c r="BS5" s="5">
        <v>1505.1</v>
      </c>
      <c r="BT5" s="5">
        <v>1537.8</v>
      </c>
      <c r="BU5" s="5">
        <v>1906.2</v>
      </c>
      <c r="BV5" s="5">
        <v>2291.8000000000002</v>
      </c>
      <c r="BW5" s="5">
        <v>2075.6999999999998</v>
      </c>
      <c r="BX5" s="5">
        <v>2441.8000000000002</v>
      </c>
      <c r="BY5" s="5">
        <v>2082.8000000000002</v>
      </c>
      <c r="BZ5" s="5">
        <v>2097.4</v>
      </c>
      <c r="CA5" s="5">
        <v>3209.5</v>
      </c>
      <c r="CB5" s="5">
        <v>3345.3</v>
      </c>
      <c r="CC5" s="5">
        <v>3371.9</v>
      </c>
      <c r="CD5" s="5">
        <v>3395.3</v>
      </c>
      <c r="CE5" s="5">
        <v>4319.8</v>
      </c>
      <c r="CF5" s="5">
        <v>4387</v>
      </c>
      <c r="CG5" s="5">
        <v>4770.7</v>
      </c>
      <c r="CH5" s="5">
        <v>4953.3999999999996</v>
      </c>
      <c r="CI5" s="5">
        <v>4957</v>
      </c>
      <c r="CJ5" s="5">
        <v>4958.5</v>
      </c>
      <c r="CK5" s="5">
        <v>6093.2</v>
      </c>
      <c r="CL5" s="5">
        <v>6274.5</v>
      </c>
      <c r="CM5" s="5">
        <v>6494.7</v>
      </c>
      <c r="CN5" s="5">
        <v>6642.9</v>
      </c>
      <c r="CO5" s="5">
        <v>8254.9</v>
      </c>
      <c r="CP5" s="5">
        <v>8563.7999999999993</v>
      </c>
      <c r="CQ5" s="5">
        <v>8684.4</v>
      </c>
      <c r="CR5" s="5">
        <v>9018.2000000000007</v>
      </c>
      <c r="CS5" s="5">
        <v>9088.6</v>
      </c>
      <c r="CT5" s="5">
        <v>9173.2000000000007</v>
      </c>
    </row>
    <row r="6" spans="1:98">
      <c r="A6" s="2" t="s">
        <v>102</v>
      </c>
      <c r="B6" s="3"/>
      <c r="C6" s="3"/>
      <c r="D6" s="3"/>
      <c r="E6" s="3"/>
      <c r="F6" s="3"/>
      <c r="G6" s="3"/>
      <c r="H6" s="3"/>
      <c r="I6" s="3"/>
      <c r="J6" s="3"/>
      <c r="K6" s="3"/>
      <c r="L6" s="3"/>
      <c r="M6" s="3"/>
      <c r="N6" s="3">
        <v>127.2</v>
      </c>
      <c r="O6" s="3">
        <v>130.80000000000001</v>
      </c>
      <c r="P6" s="3">
        <v>131.1</v>
      </c>
      <c r="Q6" s="3">
        <v>132.19999999999999</v>
      </c>
      <c r="R6" s="3">
        <v>132.30000000000001</v>
      </c>
      <c r="S6" s="3">
        <v>150.69999999999999</v>
      </c>
      <c r="T6" s="3">
        <v>151.4</v>
      </c>
      <c r="U6" s="3">
        <v>153.30000000000001</v>
      </c>
      <c r="V6" s="3">
        <v>154.4</v>
      </c>
      <c r="W6" s="3">
        <v>264.7</v>
      </c>
      <c r="X6" s="3">
        <v>312.60000000000002</v>
      </c>
      <c r="Y6" s="3">
        <v>313.89999999999998</v>
      </c>
      <c r="Z6" s="3">
        <v>287.8</v>
      </c>
      <c r="AA6" s="3">
        <v>271.10000000000002</v>
      </c>
      <c r="AB6" s="3">
        <v>293.89999999999998</v>
      </c>
      <c r="AC6" s="3">
        <v>328.1</v>
      </c>
      <c r="AD6" s="3">
        <v>331.4</v>
      </c>
      <c r="AE6" s="3">
        <v>338.2</v>
      </c>
      <c r="AF6" s="3">
        <v>333.3</v>
      </c>
      <c r="AG6" s="3">
        <v>347.6</v>
      </c>
      <c r="AH6" s="3">
        <v>390.8</v>
      </c>
      <c r="AI6" s="3">
        <v>453.8</v>
      </c>
      <c r="AJ6" s="3">
        <v>474.6</v>
      </c>
      <c r="AK6" s="3">
        <v>491.7</v>
      </c>
      <c r="AL6" s="3">
        <v>535.70000000000005</v>
      </c>
      <c r="AM6" s="3">
        <v>589</v>
      </c>
      <c r="AN6" s="3">
        <v>581.20000000000005</v>
      </c>
      <c r="AO6" s="3">
        <v>598.6</v>
      </c>
      <c r="AP6" s="3">
        <v>861</v>
      </c>
      <c r="AQ6" s="3">
        <v>969</v>
      </c>
      <c r="AR6" s="3">
        <v>968</v>
      </c>
      <c r="AS6" s="3">
        <v>988.2</v>
      </c>
      <c r="AT6" s="3">
        <v>975.5</v>
      </c>
      <c r="AU6" s="3">
        <v>1019</v>
      </c>
      <c r="AV6" s="3">
        <v>1067.5</v>
      </c>
      <c r="AW6" s="3">
        <v>957.3</v>
      </c>
      <c r="AX6" s="3">
        <v>857.6</v>
      </c>
      <c r="AY6" s="3">
        <v>866.1</v>
      </c>
      <c r="AZ6" s="3">
        <v>856.8</v>
      </c>
      <c r="BA6" s="3">
        <v>794.8</v>
      </c>
      <c r="BB6" s="3">
        <v>654.4</v>
      </c>
      <c r="BC6" s="3">
        <v>687.4</v>
      </c>
      <c r="BD6" s="3">
        <v>729.1</v>
      </c>
      <c r="BE6" s="3">
        <v>793.5</v>
      </c>
      <c r="BF6" s="3">
        <v>874.6</v>
      </c>
      <c r="BG6" s="3">
        <v>884.4</v>
      </c>
      <c r="BH6" s="3">
        <v>890.6</v>
      </c>
      <c r="BI6" s="3">
        <v>990.1</v>
      </c>
      <c r="BJ6" s="3">
        <v>1143.9000000000001</v>
      </c>
      <c r="BK6" s="3">
        <v>1279.5</v>
      </c>
      <c r="BL6" s="3">
        <v>2224.1999999999998</v>
      </c>
      <c r="BM6" s="3">
        <v>1448.7</v>
      </c>
      <c r="BN6" s="3">
        <v>1926</v>
      </c>
      <c r="BO6" s="3">
        <v>1572.8</v>
      </c>
      <c r="BP6" s="3">
        <v>2144.1</v>
      </c>
      <c r="BQ6" s="3">
        <v>2300.6</v>
      </c>
      <c r="BR6" s="3">
        <v>2106.6999999999998</v>
      </c>
      <c r="BS6" s="3">
        <v>1980.8</v>
      </c>
      <c r="BT6" s="3">
        <v>1992.2</v>
      </c>
      <c r="BU6" s="3">
        <v>1908.9</v>
      </c>
      <c r="BV6" s="3">
        <v>3454.7</v>
      </c>
      <c r="BW6" s="3">
        <v>2535.6</v>
      </c>
      <c r="BX6" s="3">
        <v>4211.7</v>
      </c>
      <c r="BY6" s="3">
        <v>2740.7</v>
      </c>
      <c r="BZ6" s="3">
        <v>2940</v>
      </c>
      <c r="CA6" s="3">
        <v>4571.8999999999996</v>
      </c>
      <c r="CB6" s="3">
        <v>4812.7</v>
      </c>
      <c r="CC6" s="3">
        <v>5750.5</v>
      </c>
      <c r="CD6" s="3">
        <v>6285.3</v>
      </c>
      <c r="CE6" s="3">
        <v>7453.3</v>
      </c>
      <c r="CF6" s="3">
        <v>6563.9</v>
      </c>
      <c r="CG6" s="3">
        <v>7143.6</v>
      </c>
      <c r="CH6" s="3">
        <v>7614.1</v>
      </c>
      <c r="CI6" s="3">
        <v>8259.2999999999993</v>
      </c>
      <c r="CJ6" s="3">
        <v>9782.2000000000007</v>
      </c>
      <c r="CK6" s="3">
        <v>9742.6</v>
      </c>
      <c r="CL6" s="3">
        <v>9731.4</v>
      </c>
      <c r="CM6" s="3">
        <v>9415.1</v>
      </c>
      <c r="CN6" s="3">
        <v>8984.1</v>
      </c>
      <c r="CO6" s="3">
        <v>10222</v>
      </c>
      <c r="CP6" s="3">
        <v>11088.4</v>
      </c>
      <c r="CQ6" s="3">
        <v>12794.9</v>
      </c>
      <c r="CR6" s="3">
        <v>14464.3</v>
      </c>
      <c r="CS6" s="3">
        <v>15802.6</v>
      </c>
      <c r="CT6" s="3">
        <v>16561.5</v>
      </c>
    </row>
    <row r="7" spans="1:98">
      <c r="A7" s="4" t="s">
        <v>103</v>
      </c>
      <c r="B7" s="5"/>
      <c r="C7" s="5"/>
      <c r="D7" s="5"/>
      <c r="E7" s="5"/>
      <c r="F7" s="5"/>
      <c r="G7" s="5"/>
      <c r="H7" s="5"/>
      <c r="I7" s="5"/>
      <c r="J7" s="5"/>
      <c r="K7" s="5"/>
      <c r="L7" s="5"/>
      <c r="M7" s="5"/>
      <c r="N7" s="5">
        <v>158.30000000000001</v>
      </c>
      <c r="O7" s="5">
        <v>163.80000000000001</v>
      </c>
      <c r="P7" s="5">
        <v>167.9</v>
      </c>
      <c r="Q7" s="5">
        <v>168.5</v>
      </c>
      <c r="R7" s="5">
        <v>168.7</v>
      </c>
      <c r="S7" s="5">
        <v>187.6</v>
      </c>
      <c r="T7" s="5">
        <v>191</v>
      </c>
      <c r="U7" s="5">
        <v>194</v>
      </c>
      <c r="V7" s="5">
        <v>199</v>
      </c>
      <c r="W7" s="5">
        <v>214.9</v>
      </c>
      <c r="X7" s="5">
        <v>218.9</v>
      </c>
      <c r="Y7" s="5">
        <v>216.9</v>
      </c>
      <c r="Z7" s="5">
        <v>216.9</v>
      </c>
      <c r="AA7" s="5">
        <v>218.6</v>
      </c>
      <c r="AB7" s="5">
        <v>219.1</v>
      </c>
      <c r="AC7" s="5">
        <v>232.1</v>
      </c>
      <c r="AD7" s="5">
        <v>233.2</v>
      </c>
      <c r="AE7" s="5">
        <v>254.2</v>
      </c>
      <c r="AF7" s="5">
        <v>254.2</v>
      </c>
      <c r="AG7" s="5">
        <v>254.2</v>
      </c>
      <c r="AH7" s="5">
        <v>292.3</v>
      </c>
      <c r="AI7" s="5">
        <v>298.2</v>
      </c>
      <c r="AJ7" s="5">
        <v>306.89999999999998</v>
      </c>
      <c r="AK7" s="5">
        <v>324.5</v>
      </c>
      <c r="AL7" s="5">
        <v>344.9</v>
      </c>
      <c r="AM7" s="5">
        <v>379.4</v>
      </c>
      <c r="AN7" s="5">
        <v>396.7</v>
      </c>
      <c r="AO7" s="5">
        <v>414</v>
      </c>
      <c r="AP7" s="5">
        <v>431.2</v>
      </c>
      <c r="AQ7" s="5">
        <v>496.3</v>
      </c>
      <c r="AR7" s="5">
        <v>522.6</v>
      </c>
      <c r="AS7" s="5">
        <v>523.9</v>
      </c>
      <c r="AT7" s="5">
        <v>523.9</v>
      </c>
      <c r="AU7" s="5">
        <v>568.4</v>
      </c>
      <c r="AV7" s="5">
        <v>581.5</v>
      </c>
      <c r="AW7" s="5">
        <v>582.5</v>
      </c>
      <c r="AX7" s="5">
        <v>583.20000000000005</v>
      </c>
      <c r="AY7" s="5">
        <v>600.6</v>
      </c>
      <c r="AZ7" s="5">
        <v>615.20000000000005</v>
      </c>
      <c r="BA7" s="5">
        <v>628.20000000000005</v>
      </c>
      <c r="BB7" s="5">
        <v>628.20000000000005</v>
      </c>
      <c r="BC7" s="5">
        <v>628.20000000000005</v>
      </c>
      <c r="BD7" s="5">
        <v>663</v>
      </c>
      <c r="BE7" s="5">
        <v>686</v>
      </c>
      <c r="BF7" s="5">
        <v>692.3</v>
      </c>
      <c r="BG7" s="5">
        <v>726.9</v>
      </c>
      <c r="BH7" s="5">
        <v>747.7</v>
      </c>
      <c r="BI7" s="5">
        <v>754.6</v>
      </c>
      <c r="BJ7" s="5">
        <v>761.5</v>
      </c>
      <c r="BK7" s="5">
        <v>845.3</v>
      </c>
      <c r="BL7" s="5">
        <v>1111.8</v>
      </c>
      <c r="BM7" s="5">
        <v>929.1</v>
      </c>
      <c r="BN7" s="5">
        <v>1229.9000000000001</v>
      </c>
      <c r="BO7" s="5">
        <v>1028.0999999999999</v>
      </c>
      <c r="BP7" s="5">
        <v>1054.8</v>
      </c>
      <c r="BQ7" s="5">
        <v>1408.2</v>
      </c>
      <c r="BR7" s="5">
        <v>1512.8</v>
      </c>
      <c r="BS7" s="5">
        <v>1776.5</v>
      </c>
      <c r="BT7" s="5">
        <v>1881.6</v>
      </c>
      <c r="BU7" s="5">
        <v>2376.5</v>
      </c>
      <c r="BV7" s="5">
        <v>3386.9</v>
      </c>
      <c r="BW7" s="5">
        <v>2897.7</v>
      </c>
      <c r="BX7" s="5">
        <v>3546.8</v>
      </c>
      <c r="BY7" s="5">
        <v>2973</v>
      </c>
      <c r="BZ7" s="5">
        <v>3198.8</v>
      </c>
      <c r="CA7" s="5">
        <v>4664</v>
      </c>
      <c r="CB7" s="5">
        <v>4912.3</v>
      </c>
      <c r="CC7" s="5">
        <v>5001</v>
      </c>
      <c r="CD7" s="5">
        <v>5107.3</v>
      </c>
      <c r="CE7" s="5">
        <v>6358.6</v>
      </c>
      <c r="CF7" s="5">
        <v>6578.3</v>
      </c>
      <c r="CG7" s="5">
        <v>7048</v>
      </c>
      <c r="CH7" s="5">
        <v>7441.4</v>
      </c>
      <c r="CI7" s="5">
        <v>7563.9</v>
      </c>
      <c r="CJ7" s="5">
        <v>7686.5</v>
      </c>
      <c r="CK7" s="5">
        <v>9123.9</v>
      </c>
      <c r="CL7" s="5">
        <v>9692.7000000000007</v>
      </c>
      <c r="CM7" s="5">
        <v>10238.4</v>
      </c>
      <c r="CN7" s="5">
        <v>10415.200000000001</v>
      </c>
      <c r="CO7" s="5">
        <v>12144.1</v>
      </c>
      <c r="CP7" s="5">
        <v>12654.5</v>
      </c>
      <c r="CQ7" s="5">
        <v>13019</v>
      </c>
      <c r="CR7" s="5">
        <v>14112.6</v>
      </c>
      <c r="CS7" s="5">
        <v>14300.1</v>
      </c>
      <c r="CT7" s="5">
        <v>14581.2</v>
      </c>
    </row>
    <row r="8" spans="1:98">
      <c r="A8" s="2" t="s">
        <v>104</v>
      </c>
      <c r="B8" s="3"/>
      <c r="C8" s="3"/>
      <c r="D8" s="3"/>
      <c r="E8" s="3"/>
      <c r="F8" s="3"/>
      <c r="G8" s="3"/>
      <c r="H8" s="3"/>
      <c r="I8" s="3"/>
      <c r="J8" s="3"/>
      <c r="K8" s="3"/>
      <c r="L8" s="3"/>
      <c r="M8" s="3"/>
      <c r="N8" s="3">
        <v>156.19999999999999</v>
      </c>
      <c r="O8" s="3">
        <v>170</v>
      </c>
      <c r="P8" s="3">
        <v>172.1</v>
      </c>
      <c r="Q8" s="3">
        <v>173.4</v>
      </c>
      <c r="R8" s="3">
        <v>173.6</v>
      </c>
      <c r="S8" s="3">
        <v>192.5</v>
      </c>
      <c r="T8" s="3">
        <v>194.8</v>
      </c>
      <c r="U8" s="3">
        <v>205.1</v>
      </c>
      <c r="V8" s="3">
        <v>209.8</v>
      </c>
      <c r="W8" s="3">
        <v>232.5</v>
      </c>
      <c r="X8" s="3">
        <v>235.4</v>
      </c>
      <c r="Y8" s="3">
        <v>239.1</v>
      </c>
      <c r="Z8" s="3">
        <v>239.1</v>
      </c>
      <c r="AA8" s="3">
        <v>260.60000000000002</v>
      </c>
      <c r="AB8" s="3">
        <v>263.7</v>
      </c>
      <c r="AC8" s="3">
        <v>267</v>
      </c>
      <c r="AD8" s="3">
        <v>269.8</v>
      </c>
      <c r="AE8" s="3">
        <v>286.3</v>
      </c>
      <c r="AF8" s="3">
        <v>287.8</v>
      </c>
      <c r="AG8" s="3">
        <v>297.39999999999998</v>
      </c>
      <c r="AH8" s="3">
        <v>305.10000000000002</v>
      </c>
      <c r="AI8" s="3">
        <v>326.89999999999998</v>
      </c>
      <c r="AJ8" s="3">
        <v>337.8</v>
      </c>
      <c r="AK8" s="3">
        <v>343.4</v>
      </c>
      <c r="AL8" s="3">
        <v>348.3</v>
      </c>
      <c r="AM8" s="3">
        <v>389.6</v>
      </c>
      <c r="AN8" s="3">
        <v>407</v>
      </c>
      <c r="AO8" s="3">
        <v>428.6</v>
      </c>
      <c r="AP8" s="3">
        <v>438.7</v>
      </c>
      <c r="AQ8" s="3">
        <v>499.5</v>
      </c>
      <c r="AR8" s="3">
        <v>508.9</v>
      </c>
      <c r="AS8" s="3">
        <v>519.9</v>
      </c>
      <c r="AT8" s="3">
        <v>529.5</v>
      </c>
      <c r="AU8" s="3">
        <v>622.70000000000005</v>
      </c>
      <c r="AV8" s="3">
        <v>633.79999999999995</v>
      </c>
      <c r="AW8" s="3">
        <v>643.1</v>
      </c>
      <c r="AX8" s="3">
        <v>652.9</v>
      </c>
      <c r="AY8" s="3">
        <v>720.9</v>
      </c>
      <c r="AZ8" s="3">
        <v>727</v>
      </c>
      <c r="BA8" s="3">
        <v>732.5</v>
      </c>
      <c r="BB8" s="3">
        <v>738.2</v>
      </c>
      <c r="BC8" s="3">
        <v>794.5</v>
      </c>
      <c r="BD8" s="3">
        <v>801.9</v>
      </c>
      <c r="BE8" s="3">
        <v>809.2</v>
      </c>
      <c r="BF8" s="3">
        <v>816.6</v>
      </c>
      <c r="BG8" s="3">
        <v>894.3</v>
      </c>
      <c r="BH8" s="3">
        <v>894.3</v>
      </c>
      <c r="BI8" s="3">
        <v>911.6</v>
      </c>
      <c r="BJ8" s="3">
        <v>919.8</v>
      </c>
      <c r="BK8" s="3">
        <v>1057.0999999999999</v>
      </c>
      <c r="BL8" s="3">
        <v>1135.4000000000001</v>
      </c>
      <c r="BM8" s="3">
        <v>1102</v>
      </c>
      <c r="BN8" s="3">
        <v>1167.0999999999999</v>
      </c>
      <c r="BO8" s="3">
        <v>1110</v>
      </c>
      <c r="BP8" s="3">
        <v>1117.7</v>
      </c>
      <c r="BQ8" s="3">
        <v>1441.4</v>
      </c>
      <c r="BR8" s="3">
        <v>1505.8</v>
      </c>
      <c r="BS8" s="3">
        <v>1537.3</v>
      </c>
      <c r="BT8" s="3">
        <v>1580.5</v>
      </c>
      <c r="BU8" s="3">
        <v>1974.2</v>
      </c>
      <c r="BV8" s="3">
        <v>2424.9</v>
      </c>
      <c r="BW8" s="3">
        <v>2168.8000000000002</v>
      </c>
      <c r="BX8" s="3">
        <v>2542.4</v>
      </c>
      <c r="BY8" s="3">
        <v>2183</v>
      </c>
      <c r="BZ8" s="3">
        <v>2212.6999999999998</v>
      </c>
      <c r="CA8" s="3">
        <v>3364.7</v>
      </c>
      <c r="CB8" s="3">
        <v>3495.5</v>
      </c>
      <c r="CC8" s="3">
        <v>3501.3</v>
      </c>
      <c r="CD8" s="3">
        <v>3522</v>
      </c>
      <c r="CE8" s="3">
        <v>4421.6000000000004</v>
      </c>
      <c r="CF8" s="3">
        <v>4492.5</v>
      </c>
      <c r="CG8" s="3">
        <v>5046.1000000000004</v>
      </c>
      <c r="CH8" s="3">
        <v>5216.1000000000004</v>
      </c>
      <c r="CI8" s="3">
        <v>5216.1000000000004</v>
      </c>
      <c r="CJ8" s="3">
        <v>5216.1000000000004</v>
      </c>
      <c r="CK8" s="3">
        <v>6441.2</v>
      </c>
      <c r="CL8" s="3">
        <v>6636.7</v>
      </c>
      <c r="CM8" s="3">
        <v>6770.9</v>
      </c>
      <c r="CN8" s="3">
        <v>6930.3</v>
      </c>
      <c r="CO8" s="3">
        <v>8665.9</v>
      </c>
      <c r="CP8" s="3">
        <v>8978.6</v>
      </c>
      <c r="CQ8" s="3">
        <v>9007.7000000000007</v>
      </c>
      <c r="CR8" s="3">
        <v>9425.1</v>
      </c>
      <c r="CS8" s="3">
        <v>9509.5</v>
      </c>
      <c r="CT8" s="3">
        <v>9611.2000000000007</v>
      </c>
    </row>
    <row r="9" spans="1:98">
      <c r="A9" s="4" t="s">
        <v>105</v>
      </c>
      <c r="B9" s="5"/>
      <c r="C9" s="5"/>
      <c r="D9" s="5"/>
      <c r="E9" s="5"/>
      <c r="F9" s="5"/>
      <c r="G9" s="5"/>
      <c r="H9" s="5"/>
      <c r="I9" s="5"/>
      <c r="J9" s="5"/>
      <c r="K9" s="5"/>
      <c r="L9" s="5"/>
      <c r="M9" s="5"/>
      <c r="N9" s="5">
        <v>146.19999999999999</v>
      </c>
      <c r="O9" s="5">
        <v>152.19999999999999</v>
      </c>
      <c r="P9" s="5">
        <v>152.9</v>
      </c>
      <c r="Q9" s="5">
        <v>161.1</v>
      </c>
      <c r="R9" s="5">
        <v>161.19999999999999</v>
      </c>
      <c r="S9" s="5">
        <v>169.6</v>
      </c>
      <c r="T9" s="5">
        <v>170.7</v>
      </c>
      <c r="U9" s="5">
        <v>174.1</v>
      </c>
      <c r="V9" s="5">
        <v>176.5</v>
      </c>
      <c r="W9" s="5">
        <v>187.2</v>
      </c>
      <c r="X9" s="5">
        <v>188.4</v>
      </c>
      <c r="Y9" s="5">
        <v>190.3</v>
      </c>
      <c r="Z9" s="5">
        <v>190.7</v>
      </c>
      <c r="AA9" s="5">
        <v>199.2</v>
      </c>
      <c r="AB9" s="5">
        <v>200.7</v>
      </c>
      <c r="AC9" s="5">
        <v>202.8</v>
      </c>
      <c r="AD9" s="5">
        <v>204.4</v>
      </c>
      <c r="AE9" s="5">
        <v>213</v>
      </c>
      <c r="AF9" s="5">
        <v>213.9</v>
      </c>
      <c r="AG9" s="5">
        <v>216.5</v>
      </c>
      <c r="AH9" s="5">
        <v>228.1</v>
      </c>
      <c r="AI9" s="5">
        <v>237.2</v>
      </c>
      <c r="AJ9" s="5">
        <v>241.3</v>
      </c>
      <c r="AK9" s="5">
        <v>245.8</v>
      </c>
      <c r="AL9" s="5">
        <v>265.3</v>
      </c>
      <c r="AM9" s="5">
        <v>286.3</v>
      </c>
      <c r="AN9" s="5">
        <v>330.2</v>
      </c>
      <c r="AO9" s="5">
        <v>343.9</v>
      </c>
      <c r="AP9" s="5">
        <v>349.7</v>
      </c>
      <c r="AQ9" s="5">
        <v>389.8</v>
      </c>
      <c r="AR9" s="5">
        <v>394.8</v>
      </c>
      <c r="AS9" s="5">
        <v>399.8</v>
      </c>
      <c r="AT9" s="5">
        <v>405.1</v>
      </c>
      <c r="AU9" s="5">
        <v>450.5</v>
      </c>
      <c r="AV9" s="5">
        <v>455.7</v>
      </c>
      <c r="AW9" s="5">
        <v>460.7</v>
      </c>
      <c r="AX9" s="5">
        <v>465.1</v>
      </c>
      <c r="AY9" s="5">
        <v>495.8</v>
      </c>
      <c r="AZ9" s="5">
        <v>498.4</v>
      </c>
      <c r="BA9" s="5">
        <v>491.5</v>
      </c>
      <c r="BB9" s="5">
        <v>493.8</v>
      </c>
      <c r="BC9" s="5">
        <v>520.4</v>
      </c>
      <c r="BD9" s="5">
        <v>523.9</v>
      </c>
      <c r="BE9" s="5">
        <v>527.4</v>
      </c>
      <c r="BF9" s="5">
        <v>530.9</v>
      </c>
      <c r="BG9" s="5">
        <v>577.1</v>
      </c>
      <c r="BH9" s="5">
        <v>580</v>
      </c>
      <c r="BI9" s="5">
        <v>587.29999999999995</v>
      </c>
      <c r="BJ9" s="5">
        <v>591.20000000000005</v>
      </c>
      <c r="BK9" s="5">
        <v>681.5</v>
      </c>
      <c r="BL9" s="5">
        <v>806.1</v>
      </c>
      <c r="BM9" s="5">
        <v>737.7</v>
      </c>
      <c r="BN9" s="5">
        <v>837.7</v>
      </c>
      <c r="BO9" s="5">
        <v>789.6</v>
      </c>
      <c r="BP9" s="5">
        <v>797.4</v>
      </c>
      <c r="BQ9" s="5">
        <v>956.4</v>
      </c>
      <c r="BR9" s="5">
        <v>952.3</v>
      </c>
      <c r="BS9" s="5">
        <v>1007.8</v>
      </c>
      <c r="BT9" s="5">
        <v>1031.2</v>
      </c>
      <c r="BU9" s="5">
        <v>1232.0999999999999</v>
      </c>
      <c r="BV9" s="5">
        <v>1664.7</v>
      </c>
      <c r="BW9" s="5">
        <v>1385.4</v>
      </c>
      <c r="BX9" s="5">
        <v>1752</v>
      </c>
      <c r="BY9" s="5">
        <v>1418.9</v>
      </c>
      <c r="BZ9" s="5">
        <v>1557.6</v>
      </c>
      <c r="CA9" s="5">
        <v>2233.1</v>
      </c>
      <c r="CB9" s="5">
        <v>2387.5</v>
      </c>
      <c r="CC9" s="5">
        <v>2444.6999999999998</v>
      </c>
      <c r="CD9" s="5">
        <v>2491.8000000000002</v>
      </c>
      <c r="CE9" s="5">
        <v>3062</v>
      </c>
      <c r="CF9" s="5">
        <v>3271.7</v>
      </c>
      <c r="CG9" s="5">
        <v>3424.7</v>
      </c>
      <c r="CH9" s="5">
        <v>3574.4</v>
      </c>
      <c r="CI9" s="5">
        <v>3686.3</v>
      </c>
      <c r="CJ9" s="5">
        <v>3791.2</v>
      </c>
      <c r="CK9" s="5">
        <v>4403.1000000000004</v>
      </c>
      <c r="CL9" s="5">
        <v>4587.2</v>
      </c>
      <c r="CM9" s="5">
        <v>4864.8999999999996</v>
      </c>
      <c r="CN9" s="5">
        <v>4955.3999999999996</v>
      </c>
      <c r="CO9" s="5">
        <v>5912</v>
      </c>
      <c r="CP9" s="5">
        <v>6088.6</v>
      </c>
      <c r="CQ9" s="5">
        <v>6377.4</v>
      </c>
      <c r="CR9" s="5">
        <v>6669.1</v>
      </c>
      <c r="CS9" s="5">
        <v>6745</v>
      </c>
      <c r="CT9" s="5">
        <v>6797.9</v>
      </c>
    </row>
    <row r="10" spans="1:98">
      <c r="A10" s="2" t="s">
        <v>106</v>
      </c>
      <c r="B10" s="3"/>
      <c r="C10" s="3"/>
      <c r="D10" s="3"/>
      <c r="E10" s="3"/>
      <c r="F10" s="3"/>
      <c r="G10" s="3"/>
      <c r="H10" s="3"/>
      <c r="I10" s="3"/>
      <c r="J10" s="3"/>
      <c r="K10" s="3"/>
      <c r="L10" s="3"/>
      <c r="M10" s="3"/>
      <c r="N10" s="3">
        <v>137.80000000000001</v>
      </c>
      <c r="O10" s="3">
        <v>148.1</v>
      </c>
      <c r="P10" s="3">
        <v>148.1</v>
      </c>
      <c r="Q10" s="3">
        <v>148.80000000000001</v>
      </c>
      <c r="R10" s="3">
        <v>148.80000000000001</v>
      </c>
      <c r="S10" s="3">
        <v>157.80000000000001</v>
      </c>
      <c r="T10" s="3">
        <v>157.80000000000001</v>
      </c>
      <c r="U10" s="3">
        <v>157.80000000000001</v>
      </c>
      <c r="V10" s="3">
        <v>157.80000000000001</v>
      </c>
      <c r="W10" s="3">
        <v>157.80000000000001</v>
      </c>
      <c r="X10" s="3">
        <v>157.80000000000001</v>
      </c>
      <c r="Y10" s="3">
        <v>157.80000000000001</v>
      </c>
      <c r="Z10" s="3">
        <v>157.80000000000001</v>
      </c>
      <c r="AA10" s="3">
        <v>157.80000000000001</v>
      </c>
      <c r="AB10" s="3">
        <v>157.80000000000001</v>
      </c>
      <c r="AC10" s="3">
        <v>157.80000000000001</v>
      </c>
      <c r="AD10" s="3">
        <v>157.80000000000001</v>
      </c>
      <c r="AE10" s="3">
        <v>170.4</v>
      </c>
      <c r="AF10" s="3">
        <v>172</v>
      </c>
      <c r="AG10" s="3">
        <v>172</v>
      </c>
      <c r="AH10" s="3">
        <v>214</v>
      </c>
      <c r="AI10" s="3">
        <v>214</v>
      </c>
      <c r="AJ10" s="3">
        <v>214</v>
      </c>
      <c r="AK10" s="3">
        <v>229</v>
      </c>
      <c r="AL10" s="3">
        <v>246.1</v>
      </c>
      <c r="AM10" s="3">
        <v>258.39999999999998</v>
      </c>
      <c r="AN10" s="3">
        <v>283</v>
      </c>
      <c r="AO10" s="3">
        <v>239</v>
      </c>
      <c r="AP10" s="3">
        <v>274.7</v>
      </c>
      <c r="AQ10" s="3">
        <v>274.7</v>
      </c>
      <c r="AR10" s="3">
        <v>274.7</v>
      </c>
      <c r="AS10" s="3">
        <v>347.5</v>
      </c>
      <c r="AT10" s="3">
        <v>347.5</v>
      </c>
      <c r="AU10" s="3">
        <v>347.5</v>
      </c>
      <c r="AV10" s="3">
        <v>382.2</v>
      </c>
      <c r="AW10" s="3">
        <v>382.2</v>
      </c>
      <c r="AX10" s="3">
        <v>382.2</v>
      </c>
      <c r="AY10" s="3">
        <v>382.2</v>
      </c>
      <c r="AZ10" s="3">
        <v>382.2</v>
      </c>
      <c r="BA10" s="3">
        <v>420.4</v>
      </c>
      <c r="BB10" s="3">
        <v>420.4</v>
      </c>
      <c r="BC10" s="3">
        <v>420.4</v>
      </c>
      <c r="BD10" s="3">
        <v>420.4</v>
      </c>
      <c r="BE10" s="3">
        <v>462.5</v>
      </c>
      <c r="BF10" s="3">
        <v>462.5</v>
      </c>
      <c r="BG10" s="3">
        <v>485.6</v>
      </c>
      <c r="BH10" s="3">
        <v>485.6</v>
      </c>
      <c r="BI10" s="3">
        <v>508.7</v>
      </c>
      <c r="BJ10" s="3">
        <v>508.7</v>
      </c>
      <c r="BK10" s="3">
        <v>585</v>
      </c>
      <c r="BL10" s="3">
        <v>635.9</v>
      </c>
      <c r="BM10" s="3">
        <v>585</v>
      </c>
      <c r="BN10" s="3">
        <v>686.8</v>
      </c>
      <c r="BO10" s="3">
        <v>585</v>
      </c>
      <c r="BP10" s="3">
        <v>585</v>
      </c>
      <c r="BQ10" s="3">
        <v>717.1</v>
      </c>
      <c r="BR10" s="3">
        <v>759.5</v>
      </c>
      <c r="BS10" s="3">
        <v>890.4</v>
      </c>
      <c r="BT10" s="3">
        <v>1036.8</v>
      </c>
      <c r="BU10" s="3">
        <v>1336</v>
      </c>
      <c r="BV10" s="3">
        <v>1517.3</v>
      </c>
      <c r="BW10" s="3">
        <v>1344.5</v>
      </c>
      <c r="BX10" s="3">
        <v>1517.3</v>
      </c>
      <c r="BY10" s="3">
        <v>1344.5</v>
      </c>
      <c r="BZ10" s="3">
        <v>1344.5</v>
      </c>
      <c r="CA10" s="3">
        <v>2109.9</v>
      </c>
      <c r="CB10" s="3">
        <v>2109.9</v>
      </c>
      <c r="CC10" s="3">
        <v>2076.9</v>
      </c>
      <c r="CD10" s="3">
        <v>2293.5</v>
      </c>
      <c r="CE10" s="3">
        <v>3155.5</v>
      </c>
      <c r="CF10" s="3">
        <v>3155.3</v>
      </c>
      <c r="CG10" s="3">
        <v>3295.7</v>
      </c>
      <c r="CH10" s="3">
        <v>3520.4</v>
      </c>
      <c r="CI10" s="3">
        <v>3570.6</v>
      </c>
      <c r="CJ10" s="3">
        <v>3664.9</v>
      </c>
      <c r="CK10" s="3">
        <v>4913.6000000000004</v>
      </c>
      <c r="CL10" s="3">
        <v>5211.7</v>
      </c>
      <c r="CM10" s="3">
        <v>5424.9</v>
      </c>
      <c r="CN10" s="3">
        <v>5727.7</v>
      </c>
      <c r="CO10" s="3">
        <v>7746.6</v>
      </c>
      <c r="CP10" s="3">
        <v>8335.2000000000007</v>
      </c>
      <c r="CQ10" s="3">
        <v>7433.8</v>
      </c>
      <c r="CR10" s="3">
        <v>8017.3</v>
      </c>
      <c r="CS10" s="3">
        <v>8415.2000000000007</v>
      </c>
      <c r="CT10" s="3">
        <v>8415.2000000000007</v>
      </c>
    </row>
    <row r="11" spans="1:98">
      <c r="A11" s="4" t="s">
        <v>107</v>
      </c>
      <c r="B11" s="5"/>
      <c r="C11" s="5"/>
      <c r="D11" s="5"/>
      <c r="E11" s="5"/>
      <c r="F11" s="5"/>
      <c r="G11" s="5"/>
      <c r="H11" s="5"/>
      <c r="I11" s="5"/>
      <c r="J11" s="5"/>
      <c r="K11" s="5"/>
      <c r="L11" s="5"/>
      <c r="M11" s="5"/>
      <c r="N11" s="5">
        <v>158.69999999999999</v>
      </c>
      <c r="O11" s="5">
        <v>173.4</v>
      </c>
      <c r="P11" s="5">
        <v>175.8</v>
      </c>
      <c r="Q11" s="5">
        <v>177</v>
      </c>
      <c r="R11" s="5">
        <v>177.3</v>
      </c>
      <c r="S11" s="5">
        <v>196.4</v>
      </c>
      <c r="T11" s="5">
        <v>199</v>
      </c>
      <c r="U11" s="5">
        <v>208.1</v>
      </c>
      <c r="V11" s="5">
        <v>212.3</v>
      </c>
      <c r="W11" s="5">
        <v>236.4</v>
      </c>
      <c r="X11" s="5">
        <v>239.5</v>
      </c>
      <c r="Y11" s="5">
        <v>243.8</v>
      </c>
      <c r="Z11" s="5">
        <v>244</v>
      </c>
      <c r="AA11" s="5">
        <v>267.10000000000002</v>
      </c>
      <c r="AB11" s="5">
        <v>269.7</v>
      </c>
      <c r="AC11" s="5">
        <v>273.7</v>
      </c>
      <c r="AD11" s="5">
        <v>277.3</v>
      </c>
      <c r="AE11" s="5">
        <v>295.60000000000002</v>
      </c>
      <c r="AF11" s="5">
        <v>297.2</v>
      </c>
      <c r="AG11" s="5">
        <v>306.89999999999998</v>
      </c>
      <c r="AH11" s="5">
        <v>314</v>
      </c>
      <c r="AI11" s="5">
        <v>338.2</v>
      </c>
      <c r="AJ11" s="5">
        <v>347.1</v>
      </c>
      <c r="AK11" s="5">
        <v>351.5</v>
      </c>
      <c r="AL11" s="5">
        <v>355.3</v>
      </c>
      <c r="AM11" s="5">
        <v>398.3</v>
      </c>
      <c r="AN11" s="5">
        <v>414.5</v>
      </c>
      <c r="AO11" s="5">
        <v>434.1</v>
      </c>
      <c r="AP11" s="5">
        <v>441.9</v>
      </c>
      <c r="AQ11" s="5">
        <v>505.9</v>
      </c>
      <c r="AR11" s="5">
        <v>514.9</v>
      </c>
      <c r="AS11" s="5">
        <v>526</v>
      </c>
      <c r="AT11" s="5">
        <v>536</v>
      </c>
      <c r="AU11" s="5">
        <v>633.70000000000005</v>
      </c>
      <c r="AV11" s="5">
        <v>644.5</v>
      </c>
      <c r="AW11" s="5">
        <v>654.9</v>
      </c>
      <c r="AX11" s="5">
        <v>665.3</v>
      </c>
      <c r="AY11" s="5">
        <v>737.2</v>
      </c>
      <c r="AZ11" s="5">
        <v>743.7</v>
      </c>
      <c r="BA11" s="5">
        <v>750.1</v>
      </c>
      <c r="BB11" s="5">
        <v>756.4</v>
      </c>
      <c r="BC11" s="5">
        <v>816.8</v>
      </c>
      <c r="BD11" s="5">
        <v>824.4</v>
      </c>
      <c r="BE11" s="5">
        <v>831.9</v>
      </c>
      <c r="BF11" s="5">
        <v>839.5</v>
      </c>
      <c r="BG11" s="5">
        <v>921.2</v>
      </c>
      <c r="BH11" s="5">
        <v>922.1</v>
      </c>
      <c r="BI11" s="5">
        <v>938.3</v>
      </c>
      <c r="BJ11" s="5">
        <v>946.7</v>
      </c>
      <c r="BK11" s="5">
        <v>1091.7</v>
      </c>
      <c r="BL11" s="5">
        <v>1152.5999999999999</v>
      </c>
      <c r="BM11" s="5">
        <v>1128.8</v>
      </c>
      <c r="BN11" s="5">
        <v>1182.4000000000001</v>
      </c>
      <c r="BO11" s="5">
        <v>1131.3</v>
      </c>
      <c r="BP11" s="5">
        <v>1133.7</v>
      </c>
      <c r="BQ11" s="5">
        <v>1467.4</v>
      </c>
      <c r="BR11" s="5">
        <v>1529.3</v>
      </c>
      <c r="BS11" s="5">
        <v>1554.2</v>
      </c>
      <c r="BT11" s="5">
        <v>1591</v>
      </c>
      <c r="BU11" s="5">
        <v>1990.3</v>
      </c>
      <c r="BV11" s="5">
        <v>2392.4</v>
      </c>
      <c r="BW11" s="5">
        <v>2168.6</v>
      </c>
      <c r="BX11" s="5">
        <v>2505.8000000000002</v>
      </c>
      <c r="BY11" s="5">
        <v>2173.1999999999998</v>
      </c>
      <c r="BZ11" s="5">
        <v>2182.9</v>
      </c>
      <c r="CA11" s="5">
        <v>3322.1</v>
      </c>
      <c r="CB11" s="5">
        <v>3436.8</v>
      </c>
      <c r="CC11" s="5">
        <v>3438.7</v>
      </c>
      <c r="CD11" s="5">
        <v>3445.4</v>
      </c>
      <c r="CE11" s="5">
        <v>4358.5</v>
      </c>
      <c r="CF11" s="5">
        <v>4421.3999999999996</v>
      </c>
      <c r="CG11" s="5">
        <v>4940</v>
      </c>
      <c r="CH11" s="5">
        <v>5100.5</v>
      </c>
      <c r="CI11" s="5">
        <v>5100.5</v>
      </c>
      <c r="CJ11" s="5">
        <v>5100.7</v>
      </c>
      <c r="CK11" s="5">
        <v>6322.9</v>
      </c>
      <c r="CL11" s="5">
        <v>6511.4</v>
      </c>
      <c r="CM11" s="5">
        <v>6648.1</v>
      </c>
      <c r="CN11" s="5">
        <v>6798.6</v>
      </c>
      <c r="CO11" s="5">
        <v>8547.2999999999993</v>
      </c>
      <c r="CP11" s="5">
        <v>8846.1</v>
      </c>
      <c r="CQ11" s="5">
        <v>8869.2000000000007</v>
      </c>
      <c r="CR11" s="5">
        <v>9237.5</v>
      </c>
      <c r="CS11" s="5">
        <v>9314.2000000000007</v>
      </c>
      <c r="CT11" s="5">
        <v>9404.2000000000007</v>
      </c>
    </row>
    <row r="12" spans="1:98">
      <c r="A12" s="2" t="s">
        <v>108</v>
      </c>
      <c r="B12" s="3"/>
      <c r="C12" s="3"/>
      <c r="D12" s="3"/>
      <c r="E12" s="3"/>
      <c r="F12" s="3"/>
      <c r="G12" s="3"/>
      <c r="H12" s="3"/>
      <c r="I12" s="3"/>
      <c r="J12" s="3"/>
      <c r="K12" s="3"/>
      <c r="L12" s="3"/>
      <c r="M12" s="3"/>
      <c r="N12" s="3">
        <v>153.30000000000001</v>
      </c>
      <c r="O12" s="3">
        <v>166.8</v>
      </c>
      <c r="P12" s="3">
        <v>170.5</v>
      </c>
      <c r="Q12" s="3">
        <v>171.4</v>
      </c>
      <c r="R12" s="3">
        <v>171.7</v>
      </c>
      <c r="S12" s="3">
        <v>189.7</v>
      </c>
      <c r="T12" s="3">
        <v>192.2</v>
      </c>
      <c r="U12" s="3">
        <v>198.6</v>
      </c>
      <c r="V12" s="3">
        <v>203</v>
      </c>
      <c r="W12" s="3">
        <v>226</v>
      </c>
      <c r="X12" s="3">
        <v>228.4</v>
      </c>
      <c r="Y12" s="3">
        <v>233.1</v>
      </c>
      <c r="Z12" s="3">
        <v>234.3</v>
      </c>
      <c r="AA12" s="3">
        <v>251.6</v>
      </c>
      <c r="AB12" s="3">
        <v>255.7</v>
      </c>
      <c r="AC12" s="3">
        <v>259.39999999999998</v>
      </c>
      <c r="AD12" s="3">
        <v>264.5</v>
      </c>
      <c r="AE12" s="3">
        <v>283.5</v>
      </c>
      <c r="AF12" s="3">
        <v>285.5</v>
      </c>
      <c r="AG12" s="3">
        <v>290.89999999999998</v>
      </c>
      <c r="AH12" s="3">
        <v>302.10000000000002</v>
      </c>
      <c r="AI12" s="3">
        <v>323.10000000000002</v>
      </c>
      <c r="AJ12" s="3">
        <v>329.7</v>
      </c>
      <c r="AK12" s="3">
        <v>337.1</v>
      </c>
      <c r="AL12" s="3">
        <v>342.6</v>
      </c>
      <c r="AM12" s="3">
        <v>380.3</v>
      </c>
      <c r="AN12" s="3">
        <v>399.9</v>
      </c>
      <c r="AO12" s="3">
        <v>420.3</v>
      </c>
      <c r="AP12" s="3">
        <v>429.7</v>
      </c>
      <c r="AQ12" s="3">
        <v>486.1</v>
      </c>
      <c r="AR12" s="3">
        <v>495.3</v>
      </c>
      <c r="AS12" s="3">
        <v>505.7</v>
      </c>
      <c r="AT12" s="3">
        <v>517</v>
      </c>
      <c r="AU12" s="3">
        <v>599.70000000000005</v>
      </c>
      <c r="AV12" s="3">
        <v>610.20000000000005</v>
      </c>
      <c r="AW12" s="3">
        <v>619.6</v>
      </c>
      <c r="AX12" s="3">
        <v>629.20000000000005</v>
      </c>
      <c r="AY12" s="3">
        <v>694.3</v>
      </c>
      <c r="AZ12" s="3">
        <v>722.3</v>
      </c>
      <c r="BA12" s="3">
        <v>722.3</v>
      </c>
      <c r="BB12" s="3">
        <v>722.3</v>
      </c>
      <c r="BC12" s="3">
        <v>768.3</v>
      </c>
      <c r="BD12" s="3">
        <v>775.4</v>
      </c>
      <c r="BE12" s="3">
        <v>782.5</v>
      </c>
      <c r="BF12" s="3">
        <v>789.6</v>
      </c>
      <c r="BG12" s="3">
        <v>859.5</v>
      </c>
      <c r="BH12" s="3">
        <v>863.8</v>
      </c>
      <c r="BI12" s="3">
        <v>876.4</v>
      </c>
      <c r="BJ12" s="3">
        <v>884.3</v>
      </c>
      <c r="BK12" s="3">
        <v>1015.2</v>
      </c>
      <c r="BL12" s="3">
        <v>1097.3</v>
      </c>
      <c r="BM12" s="3">
        <v>1061.2</v>
      </c>
      <c r="BN12" s="3">
        <v>1125.5999999999999</v>
      </c>
      <c r="BO12" s="3">
        <v>1070.9000000000001</v>
      </c>
      <c r="BP12" s="3">
        <v>1080.2</v>
      </c>
      <c r="BQ12" s="3">
        <v>1371.5</v>
      </c>
      <c r="BR12" s="3">
        <v>1432.8</v>
      </c>
      <c r="BS12" s="3">
        <v>1459.2</v>
      </c>
      <c r="BT12" s="3">
        <v>1493.5</v>
      </c>
      <c r="BU12" s="3">
        <v>1823.6</v>
      </c>
      <c r="BV12" s="3">
        <v>2235.8000000000002</v>
      </c>
      <c r="BW12" s="3">
        <v>1992.3</v>
      </c>
      <c r="BX12" s="3">
        <v>2347.8000000000002</v>
      </c>
      <c r="BY12" s="3">
        <v>2005.8</v>
      </c>
      <c r="BZ12" s="3">
        <v>2035.6</v>
      </c>
      <c r="CA12" s="3">
        <v>3082.7</v>
      </c>
      <c r="CB12" s="3">
        <v>3228.2</v>
      </c>
      <c r="CC12" s="3">
        <v>3235.3</v>
      </c>
      <c r="CD12" s="3">
        <v>3251.7</v>
      </c>
      <c r="CE12" s="3">
        <v>4227.2</v>
      </c>
      <c r="CF12" s="3">
        <v>4308.5</v>
      </c>
      <c r="CG12" s="3">
        <v>4578.3999999999996</v>
      </c>
      <c r="CH12" s="3">
        <v>4747.5</v>
      </c>
      <c r="CI12" s="3">
        <v>4747.5</v>
      </c>
      <c r="CJ12" s="3">
        <v>4747.5</v>
      </c>
      <c r="CK12" s="3">
        <v>5867.9</v>
      </c>
      <c r="CL12" s="3">
        <v>6067.3</v>
      </c>
      <c r="CM12" s="3">
        <v>6224</v>
      </c>
      <c r="CN12" s="3">
        <v>6385.4</v>
      </c>
      <c r="CO12" s="3">
        <v>8409.7999999999993</v>
      </c>
      <c r="CP12" s="3">
        <v>8707.7999999999993</v>
      </c>
      <c r="CQ12" s="3">
        <v>8707.7999999999993</v>
      </c>
      <c r="CR12" s="3">
        <v>8707.7999999999993</v>
      </c>
      <c r="CS12" s="3">
        <v>8707.7999999999993</v>
      </c>
      <c r="CT12" s="3">
        <v>8773.5</v>
      </c>
    </row>
    <row r="13" spans="1:98">
      <c r="A13" s="4" t="s">
        <v>109</v>
      </c>
      <c r="B13" s="5"/>
      <c r="C13" s="5"/>
      <c r="D13" s="5"/>
      <c r="E13" s="5"/>
      <c r="F13" s="5"/>
      <c r="G13" s="5"/>
      <c r="H13" s="5"/>
      <c r="I13" s="5"/>
      <c r="J13" s="5"/>
      <c r="K13" s="5"/>
      <c r="L13" s="5"/>
      <c r="M13" s="5"/>
      <c r="N13" s="5">
        <v>157.1</v>
      </c>
      <c r="O13" s="5">
        <v>170</v>
      </c>
      <c r="P13" s="5">
        <v>171.9</v>
      </c>
      <c r="Q13" s="5">
        <v>172.9</v>
      </c>
      <c r="R13" s="5">
        <v>173.2</v>
      </c>
      <c r="S13" s="5">
        <v>190.4</v>
      </c>
      <c r="T13" s="5">
        <v>192.8</v>
      </c>
      <c r="U13" s="5">
        <v>199.7</v>
      </c>
      <c r="V13" s="5">
        <v>204.8</v>
      </c>
      <c r="W13" s="5">
        <v>226.9</v>
      </c>
      <c r="X13" s="5">
        <v>229.4</v>
      </c>
      <c r="Y13" s="5">
        <v>233.4</v>
      </c>
      <c r="Z13" s="5">
        <v>234.3</v>
      </c>
      <c r="AA13" s="5">
        <v>251.2</v>
      </c>
      <c r="AB13" s="5">
        <v>254.4</v>
      </c>
      <c r="AC13" s="5">
        <v>258.7</v>
      </c>
      <c r="AD13" s="5">
        <v>261.89999999999998</v>
      </c>
      <c r="AE13" s="5">
        <v>279.89999999999998</v>
      </c>
      <c r="AF13" s="5">
        <v>281.8</v>
      </c>
      <c r="AG13" s="5">
        <v>286.39999999999998</v>
      </c>
      <c r="AH13" s="5">
        <v>311.10000000000002</v>
      </c>
      <c r="AI13" s="5">
        <v>329</v>
      </c>
      <c r="AJ13" s="5">
        <v>337.7</v>
      </c>
      <c r="AK13" s="5">
        <v>348.1</v>
      </c>
      <c r="AL13" s="5">
        <v>356.7</v>
      </c>
      <c r="AM13" s="5">
        <v>393.8</v>
      </c>
      <c r="AN13" s="5">
        <v>412.5</v>
      </c>
      <c r="AO13" s="5">
        <v>443.2</v>
      </c>
      <c r="AP13" s="5">
        <v>456.3</v>
      </c>
      <c r="AQ13" s="5">
        <v>510.7</v>
      </c>
      <c r="AR13" s="5">
        <v>521.4</v>
      </c>
      <c r="AS13" s="5">
        <v>532</v>
      </c>
      <c r="AT13" s="5">
        <v>543.20000000000005</v>
      </c>
      <c r="AU13" s="5">
        <v>623</v>
      </c>
      <c r="AV13" s="5">
        <v>634.4</v>
      </c>
      <c r="AW13" s="5">
        <v>642.79999999999995</v>
      </c>
      <c r="AX13" s="5">
        <v>651.79999999999995</v>
      </c>
      <c r="AY13" s="5">
        <v>714.1</v>
      </c>
      <c r="AZ13" s="5">
        <v>719.6</v>
      </c>
      <c r="BA13" s="5">
        <v>723.7</v>
      </c>
      <c r="BB13" s="5">
        <v>728.1</v>
      </c>
      <c r="BC13" s="5">
        <v>782.5</v>
      </c>
      <c r="BD13" s="5">
        <v>789.8</v>
      </c>
      <c r="BE13" s="5">
        <v>797.1</v>
      </c>
      <c r="BF13" s="5">
        <v>804.4</v>
      </c>
      <c r="BG13" s="5">
        <v>871.5</v>
      </c>
      <c r="BH13" s="5">
        <v>874.9</v>
      </c>
      <c r="BI13" s="5">
        <v>890.1</v>
      </c>
      <c r="BJ13" s="5">
        <v>898.1</v>
      </c>
      <c r="BK13" s="5">
        <v>1024.5999999999999</v>
      </c>
      <c r="BL13" s="5">
        <v>1143.8</v>
      </c>
      <c r="BM13" s="5">
        <v>1087.3</v>
      </c>
      <c r="BN13" s="5">
        <v>1186</v>
      </c>
      <c r="BO13" s="5">
        <v>1106.8</v>
      </c>
      <c r="BP13" s="5">
        <v>1125.8</v>
      </c>
      <c r="BQ13" s="5">
        <v>1426.8</v>
      </c>
      <c r="BR13" s="5">
        <v>1498.8</v>
      </c>
      <c r="BS13" s="5">
        <v>1538.5</v>
      </c>
      <c r="BT13" s="5">
        <v>1590.1</v>
      </c>
      <c r="BU13" s="5">
        <v>1927.6</v>
      </c>
      <c r="BV13" s="5">
        <v>2479.4</v>
      </c>
      <c r="BW13" s="5">
        <v>2141.6</v>
      </c>
      <c r="BX13" s="5">
        <v>2607.8000000000002</v>
      </c>
      <c r="BY13" s="5">
        <v>2177.5</v>
      </c>
      <c r="BZ13" s="5">
        <v>2252.8000000000002</v>
      </c>
      <c r="CA13" s="5">
        <v>3408.3</v>
      </c>
      <c r="CB13" s="5">
        <v>3604.2</v>
      </c>
      <c r="CC13" s="5">
        <v>3618.9</v>
      </c>
      <c r="CD13" s="5">
        <v>3671.3</v>
      </c>
      <c r="CE13" s="5">
        <v>4695.2</v>
      </c>
      <c r="CF13" s="5">
        <v>4802.1000000000004</v>
      </c>
      <c r="CG13" s="5">
        <v>5094.5</v>
      </c>
      <c r="CH13" s="5">
        <v>5362.4</v>
      </c>
      <c r="CI13" s="5">
        <v>5362.4</v>
      </c>
      <c r="CJ13" s="5">
        <v>5362.4</v>
      </c>
      <c r="CK13" s="5">
        <v>6567.9</v>
      </c>
      <c r="CL13" s="5">
        <v>6822.4</v>
      </c>
      <c r="CM13" s="5">
        <v>6962</v>
      </c>
      <c r="CN13" s="5">
        <v>7158.4</v>
      </c>
      <c r="CO13" s="5">
        <v>8818.7999999999993</v>
      </c>
      <c r="CP13" s="5">
        <v>9201</v>
      </c>
      <c r="CQ13" s="5">
        <v>9208</v>
      </c>
      <c r="CR13" s="5">
        <v>9680.7000000000007</v>
      </c>
      <c r="CS13" s="5">
        <v>9777.6</v>
      </c>
      <c r="CT13" s="5">
        <v>9892.7000000000007</v>
      </c>
    </row>
    <row r="14" spans="1:98">
      <c r="A14" s="2" t="s">
        <v>110</v>
      </c>
      <c r="B14" s="3"/>
      <c r="C14" s="3"/>
      <c r="D14" s="3"/>
      <c r="E14" s="3"/>
      <c r="F14" s="3"/>
      <c r="G14" s="3"/>
      <c r="H14" s="3"/>
      <c r="I14" s="3"/>
      <c r="J14" s="3"/>
      <c r="K14" s="3"/>
      <c r="L14" s="3"/>
      <c r="M14" s="3"/>
      <c r="N14" s="3">
        <v>155.30000000000001</v>
      </c>
      <c r="O14" s="3">
        <v>167</v>
      </c>
      <c r="P14" s="3">
        <v>168.4</v>
      </c>
      <c r="Q14" s="3">
        <v>169.3</v>
      </c>
      <c r="R14" s="3">
        <v>169.5</v>
      </c>
      <c r="S14" s="3">
        <v>183.7</v>
      </c>
      <c r="T14" s="3">
        <v>185.7</v>
      </c>
      <c r="U14" s="3">
        <v>194.2</v>
      </c>
      <c r="V14" s="3">
        <v>200.5</v>
      </c>
      <c r="W14" s="3">
        <v>218.7</v>
      </c>
      <c r="X14" s="3">
        <v>221.2</v>
      </c>
      <c r="Y14" s="3">
        <v>223.5</v>
      </c>
      <c r="Z14" s="3">
        <v>223.7</v>
      </c>
      <c r="AA14" s="3">
        <v>237.5</v>
      </c>
      <c r="AB14" s="3">
        <v>240.9</v>
      </c>
      <c r="AC14" s="3">
        <v>243</v>
      </c>
      <c r="AD14" s="3">
        <v>244.9</v>
      </c>
      <c r="AE14" s="3">
        <v>258.7</v>
      </c>
      <c r="AF14" s="3">
        <v>259.89999999999998</v>
      </c>
      <c r="AG14" s="3">
        <v>264.39999999999998</v>
      </c>
      <c r="AH14" s="3">
        <v>297.10000000000002</v>
      </c>
      <c r="AI14" s="3">
        <v>309.2</v>
      </c>
      <c r="AJ14" s="3">
        <v>320.39999999999998</v>
      </c>
      <c r="AK14" s="3">
        <v>333.1</v>
      </c>
      <c r="AL14" s="3">
        <v>345.3</v>
      </c>
      <c r="AM14" s="3">
        <v>378</v>
      </c>
      <c r="AN14" s="3">
        <v>398.6</v>
      </c>
      <c r="AO14" s="3">
        <v>437.7</v>
      </c>
      <c r="AP14" s="3">
        <v>453.9</v>
      </c>
      <c r="AQ14" s="3">
        <v>500.8</v>
      </c>
      <c r="AR14" s="3">
        <v>511.7</v>
      </c>
      <c r="AS14" s="3">
        <v>521.20000000000005</v>
      </c>
      <c r="AT14" s="3">
        <v>530.20000000000005</v>
      </c>
      <c r="AU14" s="3">
        <v>600.5</v>
      </c>
      <c r="AV14" s="3">
        <v>611.4</v>
      </c>
      <c r="AW14" s="3">
        <v>617.9</v>
      </c>
      <c r="AX14" s="3">
        <v>625.20000000000005</v>
      </c>
      <c r="AY14" s="3">
        <v>677</v>
      </c>
      <c r="AZ14" s="3">
        <v>681.4</v>
      </c>
      <c r="BA14" s="3">
        <v>683.9</v>
      </c>
      <c r="BB14" s="3">
        <v>686.7</v>
      </c>
      <c r="BC14" s="3">
        <v>729.8</v>
      </c>
      <c r="BD14" s="3">
        <v>736.7</v>
      </c>
      <c r="BE14" s="3">
        <v>742.7</v>
      </c>
      <c r="BF14" s="3">
        <v>749.3</v>
      </c>
      <c r="BG14" s="3">
        <v>807.7</v>
      </c>
      <c r="BH14" s="3">
        <v>808</v>
      </c>
      <c r="BI14" s="3">
        <v>825.8</v>
      </c>
      <c r="BJ14" s="3">
        <v>833</v>
      </c>
      <c r="BK14" s="3">
        <v>941.4</v>
      </c>
      <c r="BL14" s="3">
        <v>1103.4000000000001</v>
      </c>
      <c r="BM14" s="3">
        <v>1019.7</v>
      </c>
      <c r="BN14" s="3">
        <v>1155.0999999999999</v>
      </c>
      <c r="BO14" s="3">
        <v>1054</v>
      </c>
      <c r="BP14" s="3">
        <v>1087.5999999999999</v>
      </c>
      <c r="BQ14" s="3">
        <v>1369.9</v>
      </c>
      <c r="BR14" s="3">
        <v>1444.2</v>
      </c>
      <c r="BS14" s="3">
        <v>1496.4</v>
      </c>
      <c r="BT14" s="3">
        <v>1561.8</v>
      </c>
      <c r="BU14" s="3">
        <v>1890.3</v>
      </c>
      <c r="BV14" s="3">
        <v>2549.6999999999998</v>
      </c>
      <c r="BW14" s="3">
        <v>2136.1</v>
      </c>
      <c r="BX14" s="3">
        <v>2688.6</v>
      </c>
      <c r="BY14" s="3">
        <v>2188.9</v>
      </c>
      <c r="BZ14" s="3">
        <v>2302.6</v>
      </c>
      <c r="CA14" s="3">
        <v>3505.7</v>
      </c>
      <c r="CB14" s="3">
        <v>3732.5</v>
      </c>
      <c r="CC14" s="3">
        <v>3751.5</v>
      </c>
      <c r="CD14" s="3">
        <v>3831.1</v>
      </c>
      <c r="CE14" s="3">
        <v>4784.6000000000004</v>
      </c>
      <c r="CF14" s="3">
        <v>4902.8999999999996</v>
      </c>
      <c r="CG14" s="3">
        <v>5335.4</v>
      </c>
      <c r="CH14" s="3">
        <v>5609.7</v>
      </c>
      <c r="CI14" s="3">
        <v>5609.7</v>
      </c>
      <c r="CJ14" s="3">
        <v>5616.6</v>
      </c>
      <c r="CK14" s="3">
        <v>6798.2</v>
      </c>
      <c r="CL14" s="3">
        <v>7071.6</v>
      </c>
      <c r="CM14" s="3">
        <v>7176.3</v>
      </c>
      <c r="CN14" s="3">
        <v>7378.7</v>
      </c>
      <c r="CO14" s="3">
        <v>9008.7999999999993</v>
      </c>
      <c r="CP14" s="3">
        <v>9416.2999999999993</v>
      </c>
      <c r="CQ14" s="3">
        <v>9438.7999999999993</v>
      </c>
      <c r="CR14" s="3">
        <v>10011</v>
      </c>
      <c r="CS14" s="3">
        <v>10130.4</v>
      </c>
      <c r="CT14" s="3">
        <v>10269.9</v>
      </c>
    </row>
    <row r="15" spans="1:98">
      <c r="A15" s="4" t="s">
        <v>111</v>
      </c>
      <c r="B15" s="5"/>
      <c r="C15" s="5"/>
      <c r="D15" s="5"/>
      <c r="E15" s="5"/>
      <c r="F15" s="5"/>
      <c r="G15" s="5"/>
      <c r="H15" s="5"/>
      <c r="I15" s="5"/>
      <c r="J15" s="5"/>
      <c r="K15" s="5"/>
      <c r="L15" s="5"/>
      <c r="M15" s="5"/>
      <c r="N15" s="5">
        <v>156.19999999999999</v>
      </c>
      <c r="O15" s="5">
        <v>169.9</v>
      </c>
      <c r="P15" s="5">
        <v>172</v>
      </c>
      <c r="Q15" s="5">
        <v>173.1</v>
      </c>
      <c r="R15" s="5">
        <v>173.4</v>
      </c>
      <c r="S15" s="5">
        <v>191.5</v>
      </c>
      <c r="T15" s="5">
        <v>193.9</v>
      </c>
      <c r="U15" s="5">
        <v>202.1</v>
      </c>
      <c r="V15" s="5">
        <v>206.7</v>
      </c>
      <c r="W15" s="5">
        <v>229.7</v>
      </c>
      <c r="X15" s="5">
        <v>232.4</v>
      </c>
      <c r="Y15" s="5">
        <v>236.5</v>
      </c>
      <c r="Z15" s="5">
        <v>237</v>
      </c>
      <c r="AA15" s="5">
        <v>257.10000000000002</v>
      </c>
      <c r="AB15" s="5">
        <v>260</v>
      </c>
      <c r="AC15" s="5">
        <v>263.89999999999998</v>
      </c>
      <c r="AD15" s="5">
        <v>267.2</v>
      </c>
      <c r="AE15" s="5">
        <v>285.10000000000002</v>
      </c>
      <c r="AF15" s="5">
        <v>286.7</v>
      </c>
      <c r="AG15" s="5">
        <v>294.10000000000002</v>
      </c>
      <c r="AH15" s="5">
        <v>312.3</v>
      </c>
      <c r="AI15" s="5">
        <v>333.3</v>
      </c>
      <c r="AJ15" s="5">
        <v>342.4</v>
      </c>
      <c r="AK15" s="5">
        <v>349.8</v>
      </c>
      <c r="AL15" s="5">
        <v>356</v>
      </c>
      <c r="AM15" s="5">
        <v>396.3</v>
      </c>
      <c r="AN15" s="5">
        <v>413.9</v>
      </c>
      <c r="AO15" s="5">
        <v>439.1</v>
      </c>
      <c r="AP15" s="5">
        <v>449.7</v>
      </c>
      <c r="AQ15" s="5">
        <v>509.1</v>
      </c>
      <c r="AR15" s="5">
        <v>519.1</v>
      </c>
      <c r="AS15" s="5">
        <v>529.79999999999995</v>
      </c>
      <c r="AT15" s="5">
        <v>540.29999999999995</v>
      </c>
      <c r="AU15" s="5">
        <v>629.79999999999995</v>
      </c>
      <c r="AV15" s="5">
        <v>640.9</v>
      </c>
      <c r="AW15" s="5">
        <v>650.29999999999995</v>
      </c>
      <c r="AX15" s="5">
        <v>660</v>
      </c>
      <c r="AY15" s="5">
        <v>727.2</v>
      </c>
      <c r="AZ15" s="5">
        <v>733.2</v>
      </c>
      <c r="BA15" s="5">
        <v>738.4</v>
      </c>
      <c r="BB15" s="5">
        <v>743.8</v>
      </c>
      <c r="BC15" s="5">
        <v>800.9</v>
      </c>
      <c r="BD15" s="5">
        <v>808.3</v>
      </c>
      <c r="BE15" s="5">
        <v>815.7</v>
      </c>
      <c r="BF15" s="5">
        <v>823.2</v>
      </c>
      <c r="BG15" s="5">
        <v>898</v>
      </c>
      <c r="BH15" s="5">
        <v>899.8</v>
      </c>
      <c r="BI15" s="5">
        <v>915.9</v>
      </c>
      <c r="BJ15" s="5">
        <v>924.1</v>
      </c>
      <c r="BK15" s="5">
        <v>1060</v>
      </c>
      <c r="BL15" s="5">
        <v>1151.2</v>
      </c>
      <c r="BM15" s="5">
        <v>1110.4000000000001</v>
      </c>
      <c r="BN15" s="5">
        <v>1188</v>
      </c>
      <c r="BO15" s="5">
        <v>1121.7</v>
      </c>
      <c r="BP15" s="5">
        <v>1132.7</v>
      </c>
      <c r="BQ15" s="5">
        <v>1453</v>
      </c>
      <c r="BR15" s="5">
        <v>1520.4</v>
      </c>
      <c r="BS15" s="5">
        <v>1553.6</v>
      </c>
      <c r="BT15" s="5">
        <v>1598.8</v>
      </c>
      <c r="BU15" s="5">
        <v>1972.3</v>
      </c>
      <c r="BV15" s="5">
        <v>2455.3000000000002</v>
      </c>
      <c r="BW15" s="5">
        <v>2171.6</v>
      </c>
      <c r="BX15" s="5">
        <v>2577.1</v>
      </c>
      <c r="BY15" s="5">
        <v>2192.3000000000002</v>
      </c>
      <c r="BZ15" s="5">
        <v>2235.9</v>
      </c>
      <c r="CA15" s="5">
        <v>3393.7</v>
      </c>
      <c r="CB15" s="5">
        <v>3548.8</v>
      </c>
      <c r="CC15" s="5">
        <v>3557.3</v>
      </c>
      <c r="CD15" s="5">
        <v>3587.6</v>
      </c>
      <c r="CE15" s="5">
        <v>4551.8</v>
      </c>
      <c r="CF15" s="5">
        <v>4636.3999999999996</v>
      </c>
      <c r="CG15" s="5">
        <v>5069.3</v>
      </c>
      <c r="CH15" s="5">
        <v>5280.1</v>
      </c>
      <c r="CI15" s="5">
        <v>5280.1</v>
      </c>
      <c r="CJ15" s="5">
        <v>5280.1</v>
      </c>
      <c r="CK15" s="5">
        <v>6504.5</v>
      </c>
      <c r="CL15" s="5">
        <v>6727.3</v>
      </c>
      <c r="CM15" s="5">
        <v>6863.1</v>
      </c>
      <c r="CN15" s="5">
        <v>7037</v>
      </c>
      <c r="CO15" s="5">
        <v>8757.9</v>
      </c>
      <c r="CP15" s="5">
        <v>9099.5</v>
      </c>
      <c r="CQ15" s="5">
        <v>9115.7000000000007</v>
      </c>
      <c r="CR15" s="5">
        <v>9544.1</v>
      </c>
      <c r="CS15" s="5">
        <v>9632.1</v>
      </c>
      <c r="CT15" s="5">
        <v>9736.7999999999993</v>
      </c>
    </row>
    <row r="16" spans="1:98">
      <c r="A16" s="2" t="s">
        <v>112</v>
      </c>
      <c r="B16" s="3"/>
      <c r="C16" s="3"/>
      <c r="D16" s="3"/>
      <c r="E16" s="3"/>
      <c r="F16" s="3"/>
      <c r="G16" s="3"/>
      <c r="H16" s="3"/>
      <c r="I16" s="3"/>
      <c r="J16" s="3"/>
      <c r="K16" s="3"/>
      <c r="L16" s="3"/>
      <c r="M16" s="3"/>
      <c r="N16" s="3">
        <v>165.3</v>
      </c>
      <c r="O16" s="3">
        <v>175</v>
      </c>
      <c r="P16" s="3">
        <v>176.1</v>
      </c>
      <c r="Q16" s="3">
        <v>176.5</v>
      </c>
      <c r="R16" s="3">
        <v>176.7</v>
      </c>
      <c r="S16" s="3">
        <v>193.3</v>
      </c>
      <c r="T16" s="3">
        <v>195.8</v>
      </c>
      <c r="U16" s="3">
        <v>203.1</v>
      </c>
      <c r="V16" s="3">
        <v>210.9</v>
      </c>
      <c r="W16" s="3">
        <v>229.3</v>
      </c>
      <c r="X16" s="3">
        <v>232.3</v>
      </c>
      <c r="Y16" s="3">
        <v>233</v>
      </c>
      <c r="Z16" s="3">
        <v>233.3</v>
      </c>
      <c r="AA16" s="3">
        <v>242.7</v>
      </c>
      <c r="AB16" s="3">
        <v>248.1</v>
      </c>
      <c r="AC16" s="3">
        <v>248.8</v>
      </c>
      <c r="AD16" s="3">
        <v>249.9</v>
      </c>
      <c r="AE16" s="3">
        <v>264.2</v>
      </c>
      <c r="AF16" s="3">
        <v>266.10000000000002</v>
      </c>
      <c r="AG16" s="3">
        <v>265.8</v>
      </c>
      <c r="AH16" s="3">
        <v>338.5</v>
      </c>
      <c r="AI16" s="3">
        <v>343.8</v>
      </c>
      <c r="AJ16" s="3">
        <v>359</v>
      </c>
      <c r="AK16" s="3">
        <v>380.4</v>
      </c>
      <c r="AL16" s="3">
        <v>399.9</v>
      </c>
      <c r="AM16" s="3">
        <v>432.6</v>
      </c>
      <c r="AN16" s="3">
        <v>460.2</v>
      </c>
      <c r="AO16" s="3">
        <v>514</v>
      </c>
      <c r="AP16" s="3">
        <v>539.5</v>
      </c>
      <c r="AQ16" s="3">
        <v>585.1</v>
      </c>
      <c r="AR16" s="3">
        <v>600.5</v>
      </c>
      <c r="AS16" s="3">
        <v>613.6</v>
      </c>
      <c r="AT16" s="3">
        <v>625.1</v>
      </c>
      <c r="AU16" s="3">
        <v>692</v>
      </c>
      <c r="AV16" s="3">
        <v>706.1</v>
      </c>
      <c r="AW16" s="3">
        <v>711.3</v>
      </c>
      <c r="AX16" s="3">
        <v>717.9</v>
      </c>
      <c r="AY16" s="3">
        <v>767.4</v>
      </c>
      <c r="AZ16" s="3">
        <v>771.4</v>
      </c>
      <c r="BA16" s="3">
        <v>771.3</v>
      </c>
      <c r="BB16" s="3">
        <v>771.9</v>
      </c>
      <c r="BC16" s="3">
        <v>812.9</v>
      </c>
      <c r="BD16" s="3">
        <v>820.5</v>
      </c>
      <c r="BE16" s="3">
        <v>828.6</v>
      </c>
      <c r="BF16" s="3">
        <v>836.1</v>
      </c>
      <c r="BG16" s="3">
        <v>888.4</v>
      </c>
      <c r="BH16" s="3">
        <v>889.2</v>
      </c>
      <c r="BI16" s="3">
        <v>912.3</v>
      </c>
      <c r="BJ16" s="3">
        <v>920.8</v>
      </c>
      <c r="BK16" s="3">
        <v>1023.5</v>
      </c>
      <c r="BL16" s="3">
        <v>1280.0999999999999</v>
      </c>
      <c r="BM16" s="3">
        <v>1150.9000000000001</v>
      </c>
      <c r="BN16" s="3">
        <v>1330.3</v>
      </c>
      <c r="BO16" s="3">
        <v>1210.8</v>
      </c>
      <c r="BP16" s="3">
        <v>1268.8</v>
      </c>
      <c r="BQ16" s="3">
        <v>1536.9</v>
      </c>
      <c r="BR16" s="3">
        <v>1634.5</v>
      </c>
      <c r="BS16" s="3">
        <v>1726</v>
      </c>
      <c r="BT16" s="3">
        <v>1824.7</v>
      </c>
      <c r="BU16" s="3">
        <v>2166.9</v>
      </c>
      <c r="BV16" s="3">
        <v>3135.7</v>
      </c>
      <c r="BW16" s="3">
        <v>2519.6999999999998</v>
      </c>
      <c r="BX16" s="3">
        <v>3313.5</v>
      </c>
      <c r="BY16" s="3">
        <v>2625.5</v>
      </c>
      <c r="BZ16" s="3">
        <v>2846.9</v>
      </c>
      <c r="CA16" s="3">
        <v>4275.8999999999996</v>
      </c>
      <c r="CB16" s="3">
        <v>4627.8</v>
      </c>
      <c r="CC16" s="3">
        <v>4677.7</v>
      </c>
      <c r="CD16" s="3">
        <v>4833.8</v>
      </c>
      <c r="CE16" s="3">
        <v>6027.5</v>
      </c>
      <c r="CF16" s="3">
        <v>6216.4</v>
      </c>
      <c r="CG16" s="3">
        <v>6620.4</v>
      </c>
      <c r="CH16" s="3">
        <v>7042.5</v>
      </c>
      <c r="CI16" s="3">
        <v>7042.5</v>
      </c>
      <c r="CJ16" s="3">
        <v>7043.1</v>
      </c>
      <c r="CK16" s="3">
        <v>8439.9</v>
      </c>
      <c r="CL16" s="3">
        <v>8880.6</v>
      </c>
      <c r="CM16" s="3">
        <v>8991</v>
      </c>
      <c r="CN16" s="3">
        <v>9289.1</v>
      </c>
      <c r="CO16" s="3">
        <v>11076.8</v>
      </c>
      <c r="CP16" s="3">
        <v>11618.1</v>
      </c>
      <c r="CQ16" s="3">
        <v>11702.5</v>
      </c>
      <c r="CR16" s="3">
        <v>12579.7</v>
      </c>
      <c r="CS16" s="3">
        <v>12743.4</v>
      </c>
      <c r="CT16" s="3">
        <v>12949.3</v>
      </c>
    </row>
    <row r="17" spans="1:98">
      <c r="A17" s="4" t="s">
        <v>113</v>
      </c>
      <c r="B17" s="5"/>
      <c r="C17" s="5"/>
      <c r="D17" s="5"/>
      <c r="E17" s="5"/>
      <c r="F17" s="5"/>
      <c r="G17" s="5"/>
      <c r="H17" s="5"/>
      <c r="I17" s="5"/>
      <c r="J17" s="5"/>
      <c r="K17" s="5"/>
      <c r="L17" s="5"/>
      <c r="M17" s="5"/>
      <c r="N17" s="5">
        <v>157.1</v>
      </c>
      <c r="O17" s="5">
        <v>167.5</v>
      </c>
      <c r="P17" s="5">
        <v>168.8</v>
      </c>
      <c r="Q17" s="5">
        <v>179.5</v>
      </c>
      <c r="R17" s="5">
        <v>180.8</v>
      </c>
      <c r="S17" s="5">
        <v>199</v>
      </c>
      <c r="T17" s="5">
        <v>202.1</v>
      </c>
      <c r="U17" s="5">
        <v>208.6</v>
      </c>
      <c r="V17" s="5">
        <v>215.9</v>
      </c>
      <c r="W17" s="5">
        <v>242</v>
      </c>
      <c r="X17" s="5">
        <v>248.2</v>
      </c>
      <c r="Y17" s="5">
        <v>249</v>
      </c>
      <c r="Z17" s="5">
        <v>248.3</v>
      </c>
      <c r="AA17" s="5">
        <v>258.2</v>
      </c>
      <c r="AB17" s="5">
        <v>259.10000000000002</v>
      </c>
      <c r="AC17" s="5">
        <v>261.89999999999998</v>
      </c>
      <c r="AD17" s="5">
        <v>264.39999999999998</v>
      </c>
      <c r="AE17" s="5">
        <v>279.89999999999998</v>
      </c>
      <c r="AF17" s="5">
        <v>283.5</v>
      </c>
      <c r="AG17" s="5">
        <v>287.60000000000002</v>
      </c>
      <c r="AH17" s="5">
        <v>299.7</v>
      </c>
      <c r="AI17" s="5">
        <v>314.10000000000002</v>
      </c>
      <c r="AJ17" s="5">
        <v>321.3</v>
      </c>
      <c r="AK17" s="5">
        <v>337</v>
      </c>
      <c r="AL17" s="5">
        <v>341.8</v>
      </c>
      <c r="AM17" s="5">
        <v>378.2</v>
      </c>
      <c r="AN17" s="5">
        <v>403</v>
      </c>
      <c r="AO17" s="5">
        <v>424.8</v>
      </c>
      <c r="AP17" s="5">
        <v>435.9</v>
      </c>
      <c r="AQ17" s="5">
        <v>477.2</v>
      </c>
      <c r="AR17" s="5">
        <v>489.3</v>
      </c>
      <c r="AS17" s="5">
        <v>512.70000000000005</v>
      </c>
      <c r="AT17" s="5">
        <v>519.1</v>
      </c>
      <c r="AU17" s="5">
        <v>579</v>
      </c>
      <c r="AV17" s="5">
        <v>592.5</v>
      </c>
      <c r="AW17" s="5">
        <v>593.4</v>
      </c>
      <c r="AX17" s="5">
        <v>598.79999999999995</v>
      </c>
      <c r="AY17" s="5">
        <v>641.20000000000005</v>
      </c>
      <c r="AZ17" s="5">
        <v>641.4</v>
      </c>
      <c r="BA17" s="5">
        <v>645.5</v>
      </c>
      <c r="BB17" s="5">
        <v>648.5</v>
      </c>
      <c r="BC17" s="5">
        <v>705</v>
      </c>
      <c r="BD17" s="5">
        <v>711.3</v>
      </c>
      <c r="BE17" s="5">
        <v>721</v>
      </c>
      <c r="BF17" s="5">
        <v>726.4</v>
      </c>
      <c r="BG17" s="5">
        <v>783.1</v>
      </c>
      <c r="BH17" s="5">
        <v>788.5</v>
      </c>
      <c r="BI17" s="5">
        <v>800.7</v>
      </c>
      <c r="BJ17" s="5">
        <v>810.1</v>
      </c>
      <c r="BK17" s="5">
        <v>917.6</v>
      </c>
      <c r="BL17" s="5">
        <v>1059.8</v>
      </c>
      <c r="BM17" s="5">
        <v>957.7</v>
      </c>
      <c r="BN17" s="5">
        <v>1080.7</v>
      </c>
      <c r="BO17" s="5">
        <v>984.9</v>
      </c>
      <c r="BP17" s="5">
        <v>1006.2</v>
      </c>
      <c r="BQ17" s="5">
        <v>1285.0999999999999</v>
      </c>
      <c r="BR17" s="5">
        <v>1346.7</v>
      </c>
      <c r="BS17" s="5">
        <v>1378.2</v>
      </c>
      <c r="BT17" s="5">
        <v>1434.2</v>
      </c>
      <c r="BU17" s="5">
        <v>1770.3</v>
      </c>
      <c r="BV17" s="5">
        <v>2229.3000000000002</v>
      </c>
      <c r="BW17" s="5">
        <v>1953.5</v>
      </c>
      <c r="BX17" s="5">
        <v>2389</v>
      </c>
      <c r="BY17" s="5">
        <v>1964.7</v>
      </c>
      <c r="BZ17" s="5">
        <v>2037.7</v>
      </c>
      <c r="CA17" s="5">
        <v>3034.2</v>
      </c>
      <c r="CB17" s="5">
        <v>3304.1</v>
      </c>
      <c r="CC17" s="5">
        <v>3291.1</v>
      </c>
      <c r="CD17" s="5">
        <v>3342</v>
      </c>
      <c r="CE17" s="5">
        <v>4136</v>
      </c>
      <c r="CF17" s="5">
        <v>4232.7</v>
      </c>
      <c r="CG17" s="5">
        <v>4529.8</v>
      </c>
      <c r="CH17" s="5">
        <v>4804.3</v>
      </c>
      <c r="CI17" s="5">
        <v>4825.6000000000004</v>
      </c>
      <c r="CJ17" s="5">
        <v>5050.8</v>
      </c>
      <c r="CK17" s="5">
        <v>5901.4</v>
      </c>
      <c r="CL17" s="5">
        <v>6097.9</v>
      </c>
      <c r="CM17" s="5">
        <v>6353.5</v>
      </c>
      <c r="CN17" s="5">
        <v>6468.4</v>
      </c>
      <c r="CO17" s="5">
        <v>7806.3</v>
      </c>
      <c r="CP17" s="5">
        <v>8091.8</v>
      </c>
      <c r="CQ17" s="5">
        <v>8350.9</v>
      </c>
      <c r="CR17" s="5">
        <v>8695.7000000000007</v>
      </c>
      <c r="CS17" s="5">
        <v>8895.2999999999993</v>
      </c>
      <c r="CT17" s="5">
        <v>9022.1</v>
      </c>
    </row>
    <row r="18" spans="1:98">
      <c r="A18" s="2" t="s">
        <v>114</v>
      </c>
      <c r="B18" s="3"/>
      <c r="C18" s="3"/>
      <c r="D18" s="3"/>
      <c r="E18" s="3"/>
      <c r="F18" s="3"/>
      <c r="G18" s="3"/>
      <c r="H18" s="3"/>
      <c r="I18" s="3"/>
      <c r="J18" s="3"/>
      <c r="K18" s="3"/>
      <c r="L18" s="3"/>
      <c r="M18" s="3"/>
      <c r="N18" s="3">
        <v>162.80000000000001</v>
      </c>
      <c r="O18" s="3">
        <v>173.9</v>
      </c>
      <c r="P18" s="3">
        <v>175.6</v>
      </c>
      <c r="Q18" s="3">
        <v>176.9</v>
      </c>
      <c r="R18" s="3">
        <v>177.1</v>
      </c>
      <c r="S18" s="3">
        <v>192.4</v>
      </c>
      <c r="T18" s="3">
        <v>194.5</v>
      </c>
      <c r="U18" s="3">
        <v>198.4</v>
      </c>
      <c r="V18" s="3">
        <v>201.9</v>
      </c>
      <c r="W18" s="3">
        <v>220.7</v>
      </c>
      <c r="X18" s="3">
        <v>232.6</v>
      </c>
      <c r="Y18" s="3">
        <v>238.7</v>
      </c>
      <c r="Z18" s="3">
        <v>240.1</v>
      </c>
      <c r="AA18" s="3">
        <v>254.6</v>
      </c>
      <c r="AB18" s="3">
        <v>256.8</v>
      </c>
      <c r="AC18" s="3">
        <v>261.7</v>
      </c>
      <c r="AD18" s="3">
        <v>265.10000000000002</v>
      </c>
      <c r="AE18" s="3">
        <v>281.7</v>
      </c>
      <c r="AF18" s="3">
        <v>283.8</v>
      </c>
      <c r="AG18" s="3">
        <v>286.89999999999998</v>
      </c>
      <c r="AH18" s="3">
        <v>298.7</v>
      </c>
      <c r="AI18" s="3">
        <v>316.5</v>
      </c>
      <c r="AJ18" s="3">
        <v>327.9</v>
      </c>
      <c r="AK18" s="3">
        <v>334.2</v>
      </c>
      <c r="AL18" s="3">
        <v>338.2</v>
      </c>
      <c r="AM18" s="3">
        <v>368.4</v>
      </c>
      <c r="AN18" s="3">
        <v>380.5</v>
      </c>
      <c r="AO18" s="3">
        <v>413.7</v>
      </c>
      <c r="AP18" s="3">
        <v>420.8</v>
      </c>
      <c r="AQ18" s="3">
        <v>472.5</v>
      </c>
      <c r="AR18" s="3">
        <v>487.9</v>
      </c>
      <c r="AS18" s="3">
        <v>496.3</v>
      </c>
      <c r="AT18" s="3">
        <v>506.2</v>
      </c>
      <c r="AU18" s="3">
        <v>571</v>
      </c>
      <c r="AV18" s="3">
        <v>595</v>
      </c>
      <c r="AW18" s="3">
        <v>595</v>
      </c>
      <c r="AX18" s="3">
        <v>602.79999999999995</v>
      </c>
      <c r="AY18" s="3">
        <v>655.4</v>
      </c>
      <c r="AZ18" s="3">
        <v>660.1</v>
      </c>
      <c r="BA18" s="3">
        <v>660.8</v>
      </c>
      <c r="BB18" s="3">
        <v>665.2</v>
      </c>
      <c r="BC18" s="3">
        <v>713.6</v>
      </c>
      <c r="BD18" s="3">
        <v>721.8</v>
      </c>
      <c r="BE18" s="3">
        <v>739.3</v>
      </c>
      <c r="BF18" s="3">
        <v>747.9</v>
      </c>
      <c r="BG18" s="3">
        <v>811.1</v>
      </c>
      <c r="BH18" s="3">
        <v>816.8</v>
      </c>
      <c r="BI18" s="3">
        <v>824.6</v>
      </c>
      <c r="BJ18" s="3">
        <v>831</v>
      </c>
      <c r="BK18" s="3">
        <v>953.9</v>
      </c>
      <c r="BL18" s="3">
        <v>1041.5</v>
      </c>
      <c r="BM18" s="3">
        <v>986.3</v>
      </c>
      <c r="BN18" s="3">
        <v>1059.9000000000001</v>
      </c>
      <c r="BO18" s="3">
        <v>1007.6</v>
      </c>
      <c r="BP18" s="3">
        <v>1012.7</v>
      </c>
      <c r="BQ18" s="3">
        <v>1253.2</v>
      </c>
      <c r="BR18" s="3">
        <v>1345.1</v>
      </c>
      <c r="BS18" s="3">
        <v>1381.7</v>
      </c>
      <c r="BT18" s="3">
        <v>1407.4</v>
      </c>
      <c r="BU18" s="3">
        <v>1666</v>
      </c>
      <c r="BV18" s="3">
        <v>2070.1</v>
      </c>
      <c r="BW18" s="3">
        <v>1824.8</v>
      </c>
      <c r="BX18" s="3">
        <v>2159.3000000000002</v>
      </c>
      <c r="BY18" s="3">
        <v>1829.8</v>
      </c>
      <c r="BZ18" s="3">
        <v>1854.6</v>
      </c>
      <c r="CA18" s="3">
        <v>2819.3</v>
      </c>
      <c r="CB18" s="3">
        <v>3137.9</v>
      </c>
      <c r="CC18" s="3">
        <v>3055</v>
      </c>
      <c r="CD18" s="3">
        <v>3097.3</v>
      </c>
      <c r="CE18" s="3">
        <v>3957.7</v>
      </c>
      <c r="CF18" s="3">
        <v>4100.2</v>
      </c>
      <c r="CG18" s="3">
        <v>4196</v>
      </c>
      <c r="CH18" s="3">
        <v>4398.5</v>
      </c>
      <c r="CI18" s="3">
        <v>4408.6000000000004</v>
      </c>
      <c r="CJ18" s="3">
        <v>4588.3</v>
      </c>
      <c r="CK18" s="3">
        <v>5516.4</v>
      </c>
      <c r="CL18" s="3">
        <v>5806</v>
      </c>
      <c r="CM18" s="3">
        <v>6043</v>
      </c>
      <c r="CN18" s="3">
        <v>6165.9</v>
      </c>
      <c r="CO18" s="3">
        <v>7498.1</v>
      </c>
      <c r="CP18" s="3">
        <v>8127.6</v>
      </c>
      <c r="CQ18" s="3">
        <v>8177.4</v>
      </c>
      <c r="CR18" s="3">
        <v>8481.5</v>
      </c>
      <c r="CS18" s="3">
        <v>8650.5</v>
      </c>
      <c r="CT18" s="3">
        <v>8839.4</v>
      </c>
    </row>
    <row r="19" spans="1:98">
      <c r="A19" s="4" t="s">
        <v>115</v>
      </c>
      <c r="B19" s="5"/>
      <c r="C19" s="5"/>
      <c r="D19" s="5"/>
      <c r="E19" s="5"/>
      <c r="F19" s="5"/>
      <c r="G19" s="5"/>
      <c r="H19" s="5"/>
      <c r="I19" s="5"/>
      <c r="J19" s="5"/>
      <c r="K19" s="5"/>
      <c r="L19" s="5"/>
      <c r="M19" s="5"/>
      <c r="N19" s="5">
        <v>141.4</v>
      </c>
      <c r="O19" s="5">
        <v>148.5</v>
      </c>
      <c r="P19" s="5">
        <v>149.4</v>
      </c>
      <c r="Q19" s="5">
        <v>175.5</v>
      </c>
      <c r="R19" s="5">
        <v>176.7</v>
      </c>
      <c r="S19" s="5">
        <v>201.7</v>
      </c>
      <c r="T19" s="5">
        <v>202.8</v>
      </c>
      <c r="U19" s="5">
        <v>214.3</v>
      </c>
      <c r="V19" s="5">
        <v>227.9</v>
      </c>
      <c r="W19" s="5">
        <v>266.8</v>
      </c>
      <c r="X19" s="5">
        <v>268.8</v>
      </c>
      <c r="Y19" s="5">
        <v>253.8</v>
      </c>
      <c r="Z19" s="5">
        <v>247.3</v>
      </c>
      <c r="AA19" s="5">
        <v>237.7</v>
      </c>
      <c r="AB19" s="5">
        <v>224.7</v>
      </c>
      <c r="AC19" s="5">
        <v>226.3</v>
      </c>
      <c r="AD19" s="5">
        <v>227.6</v>
      </c>
      <c r="AE19" s="5">
        <v>253.9</v>
      </c>
      <c r="AF19" s="5">
        <v>266</v>
      </c>
      <c r="AG19" s="5">
        <v>268.10000000000002</v>
      </c>
      <c r="AH19" s="5">
        <v>274</v>
      </c>
      <c r="AI19" s="5">
        <v>281.60000000000002</v>
      </c>
      <c r="AJ19" s="5">
        <v>283.3</v>
      </c>
      <c r="AK19" s="5">
        <v>290.7</v>
      </c>
      <c r="AL19" s="5">
        <v>309.8</v>
      </c>
      <c r="AM19" s="5">
        <v>323.8</v>
      </c>
      <c r="AN19" s="5">
        <v>359</v>
      </c>
      <c r="AO19" s="5">
        <v>405.1</v>
      </c>
      <c r="AP19" s="5">
        <v>417.9</v>
      </c>
      <c r="AQ19" s="5">
        <v>440.7</v>
      </c>
      <c r="AR19" s="5">
        <v>429.2</v>
      </c>
      <c r="AS19" s="5">
        <v>426.4</v>
      </c>
      <c r="AT19" s="5">
        <v>421.1</v>
      </c>
      <c r="AU19" s="5">
        <v>463.1</v>
      </c>
      <c r="AV19" s="5">
        <v>469.1</v>
      </c>
      <c r="AW19" s="5">
        <v>477.3</v>
      </c>
      <c r="AX19" s="5">
        <v>478.6</v>
      </c>
      <c r="AY19" s="5">
        <v>489.3</v>
      </c>
      <c r="AZ19" s="5">
        <v>490.8</v>
      </c>
      <c r="BA19" s="5">
        <v>491.6</v>
      </c>
      <c r="BB19" s="5">
        <v>492.1</v>
      </c>
      <c r="BC19" s="5">
        <v>515</v>
      </c>
      <c r="BD19" s="5">
        <v>517.79999999999995</v>
      </c>
      <c r="BE19" s="5">
        <v>522.5</v>
      </c>
      <c r="BF19" s="5">
        <v>525.4</v>
      </c>
      <c r="BG19" s="5">
        <v>551.6</v>
      </c>
      <c r="BH19" s="5">
        <v>565.20000000000005</v>
      </c>
      <c r="BI19" s="5">
        <v>596.1</v>
      </c>
      <c r="BJ19" s="5">
        <v>605.20000000000005</v>
      </c>
      <c r="BK19" s="5">
        <v>684.5</v>
      </c>
      <c r="BL19" s="5">
        <v>1019.4</v>
      </c>
      <c r="BM19" s="5">
        <v>769.2</v>
      </c>
      <c r="BN19" s="5">
        <v>1025.5999999999999</v>
      </c>
      <c r="BO19" s="5">
        <v>875.4</v>
      </c>
      <c r="BP19" s="5">
        <v>933.4</v>
      </c>
      <c r="BQ19" s="5">
        <v>1111.2</v>
      </c>
      <c r="BR19" s="5">
        <v>1058.9000000000001</v>
      </c>
      <c r="BS19" s="5">
        <v>1095.5</v>
      </c>
      <c r="BT19" s="5">
        <v>1189</v>
      </c>
      <c r="BU19" s="5">
        <v>1416.6</v>
      </c>
      <c r="BV19" s="5">
        <v>2033.7</v>
      </c>
      <c r="BW19" s="5">
        <v>1688.5</v>
      </c>
      <c r="BX19" s="5">
        <v>2277.6999999999998</v>
      </c>
      <c r="BY19" s="5">
        <v>1721.5</v>
      </c>
      <c r="BZ19" s="5">
        <v>1856</v>
      </c>
      <c r="CA19" s="5">
        <v>2706.9</v>
      </c>
      <c r="CB19" s="5">
        <v>2915.3</v>
      </c>
      <c r="CC19" s="5">
        <v>2955.6</v>
      </c>
      <c r="CD19" s="5">
        <v>2999.3</v>
      </c>
      <c r="CE19" s="5">
        <v>3476.2</v>
      </c>
      <c r="CF19" s="5">
        <v>3513</v>
      </c>
      <c r="CG19" s="5">
        <v>3652.3</v>
      </c>
      <c r="CH19" s="5">
        <v>4076.8</v>
      </c>
      <c r="CI19" s="5">
        <v>4240.5</v>
      </c>
      <c r="CJ19" s="5">
        <v>4553</v>
      </c>
      <c r="CK19" s="5">
        <v>4944</v>
      </c>
      <c r="CL19" s="5">
        <v>4973.2</v>
      </c>
      <c r="CM19" s="5">
        <v>5064.5</v>
      </c>
      <c r="CN19" s="5">
        <v>5155.5</v>
      </c>
      <c r="CO19" s="5">
        <v>5762.9</v>
      </c>
      <c r="CP19" s="5">
        <v>5912.3</v>
      </c>
      <c r="CQ19" s="5">
        <v>6189.1</v>
      </c>
      <c r="CR19" s="5">
        <v>6661.8</v>
      </c>
      <c r="CS19" s="5">
        <v>6830.5</v>
      </c>
      <c r="CT19" s="5">
        <v>7050.3</v>
      </c>
    </row>
    <row r="20" spans="1:98">
      <c r="A20" s="2" t="s">
        <v>116</v>
      </c>
      <c r="B20" s="3">
        <v>100</v>
      </c>
      <c r="C20" s="3">
        <v>111</v>
      </c>
      <c r="D20" s="3">
        <v>114</v>
      </c>
      <c r="E20" s="3">
        <v>116</v>
      </c>
      <c r="F20" s="3">
        <v>118</v>
      </c>
      <c r="G20" s="3">
        <v>135.69999999999999</v>
      </c>
      <c r="H20" s="3">
        <v>139.19999999999999</v>
      </c>
      <c r="I20" s="3">
        <v>142.80000000000001</v>
      </c>
      <c r="J20" s="3">
        <v>142.80000000000001</v>
      </c>
      <c r="K20" s="3">
        <v>152.69999999999999</v>
      </c>
      <c r="L20" s="3">
        <v>155.30000000000001</v>
      </c>
      <c r="M20" s="3">
        <v>158.4</v>
      </c>
      <c r="N20" s="3">
        <v>159.4</v>
      </c>
      <c r="O20" s="3">
        <v>173.7</v>
      </c>
      <c r="P20" s="3">
        <v>175.3</v>
      </c>
      <c r="Q20" s="3">
        <v>178.1</v>
      </c>
      <c r="R20" s="3">
        <v>178.5</v>
      </c>
      <c r="S20" s="3">
        <v>198.1</v>
      </c>
      <c r="T20" s="3">
        <v>200.7</v>
      </c>
      <c r="U20" s="3">
        <v>210.5</v>
      </c>
      <c r="V20" s="3">
        <v>214.6</v>
      </c>
      <c r="W20" s="3">
        <v>239.3</v>
      </c>
      <c r="X20" s="3">
        <v>242.5</v>
      </c>
      <c r="Y20" s="3">
        <v>246.8</v>
      </c>
      <c r="Z20" s="3">
        <v>246.8</v>
      </c>
      <c r="AA20" s="3">
        <v>271.3</v>
      </c>
      <c r="AB20" s="3">
        <v>273.8</v>
      </c>
      <c r="AC20" s="3">
        <v>277.5</v>
      </c>
      <c r="AD20" s="3">
        <v>281.2</v>
      </c>
      <c r="AE20" s="3">
        <v>299.5</v>
      </c>
      <c r="AF20" s="3">
        <v>300.89999999999998</v>
      </c>
      <c r="AG20" s="3">
        <v>311.60000000000002</v>
      </c>
      <c r="AH20" s="3">
        <v>319.8</v>
      </c>
      <c r="AI20" s="3">
        <v>344.6</v>
      </c>
      <c r="AJ20" s="3">
        <v>354.4</v>
      </c>
      <c r="AK20" s="3">
        <v>358.3</v>
      </c>
      <c r="AL20" s="3">
        <v>362</v>
      </c>
      <c r="AM20" s="3">
        <v>406.7</v>
      </c>
      <c r="AN20" s="3">
        <v>423.4</v>
      </c>
      <c r="AO20" s="3">
        <v>442.6</v>
      </c>
      <c r="AP20" s="3">
        <v>450.5</v>
      </c>
      <c r="AQ20" s="3">
        <v>516.79999999999995</v>
      </c>
      <c r="AR20" s="3">
        <v>526</v>
      </c>
      <c r="AS20" s="3">
        <v>537.20000000000005</v>
      </c>
      <c r="AT20" s="3">
        <v>547.1</v>
      </c>
      <c r="AU20" s="3">
        <v>469.1</v>
      </c>
      <c r="AV20" s="3">
        <v>660.1</v>
      </c>
      <c r="AW20" s="3">
        <v>670.8</v>
      </c>
      <c r="AX20" s="3">
        <v>681.5</v>
      </c>
      <c r="AY20" s="3">
        <v>755.6</v>
      </c>
      <c r="AZ20" s="3">
        <v>762.3</v>
      </c>
      <c r="BA20" s="3">
        <v>768.8</v>
      </c>
      <c r="BB20" s="3">
        <v>775.4</v>
      </c>
      <c r="BC20" s="3">
        <v>836.8</v>
      </c>
      <c r="BD20" s="3">
        <v>844.6</v>
      </c>
      <c r="BE20" s="3">
        <v>852.3</v>
      </c>
      <c r="BF20" s="3">
        <v>860.1</v>
      </c>
      <c r="BG20" s="3">
        <v>945</v>
      </c>
      <c r="BH20" s="3">
        <v>945.1</v>
      </c>
      <c r="BI20" s="3">
        <v>962.5</v>
      </c>
      <c r="BJ20" s="3">
        <v>971.1</v>
      </c>
      <c r="BK20" s="3">
        <v>1120.3</v>
      </c>
      <c r="BL20" s="3">
        <v>1180.8</v>
      </c>
      <c r="BM20" s="3">
        <v>1157.5</v>
      </c>
      <c r="BN20" s="3">
        <v>1211.8</v>
      </c>
      <c r="BO20" s="3">
        <v>1159.5</v>
      </c>
      <c r="BP20" s="3">
        <v>1161.4000000000001</v>
      </c>
      <c r="BQ20" s="3">
        <v>1508.8</v>
      </c>
      <c r="BR20" s="3">
        <v>1572.1</v>
      </c>
      <c r="BS20" s="3">
        <v>1598.3</v>
      </c>
      <c r="BT20" s="3">
        <v>1636.7</v>
      </c>
      <c r="BU20" s="3">
        <v>2056.8000000000002</v>
      </c>
      <c r="BV20" s="3">
        <v>2467.9</v>
      </c>
      <c r="BW20" s="3">
        <v>2241.8000000000002</v>
      </c>
      <c r="BX20" s="3">
        <v>2584.3000000000002</v>
      </c>
      <c r="BY20" s="3">
        <v>2245.4</v>
      </c>
      <c r="BZ20" s="3">
        <v>2253.1</v>
      </c>
      <c r="CA20" s="3">
        <v>3432.3</v>
      </c>
      <c r="CB20" s="3">
        <v>3543.6</v>
      </c>
      <c r="CC20" s="3">
        <v>3545.1</v>
      </c>
      <c r="CD20" s="3">
        <v>3550.5</v>
      </c>
      <c r="CE20" s="3">
        <v>4466.6000000000004</v>
      </c>
      <c r="CF20" s="3">
        <v>4527.3999999999996</v>
      </c>
      <c r="CG20" s="3">
        <v>5119.6000000000004</v>
      </c>
      <c r="CH20" s="3">
        <v>5270.3</v>
      </c>
      <c r="CI20" s="3">
        <v>5270.3</v>
      </c>
      <c r="CJ20" s="3">
        <v>5270.3</v>
      </c>
      <c r="CK20" s="3">
        <v>6536.2</v>
      </c>
      <c r="CL20" s="3">
        <v>6726.6</v>
      </c>
      <c r="CM20" s="3">
        <v>6861.5</v>
      </c>
      <c r="CN20" s="3">
        <v>7012.8</v>
      </c>
      <c r="CO20" s="3">
        <v>8830.5</v>
      </c>
      <c r="CP20" s="3">
        <v>9131.9</v>
      </c>
      <c r="CQ20" s="3">
        <v>9158.5</v>
      </c>
      <c r="CR20" s="3">
        <v>9541.6</v>
      </c>
      <c r="CS20" s="3">
        <v>9620.7999999999993</v>
      </c>
      <c r="CT20" s="3">
        <v>9714.7999999999993</v>
      </c>
    </row>
    <row r="21" spans="1:98">
      <c r="A21" s="4" t="s">
        <v>117</v>
      </c>
      <c r="B21" s="5">
        <v>100</v>
      </c>
      <c r="C21" s="5">
        <v>110.2</v>
      </c>
      <c r="D21" s="5">
        <v>111.9</v>
      </c>
      <c r="E21" s="5">
        <v>115.8</v>
      </c>
      <c r="F21" s="5">
        <v>121.8</v>
      </c>
      <c r="G21" s="5">
        <v>137.5</v>
      </c>
      <c r="H21" s="5">
        <v>139.30000000000001</v>
      </c>
      <c r="I21" s="5">
        <v>139.19999999999999</v>
      </c>
      <c r="J21" s="5">
        <v>139.19999999999999</v>
      </c>
      <c r="K21" s="5">
        <v>146.69999999999999</v>
      </c>
      <c r="L21" s="5">
        <v>149.69999999999999</v>
      </c>
      <c r="M21" s="5">
        <v>151.19999999999999</v>
      </c>
      <c r="N21" s="5">
        <v>151.69999999999999</v>
      </c>
      <c r="O21" s="5">
        <v>157.19999999999999</v>
      </c>
      <c r="P21" s="5">
        <v>157.30000000000001</v>
      </c>
      <c r="Q21" s="5">
        <v>160.80000000000001</v>
      </c>
      <c r="R21" s="5">
        <v>161</v>
      </c>
      <c r="S21" s="5">
        <v>174.7</v>
      </c>
      <c r="T21" s="5">
        <v>181.7</v>
      </c>
      <c r="U21" s="5">
        <v>195.8</v>
      </c>
      <c r="V21" s="5">
        <v>204.5</v>
      </c>
      <c r="W21" s="5">
        <v>222.1</v>
      </c>
      <c r="X21" s="5">
        <v>231</v>
      </c>
      <c r="Y21" s="5">
        <v>229.2</v>
      </c>
      <c r="Z21" s="5">
        <v>223.3</v>
      </c>
      <c r="AA21" s="5">
        <v>223.1</v>
      </c>
      <c r="AB21" s="5">
        <v>222.4</v>
      </c>
      <c r="AC21" s="5">
        <v>224.4</v>
      </c>
      <c r="AD21" s="5">
        <v>225.8</v>
      </c>
      <c r="AE21" s="5">
        <v>241.9</v>
      </c>
      <c r="AF21" s="5">
        <v>243.3</v>
      </c>
      <c r="AG21" s="5">
        <v>248.2</v>
      </c>
      <c r="AH21" s="5">
        <v>266.2</v>
      </c>
      <c r="AI21" s="5">
        <v>277.2</v>
      </c>
      <c r="AJ21" s="5">
        <v>289.60000000000002</v>
      </c>
      <c r="AK21" s="5">
        <v>293.3</v>
      </c>
      <c r="AL21" s="5">
        <v>303.2</v>
      </c>
      <c r="AM21" s="5">
        <v>323.60000000000002</v>
      </c>
      <c r="AN21" s="5">
        <v>339.7</v>
      </c>
      <c r="AO21" s="5">
        <v>368.5</v>
      </c>
      <c r="AP21" s="5">
        <v>376</v>
      </c>
      <c r="AQ21" s="5">
        <v>408.8</v>
      </c>
      <c r="AR21" s="5">
        <v>420.5</v>
      </c>
      <c r="AS21" s="5">
        <v>430.7</v>
      </c>
      <c r="AT21" s="5">
        <v>436.5</v>
      </c>
      <c r="AU21" s="5">
        <v>474.3</v>
      </c>
      <c r="AV21" s="5">
        <v>503.2</v>
      </c>
      <c r="AW21" s="5">
        <v>508.6</v>
      </c>
      <c r="AX21" s="5">
        <v>511.9</v>
      </c>
      <c r="AY21" s="5">
        <v>536.5</v>
      </c>
      <c r="AZ21" s="5">
        <v>539.5</v>
      </c>
      <c r="BA21" s="5">
        <v>539.6</v>
      </c>
      <c r="BB21" s="5">
        <v>541.5</v>
      </c>
      <c r="BC21" s="5">
        <v>565</v>
      </c>
      <c r="BD21" s="5">
        <v>571</v>
      </c>
      <c r="BE21" s="5">
        <v>587.4</v>
      </c>
      <c r="BF21" s="5">
        <v>593</v>
      </c>
      <c r="BG21" s="5">
        <v>639.5</v>
      </c>
      <c r="BH21" s="5">
        <v>646</v>
      </c>
      <c r="BI21" s="5">
        <v>652.6</v>
      </c>
      <c r="BJ21" s="5">
        <v>657</v>
      </c>
      <c r="BK21" s="5">
        <v>743.3</v>
      </c>
      <c r="BL21" s="5">
        <v>845</v>
      </c>
      <c r="BM21" s="5">
        <v>782.1</v>
      </c>
      <c r="BN21" s="5">
        <v>862.4</v>
      </c>
      <c r="BO21" s="5">
        <v>813.6</v>
      </c>
      <c r="BP21" s="5">
        <v>822.6</v>
      </c>
      <c r="BQ21" s="5">
        <v>999.7</v>
      </c>
      <c r="BR21" s="5">
        <v>1096.8</v>
      </c>
      <c r="BS21" s="5">
        <v>1140.4000000000001</v>
      </c>
      <c r="BT21" s="5">
        <v>1174.2</v>
      </c>
      <c r="BU21" s="5">
        <v>1399.4</v>
      </c>
      <c r="BV21" s="5">
        <v>1895.4</v>
      </c>
      <c r="BW21" s="5">
        <v>1578.7</v>
      </c>
      <c r="BX21" s="5">
        <v>1967.9</v>
      </c>
      <c r="BY21" s="5">
        <v>1609</v>
      </c>
      <c r="BZ21" s="5">
        <v>1669.5</v>
      </c>
      <c r="CA21" s="5">
        <v>2526.1999999999998</v>
      </c>
      <c r="CB21" s="5">
        <v>2868.5</v>
      </c>
      <c r="CC21" s="5">
        <v>2867.9</v>
      </c>
      <c r="CD21" s="5">
        <v>2935.7</v>
      </c>
      <c r="CE21" s="5">
        <v>3555.8</v>
      </c>
      <c r="CF21" s="5">
        <v>3744.8</v>
      </c>
      <c r="CG21" s="5">
        <v>4020.7</v>
      </c>
      <c r="CH21" s="5">
        <v>4225.5</v>
      </c>
      <c r="CI21" s="5">
        <v>4241.2</v>
      </c>
      <c r="CJ21" s="5">
        <v>4464</v>
      </c>
      <c r="CK21" s="5">
        <v>5217.3</v>
      </c>
      <c r="CL21" s="5">
        <v>5516.6</v>
      </c>
      <c r="CM21" s="5">
        <v>5764</v>
      </c>
      <c r="CN21" s="5">
        <v>5851.4</v>
      </c>
      <c r="CO21" s="5">
        <v>6978.2</v>
      </c>
      <c r="CP21" s="5">
        <v>7610.3</v>
      </c>
      <c r="CQ21" s="5">
        <v>7704.5</v>
      </c>
      <c r="CR21" s="5">
        <v>8050.7</v>
      </c>
      <c r="CS21" s="5">
        <v>8282</v>
      </c>
      <c r="CT21" s="5">
        <v>8507.9</v>
      </c>
    </row>
    <row r="22" spans="1:98">
      <c r="A22" s="2" t="s">
        <v>118</v>
      </c>
      <c r="B22" s="3">
        <v>100</v>
      </c>
      <c r="C22" s="3">
        <v>111.5</v>
      </c>
      <c r="D22" s="3">
        <v>113.8</v>
      </c>
      <c r="E22" s="3">
        <v>115.4</v>
      </c>
      <c r="F22" s="3">
        <v>117.4</v>
      </c>
      <c r="G22" s="3">
        <v>142.4</v>
      </c>
      <c r="H22" s="3">
        <v>144.5</v>
      </c>
      <c r="I22" s="3">
        <v>146.30000000000001</v>
      </c>
      <c r="J22" s="3">
        <v>146.30000000000001</v>
      </c>
      <c r="K22" s="3">
        <v>153</v>
      </c>
      <c r="L22" s="3">
        <v>154.19999999999999</v>
      </c>
      <c r="M22" s="3">
        <v>156.19999999999999</v>
      </c>
      <c r="N22" s="3">
        <v>156.69999999999999</v>
      </c>
      <c r="O22" s="3">
        <v>160.80000000000001</v>
      </c>
      <c r="P22" s="3">
        <v>161.5</v>
      </c>
      <c r="Q22" s="3">
        <v>164.8</v>
      </c>
      <c r="R22" s="3">
        <v>164.9</v>
      </c>
      <c r="S22" s="3">
        <v>201.2</v>
      </c>
      <c r="T22" s="3">
        <v>221.8</v>
      </c>
      <c r="U22" s="3">
        <v>273.60000000000002</v>
      </c>
      <c r="V22" s="3">
        <v>284.3</v>
      </c>
      <c r="W22" s="3">
        <v>302.5</v>
      </c>
      <c r="X22" s="3">
        <v>308.7</v>
      </c>
      <c r="Y22" s="3">
        <v>301.89999999999998</v>
      </c>
      <c r="Z22" s="3">
        <v>297.8</v>
      </c>
      <c r="AA22" s="3">
        <v>283.8</v>
      </c>
      <c r="AB22" s="3">
        <v>277.89999999999998</v>
      </c>
      <c r="AC22" s="3">
        <v>279.8</v>
      </c>
      <c r="AD22" s="3">
        <v>281.2</v>
      </c>
      <c r="AE22" s="3">
        <v>264.2</v>
      </c>
      <c r="AF22" s="3">
        <v>268.3</v>
      </c>
      <c r="AG22" s="3">
        <v>284.10000000000002</v>
      </c>
      <c r="AH22" s="3">
        <v>370</v>
      </c>
      <c r="AI22" s="3">
        <v>410.6</v>
      </c>
      <c r="AJ22" s="3">
        <v>425.3</v>
      </c>
      <c r="AK22" s="3">
        <v>418.7</v>
      </c>
      <c r="AL22" s="3">
        <v>426.3</v>
      </c>
      <c r="AM22" s="3">
        <v>451.8</v>
      </c>
      <c r="AN22" s="3">
        <v>479.8</v>
      </c>
      <c r="AO22" s="3">
        <v>510.5</v>
      </c>
      <c r="AP22" s="3">
        <v>525.5</v>
      </c>
      <c r="AQ22" s="3">
        <v>571.20000000000005</v>
      </c>
      <c r="AR22" s="3">
        <v>578.29999999999995</v>
      </c>
      <c r="AS22" s="3">
        <v>580</v>
      </c>
      <c r="AT22" s="3">
        <v>587.6</v>
      </c>
      <c r="AU22" s="3">
        <v>640.6</v>
      </c>
      <c r="AV22" s="3">
        <v>658.9</v>
      </c>
      <c r="AW22" s="3">
        <v>661.8</v>
      </c>
      <c r="AX22" s="3">
        <v>663.2</v>
      </c>
      <c r="AY22" s="3">
        <v>682.7</v>
      </c>
      <c r="AZ22" s="3">
        <v>688.1</v>
      </c>
      <c r="BA22" s="3">
        <v>695.3</v>
      </c>
      <c r="BB22" s="3">
        <v>696.9</v>
      </c>
      <c r="BC22" s="3">
        <v>723.3</v>
      </c>
      <c r="BD22" s="3">
        <v>729</v>
      </c>
      <c r="BE22" s="3">
        <v>736.1</v>
      </c>
      <c r="BF22" s="3">
        <v>738.6</v>
      </c>
      <c r="BG22" s="3">
        <v>783.3</v>
      </c>
      <c r="BH22" s="3">
        <v>793</v>
      </c>
      <c r="BI22" s="3">
        <v>797.3</v>
      </c>
      <c r="BJ22" s="3">
        <v>801</v>
      </c>
      <c r="BK22" s="3">
        <v>898.8</v>
      </c>
      <c r="BL22" s="3">
        <v>1007.3</v>
      </c>
      <c r="BM22" s="3">
        <v>949.7</v>
      </c>
      <c r="BN22" s="3">
        <v>1033.9000000000001</v>
      </c>
      <c r="BO22" s="3">
        <v>964</v>
      </c>
      <c r="BP22" s="3">
        <v>969.9</v>
      </c>
      <c r="BQ22" s="3">
        <v>1201.0999999999999</v>
      </c>
      <c r="BR22" s="3">
        <v>1288.7</v>
      </c>
      <c r="BS22" s="3">
        <v>1403.4</v>
      </c>
      <c r="BT22" s="3">
        <v>1446.4</v>
      </c>
      <c r="BU22" s="3">
        <v>1763.3</v>
      </c>
      <c r="BV22" s="3">
        <v>2429.5</v>
      </c>
      <c r="BW22" s="3">
        <v>2001.9</v>
      </c>
      <c r="BX22" s="3">
        <v>2522.8000000000002</v>
      </c>
      <c r="BY22" s="3">
        <v>2028</v>
      </c>
      <c r="BZ22" s="3">
        <v>2123</v>
      </c>
      <c r="CA22" s="3">
        <v>3177.4</v>
      </c>
      <c r="CB22" s="3">
        <v>3434.5</v>
      </c>
      <c r="CC22" s="3">
        <v>3549.9</v>
      </c>
      <c r="CD22" s="3">
        <v>3655.8</v>
      </c>
      <c r="CE22" s="3">
        <v>4492.2</v>
      </c>
      <c r="CF22" s="3">
        <v>4651.3</v>
      </c>
      <c r="CG22" s="3">
        <v>5166.3999999999996</v>
      </c>
      <c r="CH22" s="3">
        <v>5416.6</v>
      </c>
      <c r="CI22" s="3">
        <v>5426.7</v>
      </c>
      <c r="CJ22" s="3">
        <v>5666.3</v>
      </c>
      <c r="CK22" s="3">
        <v>6528</v>
      </c>
      <c r="CL22" s="3">
        <v>6852.2</v>
      </c>
      <c r="CM22" s="3">
        <v>7413.1</v>
      </c>
      <c r="CN22" s="3">
        <v>7482.3</v>
      </c>
      <c r="CO22" s="3">
        <v>8858.4</v>
      </c>
      <c r="CP22" s="3">
        <v>9323.5</v>
      </c>
      <c r="CQ22" s="3">
        <v>9644</v>
      </c>
      <c r="CR22" s="3">
        <v>9919.4</v>
      </c>
      <c r="CS22" s="3">
        <v>10224.5</v>
      </c>
      <c r="CT22" s="3">
        <v>10350.4</v>
      </c>
    </row>
    <row r="23" spans="1:98">
      <c r="A23" s="4" t="s">
        <v>119</v>
      </c>
      <c r="B23" s="5">
        <v>100</v>
      </c>
      <c r="C23" s="5">
        <v>107.7</v>
      </c>
      <c r="D23" s="5">
        <v>109.3</v>
      </c>
      <c r="E23" s="5">
        <v>112.8</v>
      </c>
      <c r="F23" s="5">
        <v>115.1</v>
      </c>
      <c r="G23" s="5">
        <v>138.6</v>
      </c>
      <c r="H23" s="5">
        <v>140.19999999999999</v>
      </c>
      <c r="I23" s="5">
        <v>143.4</v>
      </c>
      <c r="J23" s="5">
        <v>143.4</v>
      </c>
      <c r="K23" s="5">
        <v>161</v>
      </c>
      <c r="L23" s="5">
        <v>162.4</v>
      </c>
      <c r="M23" s="5">
        <v>164.7</v>
      </c>
      <c r="N23" s="5">
        <v>165.1</v>
      </c>
      <c r="O23" s="5">
        <v>179.7</v>
      </c>
      <c r="P23" s="5">
        <v>179.7</v>
      </c>
      <c r="Q23" s="5">
        <v>182.6</v>
      </c>
      <c r="R23" s="5">
        <v>182.7</v>
      </c>
      <c r="S23" s="5">
        <v>210.2</v>
      </c>
      <c r="T23" s="5">
        <v>214.4</v>
      </c>
      <c r="U23" s="5">
        <v>217.7</v>
      </c>
      <c r="V23" s="5">
        <v>230</v>
      </c>
      <c r="W23" s="5">
        <v>270.5</v>
      </c>
      <c r="X23" s="5">
        <v>283.5</v>
      </c>
      <c r="Y23" s="5">
        <v>276.39999999999998</v>
      </c>
      <c r="Z23" s="5">
        <v>277</v>
      </c>
      <c r="AA23" s="5">
        <v>283</v>
      </c>
      <c r="AB23" s="5">
        <v>284.10000000000002</v>
      </c>
      <c r="AC23" s="5">
        <v>285.8</v>
      </c>
      <c r="AD23" s="5">
        <v>287.10000000000002</v>
      </c>
      <c r="AE23" s="5">
        <v>297.2</v>
      </c>
      <c r="AF23" s="5">
        <v>298.10000000000002</v>
      </c>
      <c r="AG23" s="5">
        <v>311.8</v>
      </c>
      <c r="AH23" s="5">
        <v>324</v>
      </c>
      <c r="AI23" s="5">
        <v>339.7</v>
      </c>
      <c r="AJ23" s="5">
        <v>346.3</v>
      </c>
      <c r="AK23" s="5">
        <v>350.8</v>
      </c>
      <c r="AL23" s="5">
        <v>364.4</v>
      </c>
      <c r="AM23" s="5">
        <v>381.9</v>
      </c>
      <c r="AN23" s="5">
        <v>400.4</v>
      </c>
      <c r="AO23" s="5">
        <v>444.7</v>
      </c>
      <c r="AP23" s="5">
        <v>458.7</v>
      </c>
      <c r="AQ23" s="5">
        <v>514.79999999999995</v>
      </c>
      <c r="AR23" s="5">
        <v>522</v>
      </c>
      <c r="AS23" s="5">
        <v>531.70000000000005</v>
      </c>
      <c r="AT23" s="5">
        <v>537</v>
      </c>
      <c r="AU23" s="5">
        <v>601.1</v>
      </c>
      <c r="AV23" s="5">
        <v>615.79999999999995</v>
      </c>
      <c r="AW23" s="5">
        <v>620.20000000000005</v>
      </c>
      <c r="AX23" s="5">
        <v>623.20000000000005</v>
      </c>
      <c r="AY23" s="5">
        <v>646.20000000000005</v>
      </c>
      <c r="AZ23" s="5">
        <v>649.4</v>
      </c>
      <c r="BA23" s="5">
        <v>651.29999999999995</v>
      </c>
      <c r="BB23" s="5">
        <v>653.1</v>
      </c>
      <c r="BC23" s="5">
        <v>676.3</v>
      </c>
      <c r="BD23" s="5">
        <v>680.9</v>
      </c>
      <c r="BE23" s="5">
        <v>702.1</v>
      </c>
      <c r="BF23" s="5">
        <v>705.7</v>
      </c>
      <c r="BG23" s="5">
        <v>759.3</v>
      </c>
      <c r="BH23" s="5">
        <v>766.8</v>
      </c>
      <c r="BI23" s="5">
        <v>783.7</v>
      </c>
      <c r="BJ23" s="5">
        <v>791.8</v>
      </c>
      <c r="BK23" s="5">
        <v>884.2</v>
      </c>
      <c r="BL23" s="5">
        <v>1012</v>
      </c>
      <c r="BM23" s="5">
        <v>951.4</v>
      </c>
      <c r="BN23" s="5">
        <v>1031.2</v>
      </c>
      <c r="BO23" s="5">
        <v>971.6</v>
      </c>
      <c r="BP23" s="5">
        <v>984.8</v>
      </c>
      <c r="BQ23" s="5">
        <v>1170.2</v>
      </c>
      <c r="BR23" s="5">
        <v>1276.5</v>
      </c>
      <c r="BS23" s="5">
        <v>1315.1</v>
      </c>
      <c r="BT23" s="5">
        <v>1345.6</v>
      </c>
      <c r="BU23" s="5">
        <v>1574.1</v>
      </c>
      <c r="BV23" s="5">
        <v>2160.3000000000002</v>
      </c>
      <c r="BW23" s="5">
        <v>1770.9</v>
      </c>
      <c r="BX23" s="5">
        <v>2240.1999999999998</v>
      </c>
      <c r="BY23" s="5">
        <v>1800.4</v>
      </c>
      <c r="BZ23" s="5">
        <v>1923.8</v>
      </c>
      <c r="CA23" s="5">
        <v>2896.7</v>
      </c>
      <c r="CB23" s="5">
        <v>3119.3</v>
      </c>
      <c r="CC23" s="5">
        <v>3265.7</v>
      </c>
      <c r="CD23" s="5">
        <v>3346.9</v>
      </c>
      <c r="CE23" s="5">
        <v>4140.1000000000004</v>
      </c>
      <c r="CF23" s="5">
        <v>4327.8999999999996</v>
      </c>
      <c r="CG23" s="5">
        <v>4587.3</v>
      </c>
      <c r="CH23" s="5">
        <v>4804.7</v>
      </c>
      <c r="CI23" s="5">
        <v>4821.3999999999996</v>
      </c>
      <c r="CJ23" s="5">
        <v>5036</v>
      </c>
      <c r="CK23" s="5">
        <v>5941.9</v>
      </c>
      <c r="CL23" s="5">
        <v>6245.4</v>
      </c>
      <c r="CM23" s="5">
        <v>6552.5</v>
      </c>
      <c r="CN23" s="5">
        <v>6645.8</v>
      </c>
      <c r="CO23" s="5">
        <v>8035.6</v>
      </c>
      <c r="CP23" s="5">
        <v>8777.4</v>
      </c>
      <c r="CQ23" s="5">
        <v>8835.7000000000007</v>
      </c>
      <c r="CR23" s="5">
        <v>9066.4</v>
      </c>
      <c r="CS23" s="5">
        <v>9198.9</v>
      </c>
      <c r="CT23" s="5">
        <v>9314.7000000000007</v>
      </c>
    </row>
    <row r="24" spans="1:98">
      <c r="A24" s="2" t="s">
        <v>120</v>
      </c>
      <c r="B24" s="3">
        <v>100</v>
      </c>
      <c r="C24" s="3">
        <v>102.3</v>
      </c>
      <c r="D24" s="3">
        <v>103.3</v>
      </c>
      <c r="E24" s="3">
        <v>103.9</v>
      </c>
      <c r="F24" s="3">
        <v>104.4</v>
      </c>
      <c r="G24" s="3">
        <v>113.6</v>
      </c>
      <c r="H24" s="3">
        <v>114.5</v>
      </c>
      <c r="I24" s="3">
        <v>118.2</v>
      </c>
      <c r="J24" s="3">
        <v>118.2</v>
      </c>
      <c r="K24" s="3">
        <v>117.3</v>
      </c>
      <c r="L24" s="3">
        <v>117.7</v>
      </c>
      <c r="M24" s="3">
        <v>118.4</v>
      </c>
      <c r="N24" s="3">
        <v>118.6</v>
      </c>
      <c r="O24" s="3">
        <v>121.2</v>
      </c>
      <c r="P24" s="3">
        <v>121.2</v>
      </c>
      <c r="Q24" s="3">
        <v>123</v>
      </c>
      <c r="R24" s="3">
        <v>123.1</v>
      </c>
      <c r="S24" s="3">
        <v>148.19999999999999</v>
      </c>
      <c r="T24" s="3">
        <v>148.9</v>
      </c>
      <c r="U24" s="3">
        <v>155.4</v>
      </c>
      <c r="V24" s="3">
        <v>159.80000000000001</v>
      </c>
      <c r="W24" s="3">
        <v>233.3</v>
      </c>
      <c r="X24" s="3">
        <v>265</v>
      </c>
      <c r="Y24" s="3">
        <v>262.89999999999998</v>
      </c>
      <c r="Z24" s="3">
        <v>251.6</v>
      </c>
      <c r="AA24" s="3">
        <v>242.6</v>
      </c>
      <c r="AB24" s="3">
        <v>251.3</v>
      </c>
      <c r="AC24" s="3">
        <v>264.39999999999998</v>
      </c>
      <c r="AD24" s="3">
        <v>266.60000000000002</v>
      </c>
      <c r="AE24" s="3">
        <v>279</v>
      </c>
      <c r="AF24" s="3">
        <v>277.89999999999998</v>
      </c>
      <c r="AG24" s="3">
        <v>282.8</v>
      </c>
      <c r="AH24" s="3">
        <v>301.2</v>
      </c>
      <c r="AI24" s="3">
        <v>332.8</v>
      </c>
      <c r="AJ24" s="3">
        <v>347</v>
      </c>
      <c r="AK24" s="3">
        <v>363.7</v>
      </c>
      <c r="AL24" s="3">
        <v>377.6</v>
      </c>
      <c r="AM24" s="3">
        <v>423.6</v>
      </c>
      <c r="AN24" s="3">
        <v>443.8</v>
      </c>
      <c r="AO24" s="3">
        <v>482.6</v>
      </c>
      <c r="AP24" s="3">
        <v>622.70000000000005</v>
      </c>
      <c r="AQ24" s="3">
        <v>675.9</v>
      </c>
      <c r="AR24" s="3">
        <v>676.7</v>
      </c>
      <c r="AS24" s="3">
        <v>693.4</v>
      </c>
      <c r="AT24" s="3">
        <v>691.2</v>
      </c>
      <c r="AU24" s="3">
        <v>735.8</v>
      </c>
      <c r="AV24" s="3">
        <v>744.9</v>
      </c>
      <c r="AW24" s="3">
        <v>714.2</v>
      </c>
      <c r="AX24" s="3">
        <v>685.2</v>
      </c>
      <c r="AY24" s="3">
        <v>700.3</v>
      </c>
      <c r="AZ24" s="3">
        <v>698.4</v>
      </c>
      <c r="BA24" s="3">
        <v>661.2</v>
      </c>
      <c r="BB24" s="3">
        <v>619.5</v>
      </c>
      <c r="BC24" s="3">
        <v>637.6</v>
      </c>
      <c r="BD24" s="3">
        <v>651.20000000000005</v>
      </c>
      <c r="BE24" s="3">
        <v>690.2</v>
      </c>
      <c r="BF24" s="3">
        <v>715.7</v>
      </c>
      <c r="BG24" s="3">
        <v>729.3</v>
      </c>
      <c r="BH24" s="3">
        <v>732.4</v>
      </c>
      <c r="BI24" s="3">
        <v>763.7</v>
      </c>
      <c r="BJ24" s="3">
        <v>811.3</v>
      </c>
      <c r="BK24" s="3">
        <v>939.3</v>
      </c>
      <c r="BL24" s="3">
        <v>1390.4</v>
      </c>
      <c r="BM24" s="3">
        <v>1144.3</v>
      </c>
      <c r="BN24" s="3">
        <v>1302.4000000000001</v>
      </c>
      <c r="BO24" s="3">
        <v>1182.7</v>
      </c>
      <c r="BP24" s="3">
        <v>1358.7</v>
      </c>
      <c r="BQ24" s="3">
        <v>1474.3</v>
      </c>
      <c r="BR24" s="3">
        <v>1367</v>
      </c>
      <c r="BS24" s="3">
        <v>1346.3</v>
      </c>
      <c r="BT24" s="3">
        <v>1372</v>
      </c>
      <c r="BU24" s="3">
        <v>1486.7</v>
      </c>
      <c r="BV24" s="3">
        <v>2185.3000000000002</v>
      </c>
      <c r="BW24" s="3">
        <v>1747.4</v>
      </c>
      <c r="BX24" s="3">
        <v>2516.3000000000002</v>
      </c>
      <c r="BY24" s="3">
        <v>1810.7</v>
      </c>
      <c r="BZ24" s="3">
        <v>1937.4</v>
      </c>
      <c r="CA24" s="3">
        <v>2835.9</v>
      </c>
      <c r="CB24" s="3">
        <v>2994.8</v>
      </c>
      <c r="CC24" s="3">
        <v>3338.4</v>
      </c>
      <c r="CD24" s="3">
        <v>3614.1</v>
      </c>
      <c r="CE24" s="3">
        <v>4303.1000000000004</v>
      </c>
      <c r="CF24" s="3">
        <v>4154.6000000000004</v>
      </c>
      <c r="CG24" s="3">
        <v>4412.5</v>
      </c>
      <c r="CH24" s="3">
        <v>4830</v>
      </c>
      <c r="CI24" s="3">
        <v>5068.6000000000004</v>
      </c>
      <c r="CJ24" s="3">
        <v>5599.4</v>
      </c>
      <c r="CK24" s="3">
        <v>6280</v>
      </c>
      <c r="CL24" s="3">
        <v>6379.2</v>
      </c>
      <c r="CM24" s="3">
        <v>6265.9</v>
      </c>
      <c r="CN24" s="3">
        <v>6154.8</v>
      </c>
      <c r="CO24" s="3">
        <v>7080.2</v>
      </c>
      <c r="CP24" s="3">
        <v>7431.4</v>
      </c>
      <c r="CQ24" s="3">
        <v>8252.9</v>
      </c>
      <c r="CR24" s="3">
        <v>8896.2999999999993</v>
      </c>
      <c r="CS24" s="3">
        <v>9417.4</v>
      </c>
      <c r="CT24" s="3">
        <v>9686.7000000000007</v>
      </c>
    </row>
    <row r="25" spans="1:98">
      <c r="A25" s="4" t="s">
        <v>121</v>
      </c>
      <c r="B25" s="5">
        <v>100</v>
      </c>
      <c r="C25" s="5">
        <v>110</v>
      </c>
      <c r="D25" s="5">
        <v>110.2</v>
      </c>
      <c r="E25" s="5">
        <v>110.3</v>
      </c>
      <c r="F25" s="5">
        <v>110.4</v>
      </c>
      <c r="G25" s="5">
        <v>113.4</v>
      </c>
      <c r="H25" s="5">
        <v>117.4</v>
      </c>
      <c r="I25" s="5">
        <v>117.5</v>
      </c>
      <c r="J25" s="5">
        <v>117.5</v>
      </c>
      <c r="K25" s="5">
        <v>129.19999999999999</v>
      </c>
      <c r="L25" s="5">
        <v>129.19999999999999</v>
      </c>
      <c r="M25" s="5">
        <v>129.4</v>
      </c>
      <c r="N25" s="5">
        <v>129.5</v>
      </c>
      <c r="O25" s="5">
        <v>134.69999999999999</v>
      </c>
      <c r="P25" s="5">
        <v>134.69999999999999</v>
      </c>
      <c r="Q25" s="5">
        <v>138.19999999999999</v>
      </c>
      <c r="R25" s="5">
        <v>138.19999999999999</v>
      </c>
      <c r="S25" s="5">
        <v>156</v>
      </c>
      <c r="T25" s="5">
        <v>156.1</v>
      </c>
      <c r="U25" s="5">
        <v>156.30000000000001</v>
      </c>
      <c r="V25" s="5">
        <v>156.4</v>
      </c>
      <c r="W25" s="5">
        <v>160.6</v>
      </c>
      <c r="X25" s="5">
        <v>160.69999999999999</v>
      </c>
      <c r="Y25" s="5">
        <v>168.3</v>
      </c>
      <c r="Z25" s="5">
        <v>168.3</v>
      </c>
      <c r="AA25" s="5">
        <v>181.8</v>
      </c>
      <c r="AB25" s="5">
        <v>188.1</v>
      </c>
      <c r="AC25" s="5">
        <v>187.6</v>
      </c>
      <c r="AD25" s="5">
        <v>184.3</v>
      </c>
      <c r="AE25" s="5">
        <v>177.6</v>
      </c>
      <c r="AF25" s="5">
        <v>195.3</v>
      </c>
      <c r="AG25" s="5">
        <v>195.6</v>
      </c>
      <c r="AH25" s="5">
        <v>197.2</v>
      </c>
      <c r="AI25" s="5">
        <v>199.5</v>
      </c>
      <c r="AJ25" s="5">
        <v>200.1</v>
      </c>
      <c r="AK25" s="5">
        <v>208.3</v>
      </c>
      <c r="AL25" s="5">
        <v>225.1</v>
      </c>
      <c r="AM25" s="5">
        <v>243.4</v>
      </c>
      <c r="AN25" s="5">
        <v>258.60000000000002</v>
      </c>
      <c r="AO25" s="5">
        <v>299.8</v>
      </c>
      <c r="AP25" s="5">
        <v>305.8</v>
      </c>
      <c r="AQ25" s="5">
        <v>311.60000000000002</v>
      </c>
      <c r="AR25" s="5">
        <v>312.60000000000002</v>
      </c>
      <c r="AS25" s="5">
        <v>317.39999999999998</v>
      </c>
      <c r="AT25" s="5">
        <v>318.5</v>
      </c>
      <c r="AU25" s="5">
        <v>328.4</v>
      </c>
      <c r="AV25" s="5">
        <v>329.7</v>
      </c>
      <c r="AW25" s="5">
        <v>333.8</v>
      </c>
      <c r="AX25" s="5">
        <v>334.4</v>
      </c>
      <c r="AY25" s="5">
        <v>335.8</v>
      </c>
      <c r="AZ25" s="5">
        <v>336.7</v>
      </c>
      <c r="BA25" s="5">
        <v>343.3</v>
      </c>
      <c r="BB25" s="5">
        <v>343.8</v>
      </c>
      <c r="BC25" s="5">
        <v>349</v>
      </c>
      <c r="BD25" s="5">
        <v>349.9</v>
      </c>
      <c r="BE25" s="5">
        <v>368.4</v>
      </c>
      <c r="BF25" s="5">
        <v>368.9</v>
      </c>
      <c r="BG25" s="5">
        <v>383.6</v>
      </c>
      <c r="BH25" s="5">
        <v>384.9</v>
      </c>
      <c r="BI25" s="5">
        <v>398.1</v>
      </c>
      <c r="BJ25" s="5">
        <v>398.9</v>
      </c>
      <c r="BK25" s="5">
        <v>432.8</v>
      </c>
      <c r="BL25" s="5">
        <v>623.70000000000005</v>
      </c>
      <c r="BM25" s="5">
        <v>478.9</v>
      </c>
      <c r="BN25" s="5">
        <v>636.4</v>
      </c>
      <c r="BO25" s="5">
        <v>572.29999999999995</v>
      </c>
      <c r="BP25" s="5">
        <v>580.6</v>
      </c>
      <c r="BQ25" s="5">
        <v>738.2</v>
      </c>
      <c r="BR25" s="5">
        <v>818.3</v>
      </c>
      <c r="BS25" s="5">
        <v>841.8</v>
      </c>
      <c r="BT25" s="5">
        <v>848.5</v>
      </c>
      <c r="BU25" s="5">
        <v>908.5</v>
      </c>
      <c r="BV25" s="5">
        <v>1416.1</v>
      </c>
      <c r="BW25" s="5">
        <v>1062.8</v>
      </c>
      <c r="BX25" s="5">
        <v>1521.3</v>
      </c>
      <c r="BY25" s="5">
        <v>1098.4000000000001</v>
      </c>
      <c r="BZ25" s="5">
        <v>1191.9000000000001</v>
      </c>
      <c r="CA25" s="5">
        <v>1897.7</v>
      </c>
      <c r="CB25" s="5">
        <v>2001.7</v>
      </c>
      <c r="CC25" s="5">
        <v>2160.1999999999998</v>
      </c>
      <c r="CD25" s="5">
        <v>2199.1</v>
      </c>
      <c r="CE25" s="5">
        <v>2706.8</v>
      </c>
      <c r="CF25" s="5">
        <v>2864.4</v>
      </c>
      <c r="CG25" s="5">
        <v>3482.9</v>
      </c>
      <c r="CH25" s="5">
        <v>3506.5</v>
      </c>
      <c r="CI25" s="5">
        <v>3537.3</v>
      </c>
      <c r="CJ25" s="5">
        <v>4242</v>
      </c>
      <c r="CK25" s="5">
        <v>4553.3999999999996</v>
      </c>
      <c r="CL25" s="5">
        <v>4628.1000000000004</v>
      </c>
      <c r="CM25" s="5">
        <v>5377.5</v>
      </c>
      <c r="CN25" s="5">
        <v>5514.2</v>
      </c>
      <c r="CO25" s="5">
        <v>5975.1</v>
      </c>
      <c r="CP25" s="5">
        <v>6121.4</v>
      </c>
      <c r="CQ25" s="5">
        <v>6696.6</v>
      </c>
      <c r="CR25" s="5">
        <v>7037.3</v>
      </c>
      <c r="CS25" s="5">
        <v>7168.3</v>
      </c>
      <c r="CT25" s="5">
        <v>7304.2</v>
      </c>
    </row>
    <row r="26" spans="1:98">
      <c r="A26" s="2" t="s">
        <v>122</v>
      </c>
      <c r="B26" s="3">
        <v>100</v>
      </c>
      <c r="C26" s="3">
        <v>109.6</v>
      </c>
      <c r="D26" s="3">
        <v>110.3</v>
      </c>
      <c r="E26" s="3">
        <v>112.2</v>
      </c>
      <c r="F26" s="3">
        <v>115.5</v>
      </c>
      <c r="G26" s="3">
        <v>135.80000000000001</v>
      </c>
      <c r="H26" s="3">
        <v>136.5</v>
      </c>
      <c r="I26" s="3">
        <v>138.6</v>
      </c>
      <c r="J26" s="3">
        <v>138.6</v>
      </c>
      <c r="K26" s="3">
        <v>154</v>
      </c>
      <c r="L26" s="3">
        <v>154.19999999999999</v>
      </c>
      <c r="M26" s="3">
        <v>154.69999999999999</v>
      </c>
      <c r="N26" s="3">
        <v>154.80000000000001</v>
      </c>
      <c r="O26" s="3">
        <v>165</v>
      </c>
      <c r="P26" s="3">
        <v>165</v>
      </c>
      <c r="Q26" s="3">
        <v>169.9</v>
      </c>
      <c r="R26" s="3">
        <v>170</v>
      </c>
      <c r="S26" s="3">
        <v>180.8</v>
      </c>
      <c r="T26" s="3">
        <v>197.6</v>
      </c>
      <c r="U26" s="3">
        <v>210.7</v>
      </c>
      <c r="V26" s="3">
        <v>211.8</v>
      </c>
      <c r="W26" s="3">
        <v>226.5</v>
      </c>
      <c r="X26" s="3">
        <v>251.2</v>
      </c>
      <c r="Y26" s="3">
        <v>252</v>
      </c>
      <c r="Z26" s="3">
        <v>252.3</v>
      </c>
      <c r="AA26" s="3">
        <v>255.4</v>
      </c>
      <c r="AB26" s="3">
        <v>255.8</v>
      </c>
      <c r="AC26" s="3">
        <v>256.89999999999998</v>
      </c>
      <c r="AD26" s="3">
        <v>257.7</v>
      </c>
      <c r="AE26" s="3">
        <v>261.39999999999998</v>
      </c>
      <c r="AF26" s="3">
        <v>261.89999999999998</v>
      </c>
      <c r="AG26" s="3">
        <v>262.5</v>
      </c>
      <c r="AH26" s="3">
        <v>264.10000000000002</v>
      </c>
      <c r="AI26" s="3">
        <v>268.39999999999998</v>
      </c>
      <c r="AJ26" s="3">
        <v>269</v>
      </c>
      <c r="AK26" s="3">
        <v>270</v>
      </c>
      <c r="AL26" s="3">
        <v>271</v>
      </c>
      <c r="AM26" s="3">
        <v>277.7</v>
      </c>
      <c r="AN26" s="3">
        <v>282.60000000000002</v>
      </c>
      <c r="AO26" s="3">
        <v>286.2</v>
      </c>
      <c r="AP26" s="3">
        <v>288.2</v>
      </c>
      <c r="AQ26" s="3">
        <v>298.5</v>
      </c>
      <c r="AR26" s="3">
        <v>300.2</v>
      </c>
      <c r="AS26" s="3">
        <v>302.10000000000002</v>
      </c>
      <c r="AT26" s="3">
        <v>304.3</v>
      </c>
      <c r="AU26" s="3">
        <v>318.8</v>
      </c>
      <c r="AV26" s="3">
        <v>320.8</v>
      </c>
      <c r="AW26" s="3">
        <v>322</v>
      </c>
      <c r="AX26" s="3">
        <v>323</v>
      </c>
      <c r="AY26" s="3">
        <v>324</v>
      </c>
      <c r="AZ26" s="3">
        <v>325</v>
      </c>
      <c r="BA26" s="3">
        <v>326</v>
      </c>
      <c r="BB26" s="3">
        <v>327</v>
      </c>
      <c r="BC26" s="3">
        <v>328</v>
      </c>
      <c r="BD26" s="3">
        <v>329</v>
      </c>
      <c r="BE26" s="3">
        <v>330</v>
      </c>
      <c r="BF26" s="3">
        <v>331</v>
      </c>
      <c r="BG26" s="3">
        <v>332</v>
      </c>
      <c r="BH26" s="3">
        <v>333</v>
      </c>
      <c r="BI26" s="3">
        <v>334</v>
      </c>
      <c r="BJ26" s="3">
        <v>335</v>
      </c>
      <c r="BK26" s="3">
        <v>336</v>
      </c>
      <c r="BL26" s="3">
        <v>339</v>
      </c>
      <c r="BM26" s="3">
        <v>337</v>
      </c>
      <c r="BN26" s="3">
        <v>340</v>
      </c>
      <c r="BO26" s="3">
        <v>338</v>
      </c>
      <c r="BP26" s="3">
        <v>339</v>
      </c>
      <c r="BQ26" s="3">
        <v>341</v>
      </c>
      <c r="BR26" s="3">
        <v>342</v>
      </c>
      <c r="BS26" s="3">
        <v>343</v>
      </c>
      <c r="BT26" s="3">
        <v>344</v>
      </c>
      <c r="BU26" s="3">
        <v>345</v>
      </c>
      <c r="BV26" s="3">
        <v>349</v>
      </c>
      <c r="BW26" s="3">
        <v>346</v>
      </c>
      <c r="BX26" s="3">
        <v>350</v>
      </c>
      <c r="BY26" s="3">
        <v>347</v>
      </c>
      <c r="BZ26" s="3">
        <v>348</v>
      </c>
      <c r="CA26" s="3">
        <v>351</v>
      </c>
      <c r="CB26" s="3">
        <v>352</v>
      </c>
      <c r="CC26" s="3">
        <v>353</v>
      </c>
      <c r="CD26" s="3">
        <v>354</v>
      </c>
      <c r="CE26" s="3">
        <v>355</v>
      </c>
      <c r="CF26" s="3">
        <v>356</v>
      </c>
      <c r="CG26" s="3">
        <v>357</v>
      </c>
      <c r="CH26" s="3">
        <v>358</v>
      </c>
      <c r="CI26" s="3">
        <v>358</v>
      </c>
      <c r="CJ26" s="3">
        <v>358</v>
      </c>
      <c r="CK26" s="3">
        <v>359</v>
      </c>
      <c r="CL26" s="3">
        <v>360</v>
      </c>
      <c r="CM26" s="3">
        <v>361</v>
      </c>
      <c r="CN26" s="3">
        <v>362</v>
      </c>
      <c r="CO26" s="3">
        <v>363</v>
      </c>
      <c r="CP26" s="3">
        <v>364</v>
      </c>
      <c r="CQ26" s="3">
        <v>365</v>
      </c>
      <c r="CR26" s="3">
        <v>366</v>
      </c>
      <c r="CS26" s="3">
        <v>366</v>
      </c>
      <c r="CT26" s="3">
        <v>366</v>
      </c>
    </row>
    <row r="27" spans="1:98">
      <c r="A27" s="4" t="s">
        <v>123</v>
      </c>
      <c r="B27" s="5">
        <v>100</v>
      </c>
      <c r="C27" s="5">
        <v>103</v>
      </c>
      <c r="D27" s="5">
        <v>101.7</v>
      </c>
      <c r="E27" s="5">
        <v>102.4</v>
      </c>
      <c r="F27" s="5">
        <v>114.3</v>
      </c>
      <c r="G27" s="5">
        <v>133.6</v>
      </c>
      <c r="H27" s="5">
        <v>142.1</v>
      </c>
      <c r="I27" s="5">
        <v>152.19999999999999</v>
      </c>
      <c r="J27" s="5">
        <v>149.6</v>
      </c>
      <c r="K27" s="5">
        <v>147.30000000000001</v>
      </c>
      <c r="L27" s="5">
        <v>142.1</v>
      </c>
      <c r="M27" s="5">
        <v>142</v>
      </c>
      <c r="N27" s="5">
        <v>136.5</v>
      </c>
      <c r="O27" s="5">
        <v>146.9</v>
      </c>
      <c r="P27" s="5">
        <v>160.80000000000001</v>
      </c>
      <c r="Q27" s="5">
        <v>177.6</v>
      </c>
      <c r="R27" s="5">
        <v>184.3</v>
      </c>
      <c r="S27" s="5">
        <v>205.1</v>
      </c>
      <c r="T27" s="5">
        <v>206.6</v>
      </c>
      <c r="U27" s="5">
        <v>223.1</v>
      </c>
      <c r="V27" s="5">
        <v>231.6</v>
      </c>
      <c r="W27" s="5">
        <v>271.89999999999998</v>
      </c>
      <c r="X27" s="5">
        <v>288.3</v>
      </c>
      <c r="Y27" s="5">
        <v>232.3</v>
      </c>
      <c r="Z27" s="5">
        <v>203.9</v>
      </c>
      <c r="AA27" s="5">
        <v>193.9</v>
      </c>
      <c r="AB27" s="5">
        <v>205.9</v>
      </c>
      <c r="AC27" s="5">
        <v>204.2</v>
      </c>
      <c r="AD27" s="5">
        <v>213.3</v>
      </c>
      <c r="AE27" s="5">
        <v>227.9</v>
      </c>
      <c r="AF27" s="5">
        <v>234.4</v>
      </c>
      <c r="AG27" s="5">
        <v>247.7</v>
      </c>
      <c r="AH27" s="5">
        <v>252.3</v>
      </c>
      <c r="AI27" s="5">
        <v>272.5</v>
      </c>
      <c r="AJ27" s="5">
        <v>289.2</v>
      </c>
      <c r="AK27" s="5">
        <v>296.2</v>
      </c>
      <c r="AL27" s="5">
        <v>318.3</v>
      </c>
      <c r="AM27" s="5">
        <v>345.1</v>
      </c>
      <c r="AN27" s="5">
        <v>407.8</v>
      </c>
      <c r="AO27" s="5">
        <v>486.6</v>
      </c>
      <c r="AP27" s="5">
        <v>507.7</v>
      </c>
      <c r="AQ27" s="5">
        <v>533.29999999999995</v>
      </c>
      <c r="AR27" s="5">
        <v>521.29999999999995</v>
      </c>
      <c r="AS27" s="5">
        <v>510.7</v>
      </c>
      <c r="AT27" s="5">
        <v>503.7</v>
      </c>
      <c r="AU27" s="5">
        <v>549.79999999999995</v>
      </c>
      <c r="AV27" s="5">
        <v>541</v>
      </c>
      <c r="AW27" s="5">
        <v>547.6</v>
      </c>
      <c r="AX27" s="5">
        <v>523.79999999999995</v>
      </c>
      <c r="AY27" s="5">
        <v>504.7</v>
      </c>
      <c r="AZ27" s="5">
        <v>490.9</v>
      </c>
      <c r="BA27" s="5">
        <v>478.8</v>
      </c>
      <c r="BB27" s="5">
        <v>456.9</v>
      </c>
      <c r="BC27" s="5">
        <v>520.70000000000005</v>
      </c>
      <c r="BD27" s="5">
        <v>515.5</v>
      </c>
      <c r="BE27" s="5">
        <v>551.4</v>
      </c>
      <c r="BF27" s="5">
        <v>560.70000000000005</v>
      </c>
      <c r="BG27" s="5">
        <v>573.4</v>
      </c>
      <c r="BH27" s="5">
        <v>638.4</v>
      </c>
      <c r="BI27" s="5">
        <v>671.9</v>
      </c>
      <c r="BJ27" s="5">
        <v>699.2</v>
      </c>
      <c r="BK27" s="5">
        <v>808.3</v>
      </c>
      <c r="BL27" s="5">
        <v>1233.5</v>
      </c>
      <c r="BM27" s="5">
        <v>929.1</v>
      </c>
      <c r="BN27" s="5">
        <v>1214.4000000000001</v>
      </c>
      <c r="BO27" s="5">
        <v>1155.0999999999999</v>
      </c>
      <c r="BP27" s="5">
        <v>1207.0999999999999</v>
      </c>
      <c r="BQ27" s="5">
        <v>1405.4</v>
      </c>
      <c r="BR27" s="5">
        <v>1337.3</v>
      </c>
      <c r="BS27" s="5">
        <v>1355.5</v>
      </c>
      <c r="BT27" s="5">
        <v>1628.5</v>
      </c>
      <c r="BU27" s="5">
        <v>1913.7</v>
      </c>
      <c r="BV27" s="5">
        <v>3192.8</v>
      </c>
      <c r="BW27" s="5">
        <v>2617.3000000000002</v>
      </c>
      <c r="BX27" s="5">
        <v>3450.5</v>
      </c>
      <c r="BY27" s="5">
        <v>2820.1</v>
      </c>
      <c r="BZ27" s="5">
        <v>2932.9</v>
      </c>
      <c r="CA27" s="5">
        <v>3937.1</v>
      </c>
      <c r="CB27" s="5">
        <v>4343.6000000000004</v>
      </c>
      <c r="CC27" s="5">
        <v>4358.3</v>
      </c>
      <c r="CD27" s="5">
        <v>4262.7</v>
      </c>
      <c r="CE27" s="5">
        <v>4774.8999999999996</v>
      </c>
      <c r="CF27" s="5">
        <v>4517.1000000000004</v>
      </c>
      <c r="CG27" s="5">
        <v>4710.8999999999996</v>
      </c>
      <c r="CH27" s="5">
        <v>5394.9</v>
      </c>
      <c r="CI27" s="5">
        <v>6056.1</v>
      </c>
      <c r="CJ27" s="5">
        <v>6783.9</v>
      </c>
      <c r="CK27" s="5">
        <v>6849.6</v>
      </c>
      <c r="CL27" s="5">
        <v>6567.8</v>
      </c>
      <c r="CM27" s="5">
        <v>6612.8</v>
      </c>
      <c r="CN27" s="5">
        <v>6989.6</v>
      </c>
      <c r="CO27" s="5">
        <v>7656.8</v>
      </c>
      <c r="CP27" s="5">
        <v>7848.6</v>
      </c>
      <c r="CQ27" s="5">
        <v>8261.6</v>
      </c>
      <c r="CR27" s="5">
        <v>8666.9</v>
      </c>
      <c r="CS27" s="5">
        <v>8915.1</v>
      </c>
      <c r="CT27" s="5">
        <v>9344.2000000000007</v>
      </c>
    </row>
    <row r="28" spans="1:98">
      <c r="A28" s="2" t="s">
        <v>124</v>
      </c>
      <c r="B28" s="3">
        <v>100</v>
      </c>
      <c r="C28" s="3">
        <v>103.1</v>
      </c>
      <c r="D28" s="3">
        <v>103.6</v>
      </c>
      <c r="E28" s="3">
        <v>106.5</v>
      </c>
      <c r="F28" s="3">
        <v>107.1</v>
      </c>
      <c r="G28" s="3">
        <v>113.4</v>
      </c>
      <c r="H28" s="3">
        <v>115.8</v>
      </c>
      <c r="I28" s="3">
        <v>133.9</v>
      </c>
      <c r="J28" s="3">
        <v>134.6</v>
      </c>
      <c r="K28" s="3">
        <v>143.6</v>
      </c>
      <c r="L28" s="3">
        <v>143.69999999999999</v>
      </c>
      <c r="M28" s="3">
        <v>146.30000000000001</v>
      </c>
      <c r="N28" s="3">
        <v>146.4</v>
      </c>
      <c r="O28" s="3">
        <v>191.1</v>
      </c>
      <c r="P28" s="3">
        <v>191.1</v>
      </c>
      <c r="Q28" s="3">
        <v>194.7</v>
      </c>
      <c r="R28" s="3">
        <v>194.7</v>
      </c>
      <c r="S28" s="3">
        <v>200.7</v>
      </c>
      <c r="T28" s="3">
        <v>200.8</v>
      </c>
      <c r="U28" s="3">
        <v>201.6</v>
      </c>
      <c r="V28" s="3">
        <v>202.4</v>
      </c>
      <c r="W28" s="3">
        <v>216</v>
      </c>
      <c r="X28" s="3">
        <v>216.8</v>
      </c>
      <c r="Y28" s="3">
        <v>185.9</v>
      </c>
      <c r="Z28" s="3">
        <v>185.1</v>
      </c>
      <c r="AA28" s="3">
        <v>198.2</v>
      </c>
      <c r="AB28" s="3">
        <v>198.6</v>
      </c>
      <c r="AC28" s="3">
        <v>209.4</v>
      </c>
      <c r="AD28" s="3">
        <v>210.3</v>
      </c>
      <c r="AE28" s="3">
        <v>212.8</v>
      </c>
      <c r="AF28" s="3">
        <v>213.5</v>
      </c>
      <c r="AG28" s="3">
        <v>214.4</v>
      </c>
      <c r="AH28" s="3">
        <v>214.8</v>
      </c>
      <c r="AI28" s="3">
        <v>227.8</v>
      </c>
      <c r="AJ28" s="3">
        <v>227.4</v>
      </c>
      <c r="AK28" s="3">
        <v>234.9</v>
      </c>
      <c r="AL28" s="3">
        <v>235.3</v>
      </c>
      <c r="AM28" s="3">
        <v>241.3</v>
      </c>
      <c r="AN28" s="3">
        <v>276.3</v>
      </c>
      <c r="AO28" s="3">
        <v>332.2</v>
      </c>
      <c r="AP28" s="3">
        <v>349.6</v>
      </c>
      <c r="AQ28" s="3">
        <v>354.8</v>
      </c>
      <c r="AR28" s="3">
        <v>355.1</v>
      </c>
      <c r="AS28" s="3">
        <v>341.9</v>
      </c>
      <c r="AT28" s="3">
        <v>342.5</v>
      </c>
      <c r="AU28" s="3">
        <v>353.4</v>
      </c>
      <c r="AV28" s="3">
        <v>361.3</v>
      </c>
      <c r="AW28" s="3">
        <v>375.8</v>
      </c>
      <c r="AX28" s="3">
        <v>376.2</v>
      </c>
      <c r="AY28" s="3">
        <v>368.6</v>
      </c>
      <c r="AZ28" s="3">
        <v>360.9</v>
      </c>
      <c r="BA28" s="3">
        <v>339.7</v>
      </c>
      <c r="BB28" s="3">
        <v>339.9</v>
      </c>
      <c r="BC28" s="3">
        <v>349.7</v>
      </c>
      <c r="BD28" s="3">
        <v>350.2</v>
      </c>
      <c r="BE28" s="3">
        <v>367.9</v>
      </c>
      <c r="BF28" s="3">
        <v>368.3</v>
      </c>
      <c r="BG28" s="3">
        <v>391.5</v>
      </c>
      <c r="BH28" s="3">
        <v>393.9</v>
      </c>
      <c r="BI28" s="3">
        <v>399.1</v>
      </c>
      <c r="BJ28" s="3">
        <v>410.2</v>
      </c>
      <c r="BK28" s="3">
        <v>455.9</v>
      </c>
      <c r="BL28" s="3">
        <v>774.2</v>
      </c>
      <c r="BM28" s="3">
        <v>528.6</v>
      </c>
      <c r="BN28" s="3">
        <v>775.3</v>
      </c>
      <c r="BO28" s="3">
        <v>765.7</v>
      </c>
      <c r="BP28" s="3">
        <v>819.1</v>
      </c>
      <c r="BQ28" s="3">
        <v>864.9</v>
      </c>
      <c r="BR28" s="3">
        <v>866.8</v>
      </c>
      <c r="BS28" s="3">
        <v>873.2</v>
      </c>
      <c r="BT28" s="3">
        <v>884.8</v>
      </c>
      <c r="BU28" s="3">
        <v>1055.5</v>
      </c>
      <c r="BV28" s="3">
        <v>1662.2</v>
      </c>
      <c r="BW28" s="3">
        <v>1277</v>
      </c>
      <c r="BX28" s="3">
        <v>1724.6</v>
      </c>
      <c r="BY28" s="3">
        <v>1366.2</v>
      </c>
      <c r="BZ28" s="3">
        <v>1521.1</v>
      </c>
      <c r="CA28" s="3">
        <v>1987.7</v>
      </c>
      <c r="CB28" s="3">
        <v>2238.1</v>
      </c>
      <c r="CC28" s="3">
        <v>2375.5</v>
      </c>
      <c r="CD28" s="3">
        <v>2398.6999999999998</v>
      </c>
      <c r="CE28" s="3">
        <v>2888.3</v>
      </c>
      <c r="CF28" s="3">
        <v>2973.5</v>
      </c>
      <c r="CG28" s="3">
        <v>3006</v>
      </c>
      <c r="CH28" s="3">
        <v>3239.5</v>
      </c>
      <c r="CI28" s="3">
        <v>3431.3</v>
      </c>
      <c r="CJ28" s="3">
        <v>3817.7</v>
      </c>
      <c r="CK28" s="3">
        <v>3948.3</v>
      </c>
      <c r="CL28" s="3">
        <v>3942.3</v>
      </c>
      <c r="CM28" s="3">
        <v>4312.5</v>
      </c>
      <c r="CN28" s="3">
        <v>4322.7</v>
      </c>
      <c r="CO28" s="3">
        <v>4942</v>
      </c>
      <c r="CP28" s="3">
        <v>5148.3999999999996</v>
      </c>
      <c r="CQ28" s="3">
        <v>5340.6</v>
      </c>
      <c r="CR28" s="3">
        <v>5623.5</v>
      </c>
      <c r="CS28" s="3">
        <v>5780.1</v>
      </c>
      <c r="CT28" s="3">
        <v>5854.5</v>
      </c>
    </row>
    <row r="29" spans="1:98">
      <c r="A29" s="4" t="s">
        <v>125</v>
      </c>
      <c r="B29" s="5">
        <v>100</v>
      </c>
      <c r="C29" s="5">
        <v>109.3</v>
      </c>
      <c r="D29" s="5">
        <v>111.9</v>
      </c>
      <c r="E29" s="5">
        <v>114.4</v>
      </c>
      <c r="F29" s="5">
        <v>118.7</v>
      </c>
      <c r="G29" s="5">
        <v>131.6</v>
      </c>
      <c r="H29" s="5">
        <v>133.6</v>
      </c>
      <c r="I29" s="5">
        <v>136.30000000000001</v>
      </c>
      <c r="J29" s="5">
        <v>136.30000000000001</v>
      </c>
      <c r="K29" s="5">
        <v>143.30000000000001</v>
      </c>
      <c r="L29" s="5">
        <v>145.30000000000001</v>
      </c>
      <c r="M29" s="5">
        <v>147.4</v>
      </c>
      <c r="N29" s="5">
        <v>147.69999999999999</v>
      </c>
      <c r="O29" s="5">
        <v>155.80000000000001</v>
      </c>
      <c r="P29" s="5">
        <v>157.1</v>
      </c>
      <c r="Q29" s="5">
        <v>160.9</v>
      </c>
      <c r="R29" s="5">
        <v>161.1</v>
      </c>
      <c r="S29" s="5">
        <v>179.6</v>
      </c>
      <c r="T29" s="5">
        <v>180.8</v>
      </c>
      <c r="U29" s="5">
        <v>185.4</v>
      </c>
      <c r="V29" s="5">
        <v>189.3</v>
      </c>
      <c r="W29" s="5">
        <v>211.6</v>
      </c>
      <c r="X29" s="5">
        <v>219.9</v>
      </c>
      <c r="Y29" s="5">
        <v>220.7</v>
      </c>
      <c r="Z29" s="5">
        <v>218.4</v>
      </c>
      <c r="AA29" s="5">
        <v>227.5</v>
      </c>
      <c r="AB29" s="5">
        <v>229.3</v>
      </c>
      <c r="AC29" s="5">
        <v>233.9</v>
      </c>
      <c r="AD29" s="5">
        <v>237.9</v>
      </c>
      <c r="AE29" s="5">
        <v>252.8</v>
      </c>
      <c r="AF29" s="5">
        <v>254.4</v>
      </c>
      <c r="AG29" s="5">
        <v>257.3</v>
      </c>
      <c r="AH29" s="5">
        <v>268.39999999999998</v>
      </c>
      <c r="AI29" s="5">
        <v>285.7</v>
      </c>
      <c r="AJ29" s="5">
        <v>292.2</v>
      </c>
      <c r="AK29" s="5">
        <v>297.3</v>
      </c>
      <c r="AL29" s="5">
        <v>304.10000000000002</v>
      </c>
      <c r="AM29" s="5">
        <v>332.7</v>
      </c>
      <c r="AN29" s="5">
        <v>348.2</v>
      </c>
      <c r="AO29" s="5">
        <v>373.1</v>
      </c>
      <c r="AP29" s="5">
        <v>381.5</v>
      </c>
      <c r="AQ29" s="5">
        <v>428.7</v>
      </c>
      <c r="AR29" s="5">
        <v>438</v>
      </c>
      <c r="AS29" s="5">
        <v>447.6</v>
      </c>
      <c r="AT29" s="5">
        <v>456.9</v>
      </c>
      <c r="AU29" s="5">
        <v>520.1</v>
      </c>
      <c r="AV29" s="5">
        <v>538.4</v>
      </c>
      <c r="AW29" s="5">
        <v>545.5</v>
      </c>
      <c r="AX29" s="5">
        <v>552.29999999999995</v>
      </c>
      <c r="AY29" s="5">
        <v>598.79999999999995</v>
      </c>
      <c r="AZ29" s="5">
        <v>603.29999999999995</v>
      </c>
      <c r="BA29" s="5">
        <v>606.70000000000005</v>
      </c>
      <c r="BB29" s="5">
        <v>610.70000000000005</v>
      </c>
      <c r="BC29" s="5">
        <v>654</v>
      </c>
      <c r="BD29" s="5">
        <v>660.2</v>
      </c>
      <c r="BE29" s="5">
        <v>670.1</v>
      </c>
      <c r="BF29" s="5">
        <v>676.1</v>
      </c>
      <c r="BG29" s="5">
        <v>733.5</v>
      </c>
      <c r="BH29" s="5">
        <v>740.8</v>
      </c>
      <c r="BI29" s="5">
        <v>747.9</v>
      </c>
      <c r="BJ29" s="5">
        <v>753.8</v>
      </c>
      <c r="BK29" s="5">
        <v>863.8</v>
      </c>
      <c r="BL29" s="5">
        <v>941.1</v>
      </c>
      <c r="BM29" s="5">
        <v>896</v>
      </c>
      <c r="BN29" s="5">
        <v>959.1</v>
      </c>
      <c r="BO29" s="5">
        <v>908.8</v>
      </c>
      <c r="BP29" s="5">
        <v>913</v>
      </c>
      <c r="BQ29" s="5">
        <v>1152.9000000000001</v>
      </c>
      <c r="BR29" s="5">
        <v>1225.2</v>
      </c>
      <c r="BS29" s="5">
        <v>1249.8</v>
      </c>
      <c r="BT29" s="5">
        <v>1274.9000000000001</v>
      </c>
      <c r="BU29" s="5">
        <v>1530.2</v>
      </c>
      <c r="BV29" s="5">
        <v>1902.7</v>
      </c>
      <c r="BW29" s="5">
        <v>1676.6</v>
      </c>
      <c r="BX29" s="5">
        <v>1987.4</v>
      </c>
      <c r="BY29" s="5">
        <v>1688.6</v>
      </c>
      <c r="BZ29" s="5">
        <v>1722.4</v>
      </c>
      <c r="CA29" s="5">
        <v>2593.5</v>
      </c>
      <c r="CB29" s="5">
        <v>2796</v>
      </c>
      <c r="CC29" s="5">
        <v>2797.8</v>
      </c>
      <c r="CD29" s="5">
        <v>2830.1</v>
      </c>
      <c r="CE29" s="5">
        <v>3635.7</v>
      </c>
      <c r="CF29" s="5">
        <v>3754.1</v>
      </c>
      <c r="CG29" s="5">
        <v>3856.7</v>
      </c>
      <c r="CH29" s="5">
        <v>4054.6</v>
      </c>
      <c r="CI29" s="5">
        <v>4060</v>
      </c>
      <c r="CJ29" s="5">
        <v>4147.6000000000004</v>
      </c>
      <c r="CK29" s="5">
        <v>5033.7</v>
      </c>
      <c r="CL29" s="5">
        <v>5260.4</v>
      </c>
      <c r="CM29" s="5">
        <v>5451.7</v>
      </c>
      <c r="CN29" s="5">
        <v>5571.6</v>
      </c>
      <c r="CO29" s="5">
        <v>6845.1</v>
      </c>
      <c r="CP29" s="5">
        <v>7271</v>
      </c>
      <c r="CQ29" s="5">
        <v>7325.7</v>
      </c>
      <c r="CR29" s="5">
        <v>7608.4</v>
      </c>
      <c r="CS29" s="5">
        <v>7717</v>
      </c>
      <c r="CT29" s="5">
        <v>7841.5</v>
      </c>
    </row>
    <row r="30" spans="1:98">
      <c r="A30" s="2" t="s">
        <v>126</v>
      </c>
      <c r="B30" s="3">
        <v>100</v>
      </c>
      <c r="C30" s="3">
        <v>109</v>
      </c>
      <c r="D30" s="3">
        <v>110.2</v>
      </c>
      <c r="E30" s="3">
        <v>110.9</v>
      </c>
      <c r="F30" s="3">
        <v>111.5</v>
      </c>
      <c r="G30" s="3">
        <v>126.3</v>
      </c>
      <c r="H30" s="3">
        <v>127.4</v>
      </c>
      <c r="I30" s="3">
        <v>130.5</v>
      </c>
      <c r="J30" s="3">
        <v>130.5</v>
      </c>
      <c r="K30" s="3">
        <v>139.69999999999999</v>
      </c>
      <c r="L30" s="3">
        <v>140.1</v>
      </c>
      <c r="M30" s="3">
        <v>136.4</v>
      </c>
      <c r="N30" s="3">
        <v>136.6</v>
      </c>
      <c r="O30" s="3">
        <v>149.6</v>
      </c>
      <c r="P30" s="3">
        <v>149.6</v>
      </c>
      <c r="Q30" s="3">
        <v>152.5</v>
      </c>
      <c r="R30" s="3">
        <v>152.6</v>
      </c>
      <c r="S30" s="3">
        <v>165.3</v>
      </c>
      <c r="T30" s="3">
        <v>166.3</v>
      </c>
      <c r="U30" s="3">
        <v>171.5</v>
      </c>
      <c r="V30" s="3">
        <v>177.4</v>
      </c>
      <c r="W30" s="3">
        <v>185.5</v>
      </c>
      <c r="X30" s="3">
        <v>186.3</v>
      </c>
      <c r="Y30" s="3">
        <v>194.4</v>
      </c>
      <c r="Z30" s="3">
        <v>195.2</v>
      </c>
      <c r="AA30" s="3">
        <v>200.4</v>
      </c>
      <c r="AB30" s="3">
        <v>201.1</v>
      </c>
      <c r="AC30" s="3">
        <v>203</v>
      </c>
      <c r="AD30" s="3">
        <v>204.3</v>
      </c>
      <c r="AE30" s="3">
        <v>227.3</v>
      </c>
      <c r="AF30" s="3">
        <v>227.8</v>
      </c>
      <c r="AG30" s="3">
        <v>228.5</v>
      </c>
      <c r="AH30" s="3">
        <v>230.7</v>
      </c>
      <c r="AI30" s="3">
        <v>236</v>
      </c>
      <c r="AJ30" s="3">
        <v>236.8</v>
      </c>
      <c r="AK30" s="3">
        <v>250.1</v>
      </c>
      <c r="AL30" s="3">
        <v>279.3</v>
      </c>
      <c r="AM30" s="3">
        <v>293</v>
      </c>
      <c r="AN30" s="3">
        <v>316.10000000000002</v>
      </c>
      <c r="AO30" s="3">
        <v>363.6</v>
      </c>
      <c r="AP30" s="3">
        <v>378.4</v>
      </c>
      <c r="AQ30" s="3">
        <v>401.3</v>
      </c>
      <c r="AR30" s="3">
        <v>403</v>
      </c>
      <c r="AS30" s="3">
        <v>397.2</v>
      </c>
      <c r="AT30" s="3">
        <v>399.5</v>
      </c>
      <c r="AU30" s="3">
        <v>425.9</v>
      </c>
      <c r="AV30" s="3">
        <v>428</v>
      </c>
      <c r="AW30" s="3">
        <v>433.2</v>
      </c>
      <c r="AX30" s="3">
        <v>435</v>
      </c>
      <c r="AY30" s="3">
        <v>447</v>
      </c>
      <c r="AZ30" s="3">
        <v>448.2</v>
      </c>
      <c r="BA30" s="3">
        <v>463.7</v>
      </c>
      <c r="BB30" s="3">
        <v>464.8</v>
      </c>
      <c r="BC30" s="3">
        <v>481.9</v>
      </c>
      <c r="BD30" s="3">
        <v>483.3</v>
      </c>
      <c r="BE30" s="3">
        <v>499.7</v>
      </c>
      <c r="BF30" s="3">
        <v>511</v>
      </c>
      <c r="BG30" s="3">
        <v>542.20000000000005</v>
      </c>
      <c r="BH30" s="3">
        <v>543.70000000000005</v>
      </c>
      <c r="BI30" s="3">
        <v>552.5</v>
      </c>
      <c r="BJ30" s="3">
        <v>555.29999999999995</v>
      </c>
      <c r="BK30" s="3">
        <v>638.6</v>
      </c>
      <c r="BL30" s="3">
        <v>932.2</v>
      </c>
      <c r="BM30" s="3">
        <v>802.9</v>
      </c>
      <c r="BN30" s="3">
        <v>935.9</v>
      </c>
      <c r="BO30" s="3">
        <v>884.2</v>
      </c>
      <c r="BP30" s="3">
        <v>930</v>
      </c>
      <c r="BQ30" s="3">
        <v>983.4</v>
      </c>
      <c r="BR30" s="3">
        <v>994.2</v>
      </c>
      <c r="BS30" s="3">
        <v>999.2</v>
      </c>
      <c r="BT30" s="3">
        <v>1051.0999999999999</v>
      </c>
      <c r="BU30" s="3">
        <v>1274.5999999999999</v>
      </c>
      <c r="BV30" s="3">
        <v>1794.3</v>
      </c>
      <c r="BW30" s="3">
        <v>1487.1</v>
      </c>
      <c r="BX30" s="3">
        <v>1834.6</v>
      </c>
      <c r="BY30" s="3">
        <v>1488.7</v>
      </c>
      <c r="BZ30" s="3">
        <v>1569.7</v>
      </c>
      <c r="CA30" s="3">
        <v>2305.1</v>
      </c>
      <c r="CB30" s="3">
        <v>2490.6999999999998</v>
      </c>
      <c r="CC30" s="3">
        <v>2471</v>
      </c>
      <c r="CD30" s="3">
        <v>2491.5</v>
      </c>
      <c r="CE30" s="3">
        <v>2930.9</v>
      </c>
      <c r="CF30" s="3">
        <v>3018.2</v>
      </c>
      <c r="CG30" s="3">
        <v>3233.3</v>
      </c>
      <c r="CH30" s="3">
        <v>3472.5</v>
      </c>
      <c r="CI30" s="3">
        <v>3473</v>
      </c>
      <c r="CJ30" s="3">
        <v>3727.2</v>
      </c>
      <c r="CK30" s="3">
        <v>3982.9</v>
      </c>
      <c r="CL30" s="3">
        <v>4055.9</v>
      </c>
      <c r="CM30" s="3">
        <v>4079.7</v>
      </c>
      <c r="CN30" s="3">
        <v>4110.1000000000004</v>
      </c>
      <c r="CO30" s="3">
        <v>4607.8</v>
      </c>
      <c r="CP30" s="3">
        <v>4755.1000000000004</v>
      </c>
      <c r="CQ30" s="3">
        <v>5039.3</v>
      </c>
      <c r="CR30" s="3">
        <v>5270.2</v>
      </c>
      <c r="CS30" s="3">
        <v>5453.9</v>
      </c>
      <c r="CT30" s="3">
        <v>5661.7</v>
      </c>
    </row>
    <row r="31" spans="1:98">
      <c r="A31" s="4" t="s">
        <v>127</v>
      </c>
      <c r="B31" s="5">
        <v>100</v>
      </c>
      <c r="C31" s="5">
        <v>108.5</v>
      </c>
      <c r="D31" s="5">
        <v>112</v>
      </c>
      <c r="E31" s="5">
        <v>114.1</v>
      </c>
      <c r="F31" s="5">
        <v>116.2</v>
      </c>
      <c r="G31" s="5">
        <v>132.19999999999999</v>
      </c>
      <c r="H31" s="5">
        <v>136.9</v>
      </c>
      <c r="I31" s="5">
        <v>139.6</v>
      </c>
      <c r="J31" s="5">
        <v>139.6</v>
      </c>
      <c r="K31" s="5">
        <v>148.1</v>
      </c>
      <c r="L31" s="5">
        <v>150.4</v>
      </c>
      <c r="M31" s="5">
        <v>153.4</v>
      </c>
      <c r="N31" s="5">
        <v>154.4</v>
      </c>
      <c r="O31" s="5">
        <v>166.9</v>
      </c>
      <c r="P31" s="5">
        <v>168.1</v>
      </c>
      <c r="Q31" s="5">
        <v>170.6</v>
      </c>
      <c r="R31" s="5">
        <v>170.9</v>
      </c>
      <c r="S31" s="5">
        <v>188.5</v>
      </c>
      <c r="T31" s="5">
        <v>191</v>
      </c>
      <c r="U31" s="5">
        <v>198.4</v>
      </c>
      <c r="V31" s="5">
        <v>203.1</v>
      </c>
      <c r="W31" s="5">
        <v>225.4</v>
      </c>
      <c r="X31" s="5">
        <v>228</v>
      </c>
      <c r="Y31" s="5">
        <v>231.9</v>
      </c>
      <c r="Z31" s="5">
        <v>232.6</v>
      </c>
      <c r="AA31" s="5">
        <v>251.1</v>
      </c>
      <c r="AB31" s="5">
        <v>254.1</v>
      </c>
      <c r="AC31" s="5">
        <v>258</v>
      </c>
      <c r="AD31" s="5">
        <v>261.3</v>
      </c>
      <c r="AE31" s="5">
        <v>279.39999999999998</v>
      </c>
      <c r="AF31" s="5">
        <v>281.10000000000002</v>
      </c>
      <c r="AG31" s="5">
        <v>287.10000000000002</v>
      </c>
      <c r="AH31" s="5">
        <v>303.2</v>
      </c>
      <c r="AI31" s="5">
        <v>323.8</v>
      </c>
      <c r="AJ31" s="5">
        <v>331.5</v>
      </c>
      <c r="AK31" s="5">
        <v>338.7</v>
      </c>
      <c r="AL31" s="5">
        <v>344.4</v>
      </c>
      <c r="AM31" s="5">
        <v>381.9</v>
      </c>
      <c r="AN31" s="5">
        <v>397.6</v>
      </c>
      <c r="AO31" s="5">
        <v>423</v>
      </c>
      <c r="AP31" s="5">
        <v>433.5</v>
      </c>
      <c r="AQ31" s="5">
        <v>489.3</v>
      </c>
      <c r="AR31" s="5">
        <v>497.4</v>
      </c>
      <c r="AS31" s="5">
        <v>506.4</v>
      </c>
      <c r="AT31" s="5">
        <v>518.1</v>
      </c>
      <c r="AU31" s="5">
        <v>599.1</v>
      </c>
      <c r="AV31" s="5">
        <v>608.29999999999995</v>
      </c>
      <c r="AW31" s="5">
        <v>617</v>
      </c>
      <c r="AX31" s="5">
        <v>625</v>
      </c>
      <c r="AY31" s="5">
        <v>682.2</v>
      </c>
      <c r="AZ31" s="5">
        <v>688</v>
      </c>
      <c r="BA31" s="5">
        <v>694.4</v>
      </c>
      <c r="BB31" s="5">
        <v>699</v>
      </c>
      <c r="BC31" s="5">
        <v>749.4</v>
      </c>
      <c r="BD31" s="5">
        <v>756.3</v>
      </c>
      <c r="BE31" s="5">
        <v>762.5</v>
      </c>
      <c r="BF31" s="5">
        <v>768.7</v>
      </c>
      <c r="BG31" s="5">
        <v>837.8</v>
      </c>
      <c r="BH31" s="5">
        <v>841.5</v>
      </c>
      <c r="BI31" s="5">
        <v>854.3</v>
      </c>
      <c r="BJ31" s="5">
        <v>861.2</v>
      </c>
      <c r="BK31" s="5">
        <v>986.4</v>
      </c>
      <c r="BL31" s="5">
        <v>1075.5999999999999</v>
      </c>
      <c r="BM31" s="5">
        <v>1031.4000000000001</v>
      </c>
      <c r="BN31" s="5">
        <v>1105.4000000000001</v>
      </c>
      <c r="BO31" s="5">
        <v>1044</v>
      </c>
      <c r="BP31" s="5">
        <v>1051.5999999999999</v>
      </c>
      <c r="BQ31" s="5">
        <v>1355</v>
      </c>
      <c r="BR31" s="5">
        <v>1416.8</v>
      </c>
      <c r="BS31" s="5">
        <v>1457.5</v>
      </c>
      <c r="BT31" s="5">
        <v>1498.7</v>
      </c>
      <c r="BU31" s="5">
        <v>1852.2</v>
      </c>
      <c r="BV31" s="5">
        <v>2327</v>
      </c>
      <c r="BW31" s="5">
        <v>2048.6</v>
      </c>
      <c r="BX31" s="5">
        <v>2432.6</v>
      </c>
      <c r="BY31" s="5">
        <v>2083.1</v>
      </c>
      <c r="BZ31" s="5">
        <v>2132.1</v>
      </c>
      <c r="CA31" s="5">
        <v>3192.4</v>
      </c>
      <c r="CB31" s="5">
        <v>3339.9</v>
      </c>
      <c r="CC31" s="5">
        <v>3373.5</v>
      </c>
      <c r="CD31" s="5">
        <v>3414.7</v>
      </c>
      <c r="CE31" s="5">
        <v>4346.6000000000004</v>
      </c>
      <c r="CF31" s="5">
        <v>4418.7</v>
      </c>
      <c r="CG31" s="5">
        <v>4791.3</v>
      </c>
      <c r="CH31" s="5">
        <v>5027.6000000000004</v>
      </c>
      <c r="CI31" s="5">
        <v>5029.3999999999996</v>
      </c>
      <c r="CJ31" s="5">
        <v>5056.6000000000004</v>
      </c>
      <c r="CK31" s="5">
        <v>6198.3</v>
      </c>
      <c r="CL31" s="5">
        <v>6412.8</v>
      </c>
      <c r="CM31" s="5">
        <v>6620</v>
      </c>
      <c r="CN31" s="5">
        <v>6782.4</v>
      </c>
      <c r="CO31" s="5">
        <v>8399.2999999999993</v>
      </c>
      <c r="CP31" s="5">
        <v>8773.1</v>
      </c>
      <c r="CQ31" s="5">
        <v>8803.4</v>
      </c>
      <c r="CR31" s="5">
        <v>9167</v>
      </c>
      <c r="CS31" s="5">
        <v>9271.2000000000007</v>
      </c>
      <c r="CT31" s="5">
        <v>9379.2999999999993</v>
      </c>
    </row>
    <row r="32" spans="1:98">
      <c r="A32" s="2" t="s">
        <v>128</v>
      </c>
      <c r="B32" s="3">
        <v>100</v>
      </c>
      <c r="C32" s="3">
        <v>105.5</v>
      </c>
      <c r="D32" s="3">
        <v>106.6</v>
      </c>
      <c r="E32" s="3">
        <v>108.4</v>
      </c>
      <c r="F32" s="3">
        <v>109.7</v>
      </c>
      <c r="G32" s="3">
        <v>117.4</v>
      </c>
      <c r="H32" s="3">
        <v>118.4</v>
      </c>
      <c r="I32" s="3">
        <v>121.6</v>
      </c>
      <c r="J32" s="3">
        <v>121.6</v>
      </c>
      <c r="K32" s="3">
        <v>125.3</v>
      </c>
      <c r="L32" s="3">
        <v>126</v>
      </c>
      <c r="M32" s="3">
        <v>126.7</v>
      </c>
      <c r="N32" s="3">
        <v>126.9</v>
      </c>
      <c r="O32" s="3">
        <v>129.5</v>
      </c>
      <c r="P32" s="3">
        <v>131.1</v>
      </c>
      <c r="Q32" s="3">
        <v>135.30000000000001</v>
      </c>
      <c r="R32" s="3">
        <v>135.4</v>
      </c>
      <c r="S32" s="3">
        <v>149.1</v>
      </c>
      <c r="T32" s="3">
        <v>150.5</v>
      </c>
      <c r="U32" s="3">
        <v>152.6</v>
      </c>
      <c r="V32" s="3">
        <v>153.6</v>
      </c>
      <c r="W32" s="3">
        <v>160.1</v>
      </c>
      <c r="X32" s="3">
        <v>162.5</v>
      </c>
      <c r="Y32" s="3">
        <v>163.80000000000001</v>
      </c>
      <c r="Z32" s="3">
        <v>164.6</v>
      </c>
      <c r="AA32" s="3">
        <v>169.3</v>
      </c>
      <c r="AB32" s="3">
        <v>169.9</v>
      </c>
      <c r="AC32" s="3">
        <v>171.7</v>
      </c>
      <c r="AD32" s="3">
        <v>172.8</v>
      </c>
      <c r="AE32" s="3">
        <v>186.3</v>
      </c>
      <c r="AF32" s="3">
        <v>191.4</v>
      </c>
      <c r="AG32" s="3">
        <v>192.3</v>
      </c>
      <c r="AH32" s="3">
        <v>195</v>
      </c>
      <c r="AI32" s="3">
        <v>200</v>
      </c>
      <c r="AJ32" s="3">
        <v>201.7</v>
      </c>
      <c r="AK32" s="3">
        <v>202.9</v>
      </c>
      <c r="AL32" s="3">
        <v>210.6</v>
      </c>
      <c r="AM32" s="3">
        <v>225.2</v>
      </c>
      <c r="AN32" s="3">
        <v>241.2</v>
      </c>
      <c r="AO32" s="3">
        <v>279.2</v>
      </c>
      <c r="AP32" s="3">
        <v>287.3</v>
      </c>
      <c r="AQ32" s="3">
        <v>330.3</v>
      </c>
      <c r="AR32" s="3">
        <v>332.9</v>
      </c>
      <c r="AS32" s="3">
        <v>337</v>
      </c>
      <c r="AT32" s="3">
        <v>339.7</v>
      </c>
      <c r="AU32" s="3">
        <v>380.6</v>
      </c>
      <c r="AV32" s="3">
        <v>389.6</v>
      </c>
      <c r="AW32" s="3">
        <v>393.1</v>
      </c>
      <c r="AX32" s="3">
        <v>395</v>
      </c>
      <c r="AY32" s="3">
        <v>408.7</v>
      </c>
      <c r="AZ32" s="3">
        <v>410.1</v>
      </c>
      <c r="BA32" s="3">
        <v>411.1</v>
      </c>
      <c r="BB32" s="3">
        <v>412.3</v>
      </c>
      <c r="BC32" s="3">
        <v>425.1</v>
      </c>
      <c r="BD32" s="3">
        <v>426.9</v>
      </c>
      <c r="BE32" s="3">
        <v>429.7</v>
      </c>
      <c r="BF32" s="3">
        <v>431.4</v>
      </c>
      <c r="BG32" s="3">
        <v>457.7</v>
      </c>
      <c r="BH32" s="3">
        <v>460.1</v>
      </c>
      <c r="BI32" s="3">
        <v>461.8</v>
      </c>
      <c r="BJ32" s="3">
        <v>463.4</v>
      </c>
      <c r="BK32" s="3">
        <v>523.1</v>
      </c>
      <c r="BL32" s="3">
        <v>599</v>
      </c>
      <c r="BM32" s="3">
        <v>571.79999999999995</v>
      </c>
      <c r="BN32" s="3">
        <v>603.6</v>
      </c>
      <c r="BO32" s="3">
        <v>574.6</v>
      </c>
      <c r="BP32" s="3">
        <v>606.6</v>
      </c>
      <c r="BQ32" s="3">
        <v>689.2</v>
      </c>
      <c r="BR32" s="3">
        <v>724.2</v>
      </c>
      <c r="BS32" s="3">
        <v>749.7</v>
      </c>
      <c r="BT32" s="3">
        <v>771.7</v>
      </c>
      <c r="BU32" s="3">
        <v>907.7</v>
      </c>
      <c r="BV32" s="3">
        <v>1291.5</v>
      </c>
      <c r="BW32" s="3">
        <v>962.7</v>
      </c>
      <c r="BX32" s="3">
        <v>1314.3</v>
      </c>
      <c r="BY32" s="3">
        <v>965.4</v>
      </c>
      <c r="BZ32" s="3">
        <v>991.9</v>
      </c>
      <c r="CA32" s="3">
        <v>1701.2</v>
      </c>
      <c r="CB32" s="3">
        <v>1881.8</v>
      </c>
      <c r="CC32" s="3">
        <v>1905.9</v>
      </c>
      <c r="CD32" s="3">
        <v>1959.8</v>
      </c>
      <c r="CE32" s="3">
        <v>2362.3000000000002</v>
      </c>
      <c r="CF32" s="3">
        <v>2497.1</v>
      </c>
      <c r="CG32" s="3">
        <v>2571.8000000000002</v>
      </c>
      <c r="CH32" s="3">
        <v>2768.4</v>
      </c>
      <c r="CI32" s="3">
        <v>2770.6</v>
      </c>
      <c r="CJ32" s="3">
        <v>2908</v>
      </c>
      <c r="CK32" s="3">
        <v>3486.8</v>
      </c>
      <c r="CL32" s="3">
        <v>3671.7</v>
      </c>
      <c r="CM32" s="3">
        <v>4032.9</v>
      </c>
      <c r="CN32" s="3">
        <v>4146.8999999999996</v>
      </c>
      <c r="CO32" s="3">
        <v>4810.5</v>
      </c>
      <c r="CP32" s="3">
        <v>5010.3</v>
      </c>
      <c r="CQ32" s="3">
        <v>5167.2</v>
      </c>
      <c r="CR32" s="3">
        <v>5567.7</v>
      </c>
      <c r="CS32" s="3">
        <v>5653.2</v>
      </c>
      <c r="CT32" s="3">
        <v>5712.5</v>
      </c>
    </row>
    <row r="33" spans="1:98">
      <c r="A33" s="4" t="s">
        <v>129</v>
      </c>
      <c r="B33" s="5">
        <v>100</v>
      </c>
      <c r="C33" s="5">
        <v>115.9</v>
      </c>
      <c r="D33" s="5">
        <v>117.2</v>
      </c>
      <c r="E33" s="5">
        <v>118.7</v>
      </c>
      <c r="F33" s="5">
        <v>120.7</v>
      </c>
      <c r="G33" s="5">
        <v>142.6</v>
      </c>
      <c r="H33" s="5">
        <v>143.80000000000001</v>
      </c>
      <c r="I33" s="5">
        <v>146.80000000000001</v>
      </c>
      <c r="J33" s="5">
        <v>146.80000000000001</v>
      </c>
      <c r="K33" s="5">
        <v>149.30000000000001</v>
      </c>
      <c r="L33" s="5">
        <v>150.30000000000001</v>
      </c>
      <c r="M33" s="5">
        <v>151.4</v>
      </c>
      <c r="N33" s="5">
        <v>151.69999999999999</v>
      </c>
      <c r="O33" s="5">
        <v>165.8</v>
      </c>
      <c r="P33" s="5">
        <v>165.8</v>
      </c>
      <c r="Q33" s="5">
        <v>168.9</v>
      </c>
      <c r="R33" s="5">
        <v>168.9</v>
      </c>
      <c r="S33" s="5">
        <v>204.9</v>
      </c>
      <c r="T33" s="5">
        <v>205.8</v>
      </c>
      <c r="U33" s="5">
        <v>209.2</v>
      </c>
      <c r="V33" s="5">
        <v>233.4</v>
      </c>
      <c r="W33" s="5">
        <v>240.3</v>
      </c>
      <c r="X33" s="5">
        <v>224.9</v>
      </c>
      <c r="Y33" s="5">
        <v>225.7</v>
      </c>
      <c r="Z33" s="5">
        <v>226.5</v>
      </c>
      <c r="AA33" s="5">
        <v>225.7</v>
      </c>
      <c r="AB33" s="5">
        <v>226.4</v>
      </c>
      <c r="AC33" s="5">
        <v>233.5</v>
      </c>
      <c r="AD33" s="5">
        <v>234.6</v>
      </c>
      <c r="AE33" s="5">
        <v>252.9</v>
      </c>
      <c r="AF33" s="5">
        <v>253.5</v>
      </c>
      <c r="AG33" s="5">
        <v>254.8</v>
      </c>
      <c r="AH33" s="5">
        <v>260.8</v>
      </c>
      <c r="AI33" s="5">
        <v>272.2</v>
      </c>
      <c r="AJ33" s="5">
        <v>275.8</v>
      </c>
      <c r="AK33" s="5">
        <v>284.2</v>
      </c>
      <c r="AL33" s="5">
        <v>291.2</v>
      </c>
      <c r="AM33" s="5">
        <v>302.60000000000002</v>
      </c>
      <c r="AN33" s="5">
        <v>309.5</v>
      </c>
      <c r="AO33" s="5">
        <v>386.2</v>
      </c>
      <c r="AP33" s="5">
        <v>397.8</v>
      </c>
      <c r="AQ33" s="5">
        <v>466.3</v>
      </c>
      <c r="AR33" s="5">
        <v>470.3</v>
      </c>
      <c r="AS33" s="5">
        <v>476.6</v>
      </c>
      <c r="AT33" s="5">
        <v>479.8</v>
      </c>
      <c r="AU33" s="5">
        <v>532.29999999999995</v>
      </c>
      <c r="AV33" s="5">
        <v>556.29999999999995</v>
      </c>
      <c r="AW33" s="5">
        <v>560.29999999999995</v>
      </c>
      <c r="AX33" s="5">
        <v>562</v>
      </c>
      <c r="AY33" s="5">
        <v>576.4</v>
      </c>
      <c r="AZ33" s="5">
        <v>578.6</v>
      </c>
      <c r="BA33" s="5">
        <v>598.29999999999995</v>
      </c>
      <c r="BB33" s="5">
        <v>599.5</v>
      </c>
      <c r="BC33" s="5">
        <v>624.4</v>
      </c>
      <c r="BD33" s="5">
        <v>630.9</v>
      </c>
      <c r="BE33" s="5">
        <v>620</v>
      </c>
      <c r="BF33" s="5">
        <v>622.1</v>
      </c>
      <c r="BG33" s="5">
        <v>643.1</v>
      </c>
      <c r="BH33" s="5">
        <v>647.29999999999995</v>
      </c>
      <c r="BI33" s="5">
        <v>675.8</v>
      </c>
      <c r="BJ33" s="5">
        <v>677.9</v>
      </c>
      <c r="BK33" s="5">
        <v>738.6</v>
      </c>
      <c r="BL33" s="5">
        <v>876.5</v>
      </c>
      <c r="BM33" s="5">
        <v>778</v>
      </c>
      <c r="BN33" s="5">
        <v>886.4</v>
      </c>
      <c r="BO33" s="5">
        <v>794.7</v>
      </c>
      <c r="BP33" s="5">
        <v>832.8</v>
      </c>
      <c r="BQ33" s="5">
        <v>1041.3</v>
      </c>
      <c r="BR33" s="5">
        <v>1110.4000000000001</v>
      </c>
      <c r="BS33" s="5">
        <v>1138.5999999999999</v>
      </c>
      <c r="BT33" s="5">
        <v>1150.4000000000001</v>
      </c>
      <c r="BU33" s="5">
        <v>1355.8</v>
      </c>
      <c r="BV33" s="5">
        <v>1754.6</v>
      </c>
      <c r="BW33" s="5">
        <v>1526.8</v>
      </c>
      <c r="BX33" s="5">
        <v>1943.1</v>
      </c>
      <c r="BY33" s="5">
        <v>1535.6</v>
      </c>
      <c r="BZ33" s="5">
        <v>1583.4</v>
      </c>
      <c r="CA33" s="5">
        <v>2525.8000000000002</v>
      </c>
      <c r="CB33" s="5">
        <v>2734.4</v>
      </c>
      <c r="CC33" s="5">
        <v>2774.9</v>
      </c>
      <c r="CD33" s="5">
        <v>2842.1</v>
      </c>
      <c r="CE33" s="5">
        <v>3528.1</v>
      </c>
      <c r="CF33" s="5">
        <v>3681.9</v>
      </c>
      <c r="CG33" s="5">
        <v>3856</v>
      </c>
      <c r="CH33" s="5">
        <v>4048.7</v>
      </c>
      <c r="CI33" s="5">
        <v>4052.9</v>
      </c>
      <c r="CJ33" s="5">
        <v>4116.8</v>
      </c>
      <c r="CK33" s="5">
        <v>4826.8999999999996</v>
      </c>
      <c r="CL33" s="5">
        <v>4936.8</v>
      </c>
      <c r="CM33" s="5">
        <v>5085.2</v>
      </c>
      <c r="CN33" s="5">
        <v>5148.1000000000004</v>
      </c>
      <c r="CO33" s="5">
        <v>6045.6</v>
      </c>
      <c r="CP33" s="5">
        <v>6421.6</v>
      </c>
      <c r="CQ33" s="5">
        <v>6603.2</v>
      </c>
      <c r="CR33" s="5">
        <v>6936.1</v>
      </c>
      <c r="CS33" s="5">
        <v>7055.9</v>
      </c>
      <c r="CT33" s="5">
        <v>7237.1</v>
      </c>
    </row>
    <row r="34" spans="1:98">
      <c r="A34" s="2" t="s">
        <v>130</v>
      </c>
      <c r="B34" s="3">
        <v>100</v>
      </c>
      <c r="C34" s="3">
        <v>108.1</v>
      </c>
      <c r="D34" s="3">
        <v>108.2</v>
      </c>
      <c r="E34" s="3">
        <v>108.7</v>
      </c>
      <c r="F34" s="3">
        <v>109.6</v>
      </c>
      <c r="G34" s="3">
        <v>129.30000000000001</v>
      </c>
      <c r="H34" s="3">
        <v>130</v>
      </c>
      <c r="I34" s="3">
        <v>132.80000000000001</v>
      </c>
      <c r="J34" s="3">
        <v>132.80000000000001</v>
      </c>
      <c r="K34" s="3">
        <v>135.69999999999999</v>
      </c>
      <c r="L34" s="3">
        <v>136.30000000000001</v>
      </c>
      <c r="M34" s="3">
        <v>136.9</v>
      </c>
      <c r="N34" s="3">
        <v>137</v>
      </c>
      <c r="O34" s="3">
        <v>138.30000000000001</v>
      </c>
      <c r="P34" s="3">
        <v>138.30000000000001</v>
      </c>
      <c r="Q34" s="3">
        <v>141.1</v>
      </c>
      <c r="R34" s="3">
        <v>141.1</v>
      </c>
      <c r="S34" s="3">
        <v>158</v>
      </c>
      <c r="T34" s="3">
        <v>158.5</v>
      </c>
      <c r="U34" s="3">
        <v>160</v>
      </c>
      <c r="V34" s="3">
        <v>160.69999999999999</v>
      </c>
      <c r="W34" s="3">
        <v>191</v>
      </c>
      <c r="X34" s="3">
        <v>242.7</v>
      </c>
      <c r="Y34" s="3">
        <v>199</v>
      </c>
      <c r="Z34" s="3">
        <v>198.5</v>
      </c>
      <c r="AA34" s="3">
        <v>200.8</v>
      </c>
      <c r="AB34" s="3">
        <v>201.3</v>
      </c>
      <c r="AC34" s="3">
        <v>202.3</v>
      </c>
      <c r="AD34" s="3">
        <v>202.9</v>
      </c>
      <c r="AE34" s="3">
        <v>205</v>
      </c>
      <c r="AF34" s="3">
        <v>205.3</v>
      </c>
      <c r="AG34" s="3">
        <v>204.9</v>
      </c>
      <c r="AH34" s="3">
        <v>217.2</v>
      </c>
      <c r="AI34" s="3">
        <v>219.5</v>
      </c>
      <c r="AJ34" s="3">
        <v>230.3</v>
      </c>
      <c r="AK34" s="3">
        <v>242.9</v>
      </c>
      <c r="AL34" s="3">
        <v>248</v>
      </c>
      <c r="AM34" s="3">
        <v>258.5</v>
      </c>
      <c r="AN34" s="3">
        <v>264.60000000000002</v>
      </c>
      <c r="AO34" s="3">
        <v>295.2</v>
      </c>
      <c r="AP34" s="3">
        <v>321.7</v>
      </c>
      <c r="AQ34" s="3">
        <v>352.3</v>
      </c>
      <c r="AR34" s="3">
        <v>353.9</v>
      </c>
      <c r="AS34" s="3">
        <v>361.4</v>
      </c>
      <c r="AT34" s="3">
        <v>367.2</v>
      </c>
      <c r="AU34" s="3">
        <v>404.2</v>
      </c>
      <c r="AV34" s="3">
        <v>409.1</v>
      </c>
      <c r="AW34" s="3">
        <v>420</v>
      </c>
      <c r="AX34" s="3">
        <v>420.8</v>
      </c>
      <c r="AY34" s="3">
        <v>427.5</v>
      </c>
      <c r="AZ34" s="3">
        <v>428.4</v>
      </c>
      <c r="BA34" s="3">
        <v>429.1</v>
      </c>
      <c r="BB34" s="3">
        <v>429.5</v>
      </c>
      <c r="BC34" s="3">
        <v>435.9</v>
      </c>
      <c r="BD34" s="3">
        <v>437</v>
      </c>
      <c r="BE34" s="3">
        <v>443</v>
      </c>
      <c r="BF34" s="3">
        <v>443.7</v>
      </c>
      <c r="BG34" s="3">
        <v>468.8</v>
      </c>
      <c r="BH34" s="3">
        <v>470.2</v>
      </c>
      <c r="BI34" s="3">
        <v>488.9</v>
      </c>
      <c r="BJ34" s="3">
        <v>506.7</v>
      </c>
      <c r="BK34" s="3">
        <v>573.70000000000005</v>
      </c>
      <c r="BL34" s="3">
        <v>699.4</v>
      </c>
      <c r="BM34" s="3">
        <v>650.70000000000005</v>
      </c>
      <c r="BN34" s="3">
        <v>703.4</v>
      </c>
      <c r="BO34" s="3">
        <v>670.1</v>
      </c>
      <c r="BP34" s="3">
        <v>677.1</v>
      </c>
      <c r="BQ34" s="3">
        <v>798.5</v>
      </c>
      <c r="BR34" s="3">
        <v>845.1</v>
      </c>
      <c r="BS34" s="3">
        <v>873</v>
      </c>
      <c r="BT34" s="3">
        <v>955.8</v>
      </c>
      <c r="BU34" s="3">
        <v>1129.5</v>
      </c>
      <c r="BV34" s="3">
        <v>1513.5</v>
      </c>
      <c r="BW34" s="3">
        <v>1243.2</v>
      </c>
      <c r="BX34" s="3">
        <v>1600.8</v>
      </c>
      <c r="BY34" s="3">
        <v>1246.3</v>
      </c>
      <c r="BZ34" s="3">
        <v>1340.9</v>
      </c>
      <c r="CA34" s="3">
        <v>2016.5</v>
      </c>
      <c r="CB34" s="3">
        <v>2148.4</v>
      </c>
      <c r="CC34" s="3">
        <v>2262.5</v>
      </c>
      <c r="CD34" s="3">
        <v>2305.5</v>
      </c>
      <c r="CE34" s="3">
        <v>2686.9</v>
      </c>
      <c r="CF34" s="3">
        <v>2835.2</v>
      </c>
      <c r="CG34" s="3">
        <v>3081.5</v>
      </c>
      <c r="CH34" s="3">
        <v>3396.2</v>
      </c>
      <c r="CI34" s="3">
        <v>3398.7</v>
      </c>
      <c r="CJ34" s="3">
        <v>3600.5</v>
      </c>
      <c r="CK34" s="3">
        <v>4093.2</v>
      </c>
      <c r="CL34" s="3">
        <v>4140.3999999999996</v>
      </c>
      <c r="CM34" s="3">
        <v>4486.8999999999996</v>
      </c>
      <c r="CN34" s="3">
        <v>4508.3</v>
      </c>
      <c r="CO34" s="3">
        <v>5321.4</v>
      </c>
      <c r="CP34" s="3">
        <v>5587.1</v>
      </c>
      <c r="CQ34" s="3">
        <v>5790.6</v>
      </c>
      <c r="CR34" s="3">
        <v>6102.1</v>
      </c>
      <c r="CS34" s="3">
        <v>6236.5</v>
      </c>
      <c r="CT34" s="3">
        <v>6282.3</v>
      </c>
    </row>
    <row r="35" spans="1:98">
      <c r="A35" s="4" t="s">
        <v>131</v>
      </c>
      <c r="B35" s="5">
        <v>100</v>
      </c>
      <c r="C35" s="5">
        <v>101.2</v>
      </c>
      <c r="D35" s="5">
        <v>101.6</v>
      </c>
      <c r="E35" s="5">
        <v>106</v>
      </c>
      <c r="F35" s="5">
        <v>106.2</v>
      </c>
      <c r="G35" s="5">
        <v>120.7</v>
      </c>
      <c r="H35" s="5">
        <v>121</v>
      </c>
      <c r="I35" s="5">
        <v>123.6</v>
      </c>
      <c r="J35" s="5">
        <v>123.6</v>
      </c>
      <c r="K35" s="5">
        <v>124.5</v>
      </c>
      <c r="L35" s="5">
        <v>124.6</v>
      </c>
      <c r="M35" s="5">
        <v>133</v>
      </c>
      <c r="N35" s="5">
        <v>133.1</v>
      </c>
      <c r="O35" s="5">
        <v>143.1</v>
      </c>
      <c r="P35" s="5">
        <v>143.1</v>
      </c>
      <c r="Q35" s="5">
        <v>145.1</v>
      </c>
      <c r="R35" s="5">
        <v>145.19999999999999</v>
      </c>
      <c r="S35" s="5">
        <v>165.4</v>
      </c>
      <c r="T35" s="5">
        <v>167.8</v>
      </c>
      <c r="U35" s="5">
        <v>176.4</v>
      </c>
      <c r="V35" s="5">
        <v>177.1</v>
      </c>
      <c r="W35" s="5">
        <v>204.8</v>
      </c>
      <c r="X35" s="5">
        <v>203.8</v>
      </c>
      <c r="Y35" s="5">
        <v>190.2</v>
      </c>
      <c r="Z35" s="5">
        <v>185.3</v>
      </c>
      <c r="AA35" s="5">
        <v>186.2</v>
      </c>
      <c r="AB35" s="5">
        <v>191.3</v>
      </c>
      <c r="AC35" s="5">
        <v>192.5</v>
      </c>
      <c r="AD35" s="5">
        <v>193.2</v>
      </c>
      <c r="AE35" s="5">
        <v>206.1</v>
      </c>
      <c r="AF35" s="5">
        <v>214</v>
      </c>
      <c r="AG35" s="5">
        <v>216.4</v>
      </c>
      <c r="AH35" s="5">
        <v>219.6</v>
      </c>
      <c r="AI35" s="5">
        <v>230.4</v>
      </c>
      <c r="AJ35" s="5">
        <v>233.9</v>
      </c>
      <c r="AK35" s="5">
        <v>244.7</v>
      </c>
      <c r="AL35" s="5">
        <v>250.5</v>
      </c>
      <c r="AM35" s="5">
        <v>278.10000000000002</v>
      </c>
      <c r="AN35" s="5">
        <v>292.8</v>
      </c>
      <c r="AO35" s="5">
        <v>339.5</v>
      </c>
      <c r="AP35" s="5">
        <v>341</v>
      </c>
      <c r="AQ35" s="5">
        <v>364.5</v>
      </c>
      <c r="AR35" s="5">
        <v>361.2</v>
      </c>
      <c r="AS35" s="5">
        <v>375.7</v>
      </c>
      <c r="AT35" s="5">
        <v>374.4</v>
      </c>
      <c r="AU35" s="5">
        <v>419.5</v>
      </c>
      <c r="AV35" s="5">
        <v>421.3</v>
      </c>
      <c r="AW35" s="5">
        <v>428.7</v>
      </c>
      <c r="AX35" s="5">
        <v>429.7</v>
      </c>
      <c r="AY35" s="5">
        <v>435.5</v>
      </c>
      <c r="AZ35" s="5">
        <v>432.9</v>
      </c>
      <c r="BA35" s="5">
        <v>437.8</v>
      </c>
      <c r="BB35" s="5">
        <v>435.2</v>
      </c>
      <c r="BC35" s="5">
        <v>454</v>
      </c>
      <c r="BD35" s="5">
        <v>457</v>
      </c>
      <c r="BE35" s="5">
        <v>483</v>
      </c>
      <c r="BF35" s="5">
        <v>490.1</v>
      </c>
      <c r="BG35" s="5">
        <v>512.5</v>
      </c>
      <c r="BH35" s="5">
        <v>518.9</v>
      </c>
      <c r="BI35" s="5">
        <v>533.79999999999995</v>
      </c>
      <c r="BJ35" s="5">
        <v>546.4</v>
      </c>
      <c r="BK35" s="5">
        <v>632.20000000000005</v>
      </c>
      <c r="BL35" s="5">
        <v>915.2</v>
      </c>
      <c r="BM35" s="5">
        <v>681.9</v>
      </c>
      <c r="BN35" s="5">
        <v>918.4</v>
      </c>
      <c r="BO35" s="5">
        <v>751.9</v>
      </c>
      <c r="BP35" s="5">
        <v>852.2</v>
      </c>
      <c r="BQ35" s="5">
        <v>1083.2</v>
      </c>
      <c r="BR35" s="5">
        <v>1056.8</v>
      </c>
      <c r="BS35" s="5">
        <v>1088.5999999999999</v>
      </c>
      <c r="BT35" s="5">
        <v>1180.0999999999999</v>
      </c>
      <c r="BU35" s="5">
        <v>1412.9</v>
      </c>
      <c r="BV35" s="5">
        <v>2065.6999999999998</v>
      </c>
      <c r="BW35" s="5">
        <v>1733.5</v>
      </c>
      <c r="BX35" s="5">
        <v>2329.3000000000002</v>
      </c>
      <c r="BY35" s="5">
        <v>1769.4</v>
      </c>
      <c r="BZ35" s="5">
        <v>1887.3</v>
      </c>
      <c r="CA35" s="5">
        <v>2717.7</v>
      </c>
      <c r="CB35" s="5">
        <v>2976.4</v>
      </c>
      <c r="CC35" s="5">
        <v>3073.8</v>
      </c>
      <c r="CD35" s="5">
        <v>3057.8</v>
      </c>
      <c r="CE35" s="5">
        <v>3600.1</v>
      </c>
      <c r="CF35" s="5">
        <v>3666.6</v>
      </c>
      <c r="CG35" s="5">
        <v>3915.6</v>
      </c>
      <c r="CH35" s="5">
        <v>4341</v>
      </c>
      <c r="CI35" s="5">
        <v>4554.2</v>
      </c>
      <c r="CJ35" s="5">
        <v>4799.6000000000004</v>
      </c>
      <c r="CK35" s="5">
        <v>5184.5</v>
      </c>
      <c r="CL35" s="5">
        <v>5123.7</v>
      </c>
      <c r="CM35" s="5">
        <v>5386.3</v>
      </c>
      <c r="CN35" s="5">
        <v>5467.6</v>
      </c>
      <c r="CO35" s="5">
        <v>6014.1</v>
      </c>
      <c r="CP35" s="5">
        <v>6243.1</v>
      </c>
      <c r="CQ35" s="5">
        <v>6733</v>
      </c>
      <c r="CR35" s="5">
        <v>7084.7</v>
      </c>
      <c r="CS35" s="5">
        <v>7233.6</v>
      </c>
      <c r="CT35" s="5">
        <v>7368</v>
      </c>
    </row>
    <row r="36" spans="1:98">
      <c r="A36" s="2" t="s">
        <v>132</v>
      </c>
      <c r="B36" s="3">
        <v>100</v>
      </c>
      <c r="C36" s="3">
        <v>101.2</v>
      </c>
      <c r="D36" s="3">
        <v>101.9</v>
      </c>
      <c r="E36" s="3">
        <v>104.7</v>
      </c>
      <c r="F36" s="3">
        <v>105.1</v>
      </c>
      <c r="G36" s="3">
        <v>121.3</v>
      </c>
      <c r="H36" s="3">
        <v>122</v>
      </c>
      <c r="I36" s="3">
        <v>117.8</v>
      </c>
      <c r="J36" s="3">
        <v>117.8</v>
      </c>
      <c r="K36" s="3">
        <v>122.5</v>
      </c>
      <c r="L36" s="3">
        <v>122.7</v>
      </c>
      <c r="M36" s="3">
        <v>123.5</v>
      </c>
      <c r="N36" s="3">
        <v>123.7</v>
      </c>
      <c r="O36" s="3">
        <v>119.6</v>
      </c>
      <c r="P36" s="3">
        <v>120.1</v>
      </c>
      <c r="Q36" s="3">
        <v>119.6</v>
      </c>
      <c r="R36" s="3">
        <v>119.6</v>
      </c>
      <c r="S36" s="3">
        <v>123.5</v>
      </c>
      <c r="T36" s="3">
        <v>123.9</v>
      </c>
      <c r="U36" s="3">
        <v>126.4</v>
      </c>
      <c r="V36" s="3">
        <v>128.5</v>
      </c>
      <c r="W36" s="3">
        <v>145.4</v>
      </c>
      <c r="X36" s="3">
        <v>145.69999999999999</v>
      </c>
      <c r="Y36" s="3">
        <v>146.30000000000001</v>
      </c>
      <c r="Z36" s="3">
        <v>151.6</v>
      </c>
      <c r="AA36" s="3">
        <v>149.1</v>
      </c>
      <c r="AB36" s="3">
        <v>145.69999999999999</v>
      </c>
      <c r="AC36" s="3">
        <v>145</v>
      </c>
      <c r="AD36" s="3">
        <v>145</v>
      </c>
      <c r="AE36" s="3">
        <v>153.1</v>
      </c>
      <c r="AF36" s="3">
        <v>153.80000000000001</v>
      </c>
      <c r="AG36" s="3">
        <v>154.80000000000001</v>
      </c>
      <c r="AH36" s="3">
        <v>157.30000000000001</v>
      </c>
      <c r="AI36" s="3">
        <v>166.2</v>
      </c>
      <c r="AJ36" s="3">
        <v>169.5</v>
      </c>
      <c r="AK36" s="3">
        <v>180.9</v>
      </c>
      <c r="AL36" s="3">
        <v>194.6</v>
      </c>
      <c r="AM36" s="3">
        <v>209.7</v>
      </c>
      <c r="AN36" s="3">
        <v>218.8</v>
      </c>
      <c r="AO36" s="3">
        <v>236.6</v>
      </c>
      <c r="AP36" s="3">
        <v>239.3</v>
      </c>
      <c r="AQ36" s="3">
        <v>263.2</v>
      </c>
      <c r="AR36" s="3">
        <v>265.5</v>
      </c>
      <c r="AS36" s="3">
        <v>267.8</v>
      </c>
      <c r="AT36" s="3">
        <v>271.10000000000002</v>
      </c>
      <c r="AU36" s="3">
        <v>293.60000000000002</v>
      </c>
      <c r="AV36" s="3">
        <v>296.5</v>
      </c>
      <c r="AW36" s="3">
        <v>304.7</v>
      </c>
      <c r="AX36" s="3">
        <v>307.10000000000002</v>
      </c>
      <c r="AY36" s="3">
        <v>324.8</v>
      </c>
      <c r="AZ36" s="3">
        <v>326.7</v>
      </c>
      <c r="BA36" s="3">
        <v>328.7</v>
      </c>
      <c r="BB36" s="3">
        <v>330.2</v>
      </c>
      <c r="BC36" s="3">
        <v>346.9</v>
      </c>
      <c r="BD36" s="3">
        <v>348.9</v>
      </c>
      <c r="BE36" s="3">
        <v>353</v>
      </c>
      <c r="BF36" s="3">
        <v>354.7</v>
      </c>
      <c r="BG36" s="3">
        <v>381</v>
      </c>
      <c r="BH36" s="3">
        <v>385.7</v>
      </c>
      <c r="BI36" s="3">
        <v>388.1</v>
      </c>
      <c r="BJ36" s="3">
        <v>390.2</v>
      </c>
      <c r="BK36" s="3">
        <v>443.8</v>
      </c>
      <c r="BL36" s="3">
        <v>547.9</v>
      </c>
      <c r="BM36" s="3">
        <v>482.7</v>
      </c>
      <c r="BN36" s="3">
        <v>554.70000000000005</v>
      </c>
      <c r="BO36" s="3">
        <v>490.3</v>
      </c>
      <c r="BP36" s="3">
        <v>491.9</v>
      </c>
      <c r="BQ36" s="3">
        <v>620.1</v>
      </c>
      <c r="BR36" s="3">
        <v>634.79999999999995</v>
      </c>
      <c r="BS36" s="3">
        <v>645.29999999999995</v>
      </c>
      <c r="BT36" s="3">
        <v>655.1</v>
      </c>
      <c r="BU36" s="3">
        <v>761.7</v>
      </c>
      <c r="BV36" s="3">
        <v>1043.0999999999999</v>
      </c>
      <c r="BW36" s="3">
        <v>818.2</v>
      </c>
      <c r="BX36" s="3">
        <v>1109.8</v>
      </c>
      <c r="BY36" s="3">
        <v>819.7</v>
      </c>
      <c r="BZ36" s="3">
        <v>829.6</v>
      </c>
      <c r="CA36" s="3">
        <v>1472.1</v>
      </c>
      <c r="CB36" s="3">
        <v>1583</v>
      </c>
      <c r="CC36" s="3">
        <v>1611.5</v>
      </c>
      <c r="CD36" s="3">
        <v>1645.7</v>
      </c>
      <c r="CE36" s="3">
        <v>2074.1</v>
      </c>
      <c r="CF36" s="3">
        <v>2140</v>
      </c>
      <c r="CG36" s="3">
        <v>2225.3000000000002</v>
      </c>
      <c r="CH36" s="3">
        <v>2329.1</v>
      </c>
      <c r="CI36" s="3">
        <v>2329.9</v>
      </c>
      <c r="CJ36" s="3">
        <v>2436.1</v>
      </c>
      <c r="CK36" s="3">
        <v>2846.6</v>
      </c>
      <c r="CL36" s="3">
        <v>2905.3</v>
      </c>
      <c r="CM36" s="3">
        <v>3177.1</v>
      </c>
      <c r="CN36" s="3">
        <v>3216.3</v>
      </c>
      <c r="CO36" s="3">
        <v>3734.1</v>
      </c>
      <c r="CP36" s="3">
        <v>3854.1</v>
      </c>
      <c r="CQ36" s="3">
        <v>4066.1</v>
      </c>
      <c r="CR36" s="3">
        <v>4224</v>
      </c>
      <c r="CS36" s="3">
        <v>4360.8</v>
      </c>
      <c r="CT36" s="3">
        <v>4407</v>
      </c>
    </row>
    <row r="37" spans="1:98">
      <c r="A37" s="4" t="s">
        <v>133</v>
      </c>
      <c r="B37" s="5">
        <v>100</v>
      </c>
      <c r="C37" s="5">
        <v>101</v>
      </c>
      <c r="D37" s="5">
        <v>102.9</v>
      </c>
      <c r="E37" s="5">
        <v>104.3</v>
      </c>
      <c r="F37" s="5">
        <v>105.3</v>
      </c>
      <c r="G37" s="5">
        <v>114.5</v>
      </c>
      <c r="H37" s="5">
        <v>116.2</v>
      </c>
      <c r="I37" s="5">
        <v>124.9</v>
      </c>
      <c r="J37" s="5">
        <v>124.9</v>
      </c>
      <c r="K37" s="5">
        <v>129.30000000000001</v>
      </c>
      <c r="L37" s="5">
        <v>130.19999999999999</v>
      </c>
      <c r="M37" s="5">
        <v>134.19999999999999</v>
      </c>
      <c r="N37" s="5">
        <v>134.6</v>
      </c>
      <c r="O37" s="5">
        <v>140.9</v>
      </c>
      <c r="P37" s="5">
        <v>141.1</v>
      </c>
      <c r="Q37" s="5">
        <v>143.5</v>
      </c>
      <c r="R37" s="5">
        <v>143.6</v>
      </c>
      <c r="S37" s="5">
        <v>168.1</v>
      </c>
      <c r="T37" s="5">
        <v>169.4</v>
      </c>
      <c r="U37" s="5">
        <v>176</v>
      </c>
      <c r="V37" s="5">
        <v>195.8</v>
      </c>
      <c r="W37" s="5">
        <v>207.9</v>
      </c>
      <c r="X37" s="5">
        <v>209</v>
      </c>
      <c r="Y37" s="5">
        <v>205.9</v>
      </c>
      <c r="Z37" s="5">
        <v>204.3</v>
      </c>
      <c r="AA37" s="5">
        <v>214.8</v>
      </c>
      <c r="AB37" s="5">
        <v>216.3</v>
      </c>
      <c r="AC37" s="5">
        <v>219.5</v>
      </c>
      <c r="AD37" s="5">
        <v>231.5</v>
      </c>
      <c r="AE37" s="5">
        <v>243.2</v>
      </c>
      <c r="AF37" s="5">
        <v>244.4</v>
      </c>
      <c r="AG37" s="5">
        <v>246.1</v>
      </c>
      <c r="AH37" s="5">
        <v>252.6</v>
      </c>
      <c r="AI37" s="5">
        <v>263.2</v>
      </c>
      <c r="AJ37" s="5">
        <v>272.5</v>
      </c>
      <c r="AK37" s="5">
        <v>281.39999999999998</v>
      </c>
      <c r="AL37" s="5">
        <v>284.7</v>
      </c>
      <c r="AM37" s="5">
        <v>317.5</v>
      </c>
      <c r="AN37" s="5">
        <v>336.2</v>
      </c>
      <c r="AO37" s="5">
        <v>358.6</v>
      </c>
      <c r="AP37" s="5">
        <v>364</v>
      </c>
      <c r="AQ37" s="5">
        <v>411.7</v>
      </c>
      <c r="AR37" s="5">
        <v>416.7</v>
      </c>
      <c r="AS37" s="5">
        <v>423.6</v>
      </c>
      <c r="AT37" s="5">
        <v>431.4</v>
      </c>
      <c r="AU37" s="5">
        <v>471.4</v>
      </c>
      <c r="AV37" s="5">
        <v>477.4</v>
      </c>
      <c r="AW37" s="5">
        <v>484.1</v>
      </c>
      <c r="AX37" s="5">
        <v>488.9</v>
      </c>
      <c r="AY37" s="5">
        <v>521.29999999999995</v>
      </c>
      <c r="AZ37" s="5">
        <v>524.20000000000005</v>
      </c>
      <c r="BA37" s="5">
        <v>527.29999999999995</v>
      </c>
      <c r="BB37" s="5">
        <v>529.9</v>
      </c>
      <c r="BC37" s="5">
        <v>559.6</v>
      </c>
      <c r="BD37" s="5">
        <v>563.29999999999995</v>
      </c>
      <c r="BE37" s="5">
        <v>570</v>
      </c>
      <c r="BF37" s="5">
        <v>573.79999999999995</v>
      </c>
      <c r="BG37" s="5">
        <v>613.9</v>
      </c>
      <c r="BH37" s="5">
        <v>617.79999999999995</v>
      </c>
      <c r="BI37" s="5">
        <v>629.1</v>
      </c>
      <c r="BJ37" s="5">
        <v>640</v>
      </c>
      <c r="BK37" s="5">
        <v>788.7</v>
      </c>
      <c r="BL37" s="5">
        <v>922.4</v>
      </c>
      <c r="BM37" s="5">
        <v>856</v>
      </c>
      <c r="BN37" s="5">
        <v>938.4</v>
      </c>
      <c r="BO37" s="5">
        <v>893.7</v>
      </c>
      <c r="BP37" s="5">
        <v>904.4</v>
      </c>
      <c r="BQ37" s="5">
        <v>1100.9000000000001</v>
      </c>
      <c r="BR37" s="5">
        <v>1135.4000000000001</v>
      </c>
      <c r="BS37" s="5">
        <v>1155.0999999999999</v>
      </c>
      <c r="BT37" s="5">
        <v>1181.3</v>
      </c>
      <c r="BU37" s="5">
        <v>1374.5</v>
      </c>
      <c r="BV37" s="5">
        <v>1793.7</v>
      </c>
      <c r="BW37" s="5">
        <v>1504.8</v>
      </c>
      <c r="BX37" s="5">
        <v>1897.9</v>
      </c>
      <c r="BY37" s="5">
        <v>1522.7</v>
      </c>
      <c r="BZ37" s="5">
        <v>1583.4</v>
      </c>
      <c r="CA37" s="5">
        <v>2433.4</v>
      </c>
      <c r="CB37" s="5">
        <v>2610.5</v>
      </c>
      <c r="CC37" s="5">
        <v>2674.6</v>
      </c>
      <c r="CD37" s="5">
        <v>2727.9</v>
      </c>
      <c r="CE37" s="5">
        <v>3458</v>
      </c>
      <c r="CF37" s="5">
        <v>3605.4</v>
      </c>
      <c r="CG37" s="5">
        <v>3735.9</v>
      </c>
      <c r="CH37" s="5">
        <v>3956</v>
      </c>
      <c r="CI37" s="5">
        <v>3957.9</v>
      </c>
      <c r="CJ37" s="5">
        <v>3963.7</v>
      </c>
      <c r="CK37" s="5">
        <v>4733.8999999999996</v>
      </c>
      <c r="CL37" s="5">
        <v>4883</v>
      </c>
      <c r="CM37" s="5">
        <v>5010.1000000000004</v>
      </c>
      <c r="CN37" s="5">
        <v>5134.2</v>
      </c>
      <c r="CO37" s="5">
        <v>6088.7</v>
      </c>
      <c r="CP37" s="5">
        <v>6375.7</v>
      </c>
      <c r="CQ37" s="5">
        <v>6482.2</v>
      </c>
      <c r="CR37" s="5">
        <v>6781.7</v>
      </c>
      <c r="CS37" s="5">
        <v>6900.5</v>
      </c>
      <c r="CT37" s="5">
        <v>6988.5</v>
      </c>
    </row>
    <row r="38" spans="1:98">
      <c r="A38" s="2" t="s">
        <v>134</v>
      </c>
      <c r="B38" s="3">
        <v>100</v>
      </c>
      <c r="C38" s="3">
        <v>115.5</v>
      </c>
      <c r="D38" s="3">
        <v>118.7</v>
      </c>
      <c r="E38" s="3">
        <v>119.7</v>
      </c>
      <c r="F38" s="3">
        <v>120.8</v>
      </c>
      <c r="G38" s="3">
        <v>143</v>
      </c>
      <c r="H38" s="3">
        <v>146.1</v>
      </c>
      <c r="I38" s="3">
        <v>150.30000000000001</v>
      </c>
      <c r="J38" s="3">
        <v>150.30000000000001</v>
      </c>
      <c r="K38" s="3">
        <v>151.30000000000001</v>
      </c>
      <c r="L38" s="3">
        <v>152.19999999999999</v>
      </c>
      <c r="M38" s="3">
        <v>156.4</v>
      </c>
      <c r="N38" s="3">
        <v>157.19999999999999</v>
      </c>
      <c r="O38" s="3">
        <v>160.9</v>
      </c>
      <c r="P38" s="3">
        <v>162.19999999999999</v>
      </c>
      <c r="Q38" s="3">
        <v>164.6</v>
      </c>
      <c r="R38" s="3">
        <v>164.6</v>
      </c>
      <c r="S38" s="3">
        <v>182.2</v>
      </c>
      <c r="T38" s="3">
        <v>184.8</v>
      </c>
      <c r="U38" s="3">
        <v>192.9</v>
      </c>
      <c r="V38" s="3">
        <v>195</v>
      </c>
      <c r="W38" s="3">
        <v>220.2</v>
      </c>
      <c r="X38" s="3">
        <v>223.1</v>
      </c>
      <c r="Y38" s="3">
        <v>220.2</v>
      </c>
      <c r="Z38" s="3">
        <v>220.2</v>
      </c>
      <c r="AA38" s="3">
        <v>220.5</v>
      </c>
      <c r="AB38" s="3">
        <v>221.2</v>
      </c>
      <c r="AC38" s="3">
        <v>226.5</v>
      </c>
      <c r="AD38" s="3">
        <v>227.8</v>
      </c>
      <c r="AE38" s="3">
        <v>237.7</v>
      </c>
      <c r="AF38" s="3">
        <v>239.1</v>
      </c>
      <c r="AG38" s="3">
        <v>239.1</v>
      </c>
      <c r="AH38" s="3">
        <v>273.89999999999998</v>
      </c>
      <c r="AI38" s="3">
        <v>284.39999999999998</v>
      </c>
      <c r="AJ38" s="3">
        <v>291.39999999999998</v>
      </c>
      <c r="AK38" s="3">
        <v>293.2</v>
      </c>
      <c r="AL38" s="3">
        <v>325.7</v>
      </c>
      <c r="AM38" s="3">
        <v>361.4</v>
      </c>
      <c r="AN38" s="3">
        <v>383.8</v>
      </c>
      <c r="AO38" s="3">
        <v>394.1</v>
      </c>
      <c r="AP38" s="3">
        <v>421.5</v>
      </c>
      <c r="AQ38" s="3">
        <v>429.3</v>
      </c>
      <c r="AR38" s="3">
        <v>429.3</v>
      </c>
      <c r="AS38" s="3">
        <v>442.2</v>
      </c>
      <c r="AT38" s="3">
        <v>470.5</v>
      </c>
      <c r="AU38" s="3">
        <v>520.1</v>
      </c>
      <c r="AV38" s="3">
        <v>531.9</v>
      </c>
      <c r="AW38" s="3">
        <v>558.29999999999995</v>
      </c>
      <c r="AX38" s="3">
        <v>556</v>
      </c>
      <c r="AY38" s="3">
        <v>559.4</v>
      </c>
      <c r="AZ38" s="3">
        <v>568</v>
      </c>
      <c r="BA38" s="3">
        <v>582.1</v>
      </c>
      <c r="BB38" s="3">
        <v>582.1</v>
      </c>
      <c r="BC38" s="3">
        <v>600.6</v>
      </c>
      <c r="BD38" s="3">
        <v>608</v>
      </c>
      <c r="BE38" s="3">
        <v>608</v>
      </c>
      <c r="BF38" s="3">
        <v>608</v>
      </c>
      <c r="BG38" s="3">
        <v>638.9</v>
      </c>
      <c r="BH38" s="3">
        <v>658.7</v>
      </c>
      <c r="BI38" s="3">
        <v>666.7</v>
      </c>
      <c r="BJ38" s="3">
        <v>674.6</v>
      </c>
      <c r="BK38" s="3">
        <v>753.4</v>
      </c>
      <c r="BL38" s="3">
        <v>938.1</v>
      </c>
      <c r="BM38" s="3">
        <v>829.4</v>
      </c>
      <c r="BN38" s="3">
        <v>984.6</v>
      </c>
      <c r="BO38" s="3">
        <v>891.6</v>
      </c>
      <c r="BP38" s="3">
        <v>895.9</v>
      </c>
      <c r="BQ38" s="3">
        <v>1121</v>
      </c>
      <c r="BR38" s="3">
        <v>1194.5999999999999</v>
      </c>
      <c r="BS38" s="3">
        <v>1385.2</v>
      </c>
      <c r="BT38" s="3">
        <v>1457.4</v>
      </c>
      <c r="BU38" s="3">
        <v>1897.9</v>
      </c>
      <c r="BV38" s="3">
        <v>2698.9</v>
      </c>
      <c r="BW38" s="3">
        <v>2231.8000000000002</v>
      </c>
      <c r="BX38" s="3">
        <v>2777.9</v>
      </c>
      <c r="BY38" s="3">
        <v>2478.5</v>
      </c>
      <c r="BZ38" s="3">
        <v>2713.1</v>
      </c>
      <c r="CA38" s="3">
        <v>3490.1</v>
      </c>
      <c r="CB38" s="3">
        <v>3793.8</v>
      </c>
      <c r="CC38" s="3">
        <v>4058.1</v>
      </c>
      <c r="CD38" s="3">
        <v>4198.2</v>
      </c>
      <c r="CE38" s="3">
        <v>4861.3</v>
      </c>
      <c r="CF38" s="3">
        <v>5108.1000000000004</v>
      </c>
      <c r="CG38" s="3">
        <v>5795.7</v>
      </c>
      <c r="CH38" s="3">
        <v>6219.7</v>
      </c>
      <c r="CI38" s="3">
        <v>6239.2</v>
      </c>
      <c r="CJ38" s="3">
        <v>6401.7</v>
      </c>
      <c r="CK38" s="3">
        <v>7528.1</v>
      </c>
      <c r="CL38" s="3">
        <v>7898</v>
      </c>
      <c r="CM38" s="3">
        <v>8496.6</v>
      </c>
      <c r="CN38" s="3">
        <v>8619.4</v>
      </c>
      <c r="CO38" s="3">
        <v>10449.9</v>
      </c>
      <c r="CP38" s="3">
        <v>11265.9</v>
      </c>
      <c r="CQ38" s="3">
        <v>11297.5</v>
      </c>
      <c r="CR38" s="3">
        <v>11664.5</v>
      </c>
      <c r="CS38" s="3">
        <v>12000.2</v>
      </c>
      <c r="CT38" s="3">
        <v>12320.6</v>
      </c>
    </row>
    <row r="39" spans="1:98">
      <c r="A39" s="4" t="s">
        <v>135</v>
      </c>
      <c r="B39" s="5">
        <v>100</v>
      </c>
      <c r="C39" s="5">
        <v>103.6</v>
      </c>
      <c r="D39" s="5">
        <v>104.3</v>
      </c>
      <c r="E39" s="5">
        <v>104.6</v>
      </c>
      <c r="F39" s="5">
        <v>104.9</v>
      </c>
      <c r="G39" s="5">
        <v>115.4</v>
      </c>
      <c r="H39" s="5">
        <v>116.1</v>
      </c>
      <c r="I39" s="5">
        <v>116.8</v>
      </c>
      <c r="J39" s="5">
        <v>116.8</v>
      </c>
      <c r="K39" s="5">
        <v>117.6</v>
      </c>
      <c r="L39" s="5">
        <v>117.9</v>
      </c>
      <c r="M39" s="5">
        <v>118.7</v>
      </c>
      <c r="N39" s="5">
        <v>118.9</v>
      </c>
      <c r="O39" s="5">
        <v>119.2</v>
      </c>
      <c r="P39" s="5">
        <v>119.2</v>
      </c>
      <c r="Q39" s="5">
        <v>120.7</v>
      </c>
      <c r="R39" s="5">
        <v>120.8</v>
      </c>
      <c r="S39" s="5">
        <v>123.7</v>
      </c>
      <c r="T39" s="5">
        <v>124.1</v>
      </c>
      <c r="U39" s="5">
        <v>132.9</v>
      </c>
      <c r="V39" s="5">
        <v>133.6</v>
      </c>
      <c r="W39" s="5">
        <v>309.89999999999998</v>
      </c>
      <c r="X39" s="5">
        <v>313.2</v>
      </c>
      <c r="Y39" s="5">
        <v>313.10000000000002</v>
      </c>
      <c r="Z39" s="5">
        <v>312.3</v>
      </c>
      <c r="AA39" s="5">
        <v>313.2</v>
      </c>
      <c r="AB39" s="5">
        <v>315.5</v>
      </c>
      <c r="AC39" s="5">
        <v>322.3</v>
      </c>
      <c r="AD39" s="5">
        <v>323.39999999999998</v>
      </c>
      <c r="AE39" s="5">
        <v>339.5</v>
      </c>
      <c r="AF39" s="5">
        <v>339.2</v>
      </c>
      <c r="AG39" s="5">
        <v>340.3</v>
      </c>
      <c r="AH39" s="5">
        <v>361.4</v>
      </c>
      <c r="AI39" s="5">
        <v>412.1</v>
      </c>
      <c r="AJ39" s="5">
        <v>416.2</v>
      </c>
      <c r="AK39" s="5">
        <v>495.7</v>
      </c>
      <c r="AL39" s="5">
        <v>538.9</v>
      </c>
      <c r="AM39" s="5">
        <v>594.9</v>
      </c>
      <c r="AN39" s="5">
        <v>640</v>
      </c>
      <c r="AO39" s="5">
        <v>668.1</v>
      </c>
      <c r="AP39" s="5">
        <v>783.3</v>
      </c>
      <c r="AQ39" s="5">
        <v>803</v>
      </c>
      <c r="AR39" s="5">
        <v>808.5</v>
      </c>
      <c r="AS39" s="5">
        <v>846</v>
      </c>
      <c r="AT39" s="5">
        <v>848.5</v>
      </c>
      <c r="AU39" s="5">
        <v>864.3</v>
      </c>
      <c r="AV39" s="5">
        <v>870.5</v>
      </c>
      <c r="AW39" s="5">
        <v>825.9</v>
      </c>
      <c r="AX39" s="5">
        <v>814</v>
      </c>
      <c r="AY39" s="5">
        <v>821.4</v>
      </c>
      <c r="AZ39" s="5">
        <v>821.6</v>
      </c>
      <c r="BA39" s="5">
        <v>756.4</v>
      </c>
      <c r="BB39" s="5">
        <v>589.4</v>
      </c>
      <c r="BC39" s="5">
        <v>609</v>
      </c>
      <c r="BD39" s="5">
        <v>656.1</v>
      </c>
      <c r="BE39" s="5">
        <v>708.7</v>
      </c>
      <c r="BF39" s="5">
        <v>800.7</v>
      </c>
      <c r="BG39" s="5">
        <v>839.1</v>
      </c>
      <c r="BH39" s="5">
        <v>841.8</v>
      </c>
      <c r="BI39" s="5">
        <v>869</v>
      </c>
      <c r="BJ39" s="5">
        <v>964.2</v>
      </c>
      <c r="BK39" s="5">
        <v>1061.5</v>
      </c>
      <c r="BL39" s="5">
        <v>1688.6</v>
      </c>
      <c r="BM39" s="5">
        <v>1172.5</v>
      </c>
      <c r="BN39" s="5">
        <v>1681.8</v>
      </c>
      <c r="BO39" s="5">
        <v>1283.8</v>
      </c>
      <c r="BP39" s="5">
        <v>1808.5</v>
      </c>
      <c r="BQ39" s="5">
        <v>1876.6</v>
      </c>
      <c r="BR39" s="5">
        <v>1901.7</v>
      </c>
      <c r="BS39" s="5">
        <v>1902.5</v>
      </c>
      <c r="BT39" s="5">
        <v>1914.8</v>
      </c>
      <c r="BU39" s="5">
        <v>2163.3000000000002</v>
      </c>
      <c r="BV39" s="5">
        <v>3013.6</v>
      </c>
      <c r="BW39" s="5">
        <v>2502.5</v>
      </c>
      <c r="BX39" s="5">
        <v>3149.1</v>
      </c>
      <c r="BY39" s="5">
        <v>2530.6</v>
      </c>
      <c r="BZ39" s="5">
        <v>2690.3</v>
      </c>
      <c r="CA39" s="5">
        <v>3742.4</v>
      </c>
      <c r="CB39" s="5">
        <v>4106.1000000000004</v>
      </c>
      <c r="CC39" s="5">
        <v>4458.6000000000004</v>
      </c>
      <c r="CD39" s="5">
        <v>4597.3999999999996</v>
      </c>
      <c r="CE39" s="5">
        <v>5375.5</v>
      </c>
      <c r="CF39" s="5">
        <v>5302.1</v>
      </c>
      <c r="CG39" s="5">
        <v>5493.8</v>
      </c>
      <c r="CH39" s="5">
        <v>5886.2</v>
      </c>
      <c r="CI39" s="5">
        <v>6178.2</v>
      </c>
      <c r="CJ39" s="5">
        <v>6978.4</v>
      </c>
      <c r="CK39" s="5">
        <v>7531.4</v>
      </c>
      <c r="CL39" s="5">
        <v>7636.9</v>
      </c>
      <c r="CM39" s="5">
        <v>7887.5</v>
      </c>
      <c r="CN39" s="5">
        <v>8115.2</v>
      </c>
      <c r="CO39" s="5">
        <v>9840</v>
      </c>
      <c r="CP39" s="5">
        <v>10278.200000000001</v>
      </c>
      <c r="CQ39" s="5">
        <v>10419.299999999999</v>
      </c>
      <c r="CR39" s="5">
        <v>10789</v>
      </c>
      <c r="CS39" s="5">
        <v>12026</v>
      </c>
      <c r="CT39" s="5">
        <v>12358.2</v>
      </c>
    </row>
    <row r="40" spans="1:98">
      <c r="A40" s="2" t="s">
        <v>136</v>
      </c>
      <c r="B40" s="3">
        <v>100</v>
      </c>
      <c r="C40" s="3">
        <v>108.1</v>
      </c>
      <c r="D40" s="3">
        <v>114</v>
      </c>
      <c r="E40" s="3">
        <v>116</v>
      </c>
      <c r="F40" s="3">
        <v>118.1</v>
      </c>
      <c r="G40" s="3">
        <v>142.1</v>
      </c>
      <c r="H40" s="3">
        <v>147.30000000000001</v>
      </c>
      <c r="I40" s="3">
        <v>146.30000000000001</v>
      </c>
      <c r="J40" s="3">
        <v>146.30000000000001</v>
      </c>
      <c r="K40" s="3">
        <v>147.80000000000001</v>
      </c>
      <c r="L40" s="3">
        <v>149.19999999999999</v>
      </c>
      <c r="M40" s="3">
        <v>156.6</v>
      </c>
      <c r="N40" s="3">
        <v>158</v>
      </c>
      <c r="O40" s="3">
        <v>162.80000000000001</v>
      </c>
      <c r="P40" s="3">
        <v>166.1</v>
      </c>
      <c r="Q40" s="3">
        <v>168.1</v>
      </c>
      <c r="R40" s="3">
        <v>168.3</v>
      </c>
      <c r="S40" s="3">
        <v>188.7</v>
      </c>
      <c r="T40" s="3">
        <v>192.2</v>
      </c>
      <c r="U40" s="3">
        <v>195.4</v>
      </c>
      <c r="V40" s="3">
        <v>199.8</v>
      </c>
      <c r="W40" s="3">
        <v>214.2</v>
      </c>
      <c r="X40" s="3">
        <v>217.9</v>
      </c>
      <c r="Y40" s="3">
        <v>214.9</v>
      </c>
      <c r="Z40" s="3">
        <v>214.9</v>
      </c>
      <c r="AA40" s="3">
        <v>217.1</v>
      </c>
      <c r="AB40" s="3">
        <v>217.9</v>
      </c>
      <c r="AC40" s="3">
        <v>226.9</v>
      </c>
      <c r="AD40" s="3">
        <v>228</v>
      </c>
      <c r="AE40" s="3">
        <v>245.6</v>
      </c>
      <c r="AF40" s="3">
        <v>247.1</v>
      </c>
      <c r="AG40" s="3">
        <v>247.1</v>
      </c>
      <c r="AH40" s="3">
        <v>284.2</v>
      </c>
      <c r="AI40" s="3">
        <v>297</v>
      </c>
      <c r="AJ40" s="3">
        <v>307.39999999999998</v>
      </c>
      <c r="AK40" s="3">
        <v>315.39999999999998</v>
      </c>
      <c r="AL40" s="3">
        <v>335.3</v>
      </c>
      <c r="AM40" s="3">
        <v>373.1</v>
      </c>
      <c r="AN40" s="3">
        <v>396.1</v>
      </c>
      <c r="AO40" s="3">
        <v>402.4</v>
      </c>
      <c r="AP40" s="3">
        <v>419.1</v>
      </c>
      <c r="AQ40" s="3">
        <v>474.3</v>
      </c>
      <c r="AR40" s="3">
        <v>491.3</v>
      </c>
      <c r="AS40" s="3">
        <v>499.9</v>
      </c>
      <c r="AT40" s="3">
        <v>505.6</v>
      </c>
      <c r="AU40" s="3">
        <v>559.70000000000005</v>
      </c>
      <c r="AV40" s="3">
        <v>573.9</v>
      </c>
      <c r="AW40" s="3">
        <v>587</v>
      </c>
      <c r="AX40" s="3">
        <v>584</v>
      </c>
      <c r="AY40" s="3">
        <v>594</v>
      </c>
      <c r="AZ40" s="3">
        <v>608.6</v>
      </c>
      <c r="BA40" s="3">
        <v>628.4</v>
      </c>
      <c r="BB40" s="3">
        <v>628.4</v>
      </c>
      <c r="BC40" s="3">
        <v>640.5</v>
      </c>
      <c r="BD40" s="3">
        <v>661</v>
      </c>
      <c r="BE40" s="3">
        <v>669.2</v>
      </c>
      <c r="BF40" s="3">
        <v>671.5</v>
      </c>
      <c r="BG40" s="3">
        <v>700.8</v>
      </c>
      <c r="BH40" s="3">
        <v>725.2</v>
      </c>
      <c r="BI40" s="3">
        <v>731.9</v>
      </c>
      <c r="BJ40" s="3">
        <v>738.7</v>
      </c>
      <c r="BK40" s="3">
        <v>824.6</v>
      </c>
      <c r="BL40" s="3">
        <v>1055.0999999999999</v>
      </c>
      <c r="BM40" s="3">
        <v>901.2</v>
      </c>
      <c r="BN40" s="3">
        <v>1148.5999999999999</v>
      </c>
      <c r="BO40" s="3">
        <v>992.6</v>
      </c>
      <c r="BP40" s="3">
        <v>1006.7</v>
      </c>
      <c r="BQ40" s="3">
        <v>1295.3</v>
      </c>
      <c r="BR40" s="3">
        <v>1363.1</v>
      </c>
      <c r="BS40" s="3">
        <v>1592.1</v>
      </c>
      <c r="BT40" s="3">
        <v>1658</v>
      </c>
      <c r="BU40" s="3">
        <v>2094.1</v>
      </c>
      <c r="BV40" s="3">
        <v>2984.5</v>
      </c>
      <c r="BW40" s="3">
        <v>2553.4</v>
      </c>
      <c r="BX40" s="3">
        <v>3110.6</v>
      </c>
      <c r="BY40" s="3">
        <v>2619.6999999999998</v>
      </c>
      <c r="BZ40" s="3">
        <v>2818.7</v>
      </c>
      <c r="CA40" s="3">
        <v>3909.7</v>
      </c>
      <c r="CB40" s="3">
        <v>4321.1000000000004</v>
      </c>
      <c r="CC40" s="3">
        <v>4459.7</v>
      </c>
      <c r="CD40" s="3">
        <v>4663.7</v>
      </c>
      <c r="CE40" s="3">
        <v>5735.3</v>
      </c>
      <c r="CF40" s="3">
        <v>5984.1</v>
      </c>
      <c r="CG40" s="3">
        <v>6492.7</v>
      </c>
      <c r="CH40" s="3">
        <v>6795</v>
      </c>
      <c r="CI40" s="3">
        <v>6858.7</v>
      </c>
      <c r="CJ40" s="3">
        <v>6919.5</v>
      </c>
      <c r="CK40" s="3">
        <v>8205</v>
      </c>
      <c r="CL40" s="3">
        <v>8779.7999999999993</v>
      </c>
      <c r="CM40" s="3">
        <v>9333.7000000000007</v>
      </c>
      <c r="CN40" s="3">
        <v>9459.4</v>
      </c>
      <c r="CO40" s="3">
        <v>11527.7</v>
      </c>
      <c r="CP40" s="3">
        <v>12116.5</v>
      </c>
      <c r="CQ40" s="3">
        <v>12373.2</v>
      </c>
      <c r="CR40" s="3">
        <v>12655.3</v>
      </c>
      <c r="CS40" s="3">
        <v>13031.5</v>
      </c>
      <c r="CT40" s="3">
        <v>13243.1</v>
      </c>
    </row>
    <row r="41" spans="1:98">
      <c r="A41" s="4" t="s">
        <v>137</v>
      </c>
      <c r="B41" s="5">
        <v>100</v>
      </c>
      <c r="C41" s="5">
        <v>109</v>
      </c>
      <c r="D41" s="5">
        <v>112.8</v>
      </c>
      <c r="E41" s="5">
        <v>114.9</v>
      </c>
      <c r="F41" s="5">
        <v>117</v>
      </c>
      <c r="G41" s="5">
        <v>133.4</v>
      </c>
      <c r="H41" s="5">
        <v>137.1</v>
      </c>
      <c r="I41" s="5">
        <v>139.80000000000001</v>
      </c>
      <c r="J41" s="5">
        <v>139.80000000000001</v>
      </c>
      <c r="K41" s="5">
        <v>147.80000000000001</v>
      </c>
      <c r="L41" s="5">
        <v>149.9</v>
      </c>
      <c r="M41" s="5">
        <v>152.5</v>
      </c>
      <c r="N41" s="5">
        <v>153.30000000000001</v>
      </c>
      <c r="O41" s="5">
        <v>166.8</v>
      </c>
      <c r="P41" s="5">
        <v>170.5</v>
      </c>
      <c r="Q41" s="5">
        <v>171.4</v>
      </c>
      <c r="R41" s="5">
        <v>171.7</v>
      </c>
      <c r="S41" s="5">
        <v>189.7</v>
      </c>
      <c r="T41" s="5">
        <v>192.2</v>
      </c>
      <c r="U41" s="5">
        <v>198.6</v>
      </c>
      <c r="V41" s="5">
        <v>203</v>
      </c>
      <c r="W41" s="5">
        <v>226</v>
      </c>
      <c r="X41" s="5">
        <v>228.4</v>
      </c>
      <c r="Y41" s="5">
        <v>233.1</v>
      </c>
      <c r="Z41" s="5">
        <v>234.3</v>
      </c>
      <c r="AA41" s="5">
        <v>251.6</v>
      </c>
      <c r="AB41" s="5">
        <v>255.7</v>
      </c>
      <c r="AC41" s="5">
        <v>259.39999999999998</v>
      </c>
      <c r="AD41" s="5">
        <v>264.5</v>
      </c>
      <c r="AE41" s="5">
        <v>283.5</v>
      </c>
      <c r="AF41" s="5">
        <v>285.5</v>
      </c>
      <c r="AG41" s="5">
        <v>290.89999999999998</v>
      </c>
      <c r="AH41" s="5">
        <v>302.10000000000002</v>
      </c>
      <c r="AI41" s="5">
        <v>323.10000000000002</v>
      </c>
      <c r="AJ41" s="5">
        <v>329.7</v>
      </c>
      <c r="AK41" s="5">
        <v>337.1</v>
      </c>
      <c r="AL41" s="5">
        <v>342.6</v>
      </c>
      <c r="AM41" s="5">
        <v>380.3</v>
      </c>
      <c r="AN41" s="5">
        <v>399.9</v>
      </c>
      <c r="AO41" s="5">
        <v>420.3</v>
      </c>
      <c r="AP41" s="5">
        <v>429.7</v>
      </c>
      <c r="AQ41" s="5">
        <v>486.1</v>
      </c>
      <c r="AR41" s="5">
        <v>495.3</v>
      </c>
      <c r="AS41" s="5">
        <v>505.7</v>
      </c>
      <c r="AT41" s="5">
        <v>517</v>
      </c>
      <c r="AU41" s="5">
        <v>599.70000000000005</v>
      </c>
      <c r="AV41" s="5">
        <v>610.20000000000005</v>
      </c>
      <c r="AW41" s="5">
        <v>619.6</v>
      </c>
      <c r="AX41" s="5">
        <v>629.20000000000005</v>
      </c>
      <c r="AY41" s="5">
        <v>694.3</v>
      </c>
      <c r="AZ41" s="5">
        <v>700.2</v>
      </c>
      <c r="BA41" s="5">
        <v>705.3</v>
      </c>
      <c r="BB41" s="5">
        <v>710.7</v>
      </c>
      <c r="BC41" s="5">
        <v>768.3</v>
      </c>
      <c r="BD41" s="5">
        <v>775.4</v>
      </c>
      <c r="BE41" s="5">
        <v>782.5</v>
      </c>
      <c r="BF41" s="5">
        <v>789.6</v>
      </c>
      <c r="BG41" s="5">
        <v>859.5</v>
      </c>
      <c r="BH41" s="5">
        <v>638.79999999999995</v>
      </c>
      <c r="BI41" s="5">
        <v>876.4</v>
      </c>
      <c r="BJ41" s="5">
        <v>884.3</v>
      </c>
      <c r="BK41" s="5">
        <v>1015.2</v>
      </c>
      <c r="BL41" s="5">
        <v>1097.3</v>
      </c>
      <c r="BM41" s="5">
        <v>1061.2</v>
      </c>
      <c r="BN41" s="5">
        <v>1125.5999999999999</v>
      </c>
      <c r="BO41" s="5">
        <v>1070.9000000000001</v>
      </c>
      <c r="BP41" s="5">
        <v>1080.2</v>
      </c>
      <c r="BQ41" s="5">
        <v>1371.5</v>
      </c>
      <c r="BR41" s="5">
        <v>1432.8</v>
      </c>
      <c r="BS41" s="5">
        <v>1459.2</v>
      </c>
      <c r="BT41" s="5">
        <v>1493.5</v>
      </c>
      <c r="BU41" s="5">
        <v>1823.6</v>
      </c>
      <c r="BV41" s="5">
        <v>2235.8000000000002</v>
      </c>
      <c r="BW41" s="5">
        <v>1992.3</v>
      </c>
      <c r="BX41" s="5">
        <v>2347.8000000000002</v>
      </c>
      <c r="BY41" s="5">
        <v>2005.8</v>
      </c>
      <c r="BZ41" s="5">
        <v>2035.6</v>
      </c>
      <c r="CA41" s="5">
        <v>3082.7</v>
      </c>
      <c r="CB41" s="5">
        <v>3228.2</v>
      </c>
      <c r="CC41" s="5">
        <v>3235.3</v>
      </c>
      <c r="CD41" s="5">
        <v>3251.7</v>
      </c>
      <c r="CE41" s="5">
        <v>4227.2</v>
      </c>
      <c r="CF41" s="5">
        <v>4308.5</v>
      </c>
      <c r="CG41" s="5">
        <v>4578.3999999999996</v>
      </c>
      <c r="CH41" s="5">
        <v>4747.5</v>
      </c>
      <c r="CI41" s="5">
        <v>4747.5</v>
      </c>
      <c r="CJ41" s="5">
        <v>4747.5</v>
      </c>
      <c r="CK41" s="5">
        <v>5867.9</v>
      </c>
      <c r="CL41" s="5">
        <v>6067.3</v>
      </c>
      <c r="CM41" s="5">
        <v>6224</v>
      </c>
      <c r="CN41" s="5">
        <v>6385.4</v>
      </c>
      <c r="CO41" s="5">
        <v>7949.8</v>
      </c>
      <c r="CP41" s="5">
        <v>8262.7000000000007</v>
      </c>
      <c r="CQ41" s="5">
        <v>8275.5</v>
      </c>
      <c r="CR41" s="5">
        <v>8620.2999999999993</v>
      </c>
      <c r="CS41" s="5">
        <v>8696.9</v>
      </c>
      <c r="CT41" s="5">
        <v>8773.5</v>
      </c>
    </row>
    <row r="42" spans="1:98">
      <c r="A42" s="2" t="s">
        <v>138</v>
      </c>
      <c r="B42" s="3">
        <v>100</v>
      </c>
      <c r="C42" s="3">
        <v>111.8</v>
      </c>
      <c r="D42" s="3">
        <v>117.7</v>
      </c>
      <c r="E42" s="3">
        <v>119.7</v>
      </c>
      <c r="F42" s="3">
        <v>121.8</v>
      </c>
      <c r="G42" s="3">
        <v>151.69999999999999</v>
      </c>
      <c r="H42" s="3">
        <v>157.80000000000001</v>
      </c>
      <c r="I42" s="3">
        <v>161.30000000000001</v>
      </c>
      <c r="J42" s="3">
        <v>161.30000000000001</v>
      </c>
      <c r="K42" s="3">
        <v>171</v>
      </c>
      <c r="L42" s="3">
        <v>174.2</v>
      </c>
      <c r="M42" s="3">
        <v>179.1</v>
      </c>
      <c r="N42" s="3">
        <v>180.7</v>
      </c>
      <c r="O42" s="3">
        <v>189.9</v>
      </c>
      <c r="P42" s="3">
        <v>190</v>
      </c>
      <c r="Q42" s="3">
        <v>192.3</v>
      </c>
      <c r="R42" s="3">
        <v>192.5</v>
      </c>
      <c r="S42" s="3">
        <v>207.3</v>
      </c>
      <c r="T42" s="3">
        <v>209.4</v>
      </c>
      <c r="U42" s="3">
        <v>218.6</v>
      </c>
      <c r="V42" s="3">
        <v>227.6</v>
      </c>
      <c r="W42" s="3">
        <v>246.9</v>
      </c>
      <c r="X42" s="3">
        <v>249.7</v>
      </c>
      <c r="Y42" s="3">
        <v>250.8</v>
      </c>
      <c r="Z42" s="3">
        <v>251</v>
      </c>
      <c r="AA42" s="3">
        <v>259.89999999999998</v>
      </c>
      <c r="AB42" s="3">
        <v>265.60000000000002</v>
      </c>
      <c r="AC42" s="3">
        <v>266.60000000000002</v>
      </c>
      <c r="AD42" s="3">
        <v>267.39999999999998</v>
      </c>
      <c r="AE42" s="3">
        <v>282.10000000000002</v>
      </c>
      <c r="AF42" s="3">
        <v>283.5</v>
      </c>
      <c r="AG42" s="3">
        <v>283.5</v>
      </c>
      <c r="AH42" s="3">
        <v>365</v>
      </c>
      <c r="AI42" s="3">
        <v>368.7</v>
      </c>
      <c r="AJ42" s="3">
        <v>386.9</v>
      </c>
      <c r="AK42" s="3">
        <v>412.4</v>
      </c>
      <c r="AL42" s="3">
        <v>436</v>
      </c>
      <c r="AM42" s="3">
        <v>471</v>
      </c>
      <c r="AN42" s="3">
        <v>503.2</v>
      </c>
      <c r="AO42" s="3">
        <v>566.6</v>
      </c>
      <c r="AP42" s="3">
        <v>597</v>
      </c>
      <c r="AQ42" s="3">
        <v>645</v>
      </c>
      <c r="AR42" s="3">
        <v>662.9</v>
      </c>
      <c r="AS42" s="3">
        <v>674.8</v>
      </c>
      <c r="AT42" s="3">
        <v>686.8</v>
      </c>
      <c r="AU42" s="3">
        <v>755.7</v>
      </c>
      <c r="AV42" s="3">
        <v>771.5</v>
      </c>
      <c r="AW42" s="3">
        <v>776.4</v>
      </c>
      <c r="AX42" s="3">
        <v>783.3</v>
      </c>
      <c r="AY42" s="3">
        <v>835.1</v>
      </c>
      <c r="AZ42" s="3">
        <v>839.1</v>
      </c>
      <c r="BA42" s="3">
        <v>838.3</v>
      </c>
      <c r="BB42" s="3">
        <v>838.4</v>
      </c>
      <c r="BC42" s="3">
        <v>880.4</v>
      </c>
      <c r="BD42" s="3">
        <v>888.8</v>
      </c>
      <c r="BE42" s="3">
        <v>897.2</v>
      </c>
      <c r="BF42" s="3">
        <v>905.6</v>
      </c>
      <c r="BG42" s="3">
        <v>960.1</v>
      </c>
      <c r="BH42" s="3">
        <v>960.1</v>
      </c>
      <c r="BI42" s="3">
        <v>987.2</v>
      </c>
      <c r="BJ42" s="3">
        <v>996.3</v>
      </c>
      <c r="BK42" s="3">
        <v>1104.0999999999999</v>
      </c>
      <c r="BL42" s="3">
        <v>1397.4</v>
      </c>
      <c r="BM42" s="3">
        <v>1252.9000000000001</v>
      </c>
      <c r="BN42" s="3">
        <v>1415.7</v>
      </c>
      <c r="BO42" s="3">
        <v>1324.3</v>
      </c>
      <c r="BP42" s="3">
        <v>1393.6</v>
      </c>
      <c r="BQ42" s="3">
        <v>1628.7</v>
      </c>
      <c r="BR42" s="3">
        <v>1724.8</v>
      </c>
      <c r="BS42" s="3">
        <v>1840.5</v>
      </c>
      <c r="BT42" s="3">
        <v>1953.4</v>
      </c>
      <c r="BU42" s="3">
        <v>2337</v>
      </c>
      <c r="BV42" s="3">
        <v>3396.7</v>
      </c>
      <c r="BW42" s="3">
        <v>2742.4</v>
      </c>
      <c r="BX42" s="3">
        <v>3591.7</v>
      </c>
      <c r="BY42" s="3">
        <v>2864.9</v>
      </c>
      <c r="BZ42" s="3">
        <v>3121.6</v>
      </c>
      <c r="CA42" s="3">
        <v>4633.8999999999996</v>
      </c>
      <c r="CB42" s="3">
        <v>5028</v>
      </c>
      <c r="CC42" s="3">
        <v>5078.1000000000004</v>
      </c>
      <c r="CD42" s="3">
        <v>5257</v>
      </c>
      <c r="CE42" s="3">
        <v>6534.9</v>
      </c>
      <c r="CF42" s="3">
        <v>6744.8</v>
      </c>
      <c r="CG42" s="3">
        <v>7198.1</v>
      </c>
      <c r="CH42" s="3">
        <v>7659.8</v>
      </c>
      <c r="CI42" s="3">
        <v>7659.8</v>
      </c>
      <c r="CJ42" s="3">
        <v>7659.8</v>
      </c>
      <c r="CK42" s="3">
        <v>9101</v>
      </c>
      <c r="CL42" s="3">
        <v>9651.9</v>
      </c>
      <c r="CM42" s="3">
        <v>9759.6</v>
      </c>
      <c r="CN42" s="3">
        <v>10088.5</v>
      </c>
      <c r="CO42" s="3">
        <v>11832</v>
      </c>
      <c r="CP42" s="3">
        <v>12353.7</v>
      </c>
      <c r="CQ42" s="3">
        <v>12596.1</v>
      </c>
      <c r="CR42" s="3">
        <v>13670.1</v>
      </c>
      <c r="CS42" s="3">
        <v>13851.4</v>
      </c>
      <c r="CT42" s="3">
        <v>14083.1</v>
      </c>
    </row>
    <row r="43" spans="1:98">
      <c r="A43" s="4" t="s">
        <v>139</v>
      </c>
      <c r="B43" s="5"/>
      <c r="C43" s="5">
        <v>106.2</v>
      </c>
      <c r="D43" s="5">
        <v>107</v>
      </c>
      <c r="E43" s="5">
        <v>110.1</v>
      </c>
      <c r="F43" s="5">
        <v>117.6</v>
      </c>
      <c r="G43" s="5">
        <v>136.6</v>
      </c>
      <c r="H43" s="5">
        <v>140.30000000000001</v>
      </c>
      <c r="I43" s="5">
        <v>144.69999999999999</v>
      </c>
      <c r="J43" s="5">
        <v>142.80000000000001</v>
      </c>
      <c r="K43" s="5">
        <v>146</v>
      </c>
      <c r="L43" s="5">
        <v>144.9</v>
      </c>
      <c r="M43" s="5">
        <v>146.1</v>
      </c>
      <c r="N43" s="5">
        <v>145.9</v>
      </c>
      <c r="O43" s="5">
        <v>158.4</v>
      </c>
      <c r="P43" s="5">
        <v>166</v>
      </c>
      <c r="Q43" s="5">
        <v>172.4</v>
      </c>
      <c r="R43" s="5">
        <v>174.8</v>
      </c>
      <c r="S43" s="5">
        <v>194</v>
      </c>
      <c r="T43" s="5">
        <v>194.3</v>
      </c>
      <c r="U43" s="5">
        <v>207.6</v>
      </c>
      <c r="V43" s="5">
        <v>217.3</v>
      </c>
      <c r="W43" s="5">
        <v>250</v>
      </c>
      <c r="X43" s="5">
        <v>264.8</v>
      </c>
      <c r="Y43" s="5">
        <v>235.2</v>
      </c>
      <c r="Z43" s="5">
        <v>220.1</v>
      </c>
      <c r="AA43" s="5">
        <v>219.7</v>
      </c>
      <c r="AB43" s="5">
        <v>224.7</v>
      </c>
      <c r="AC43" s="5">
        <v>225.6</v>
      </c>
      <c r="AD43" s="5">
        <v>232.7</v>
      </c>
      <c r="AE43" s="5">
        <v>244.6</v>
      </c>
      <c r="AF43" s="5">
        <v>248.5</v>
      </c>
      <c r="AG43" s="5">
        <v>258.5</v>
      </c>
      <c r="AH43" s="5">
        <v>271.10000000000002</v>
      </c>
      <c r="AI43" s="5">
        <v>284.3</v>
      </c>
      <c r="AJ43" s="5">
        <v>299.39999999999998</v>
      </c>
      <c r="AK43" s="5">
        <v>309.60000000000002</v>
      </c>
      <c r="AL43" s="5">
        <v>330.3</v>
      </c>
      <c r="AM43" s="5">
        <v>358.8</v>
      </c>
      <c r="AN43" s="5">
        <v>403.4</v>
      </c>
      <c r="AO43" s="5">
        <v>462.4</v>
      </c>
      <c r="AP43" s="5">
        <v>481.9</v>
      </c>
      <c r="AQ43" s="5">
        <v>510.3</v>
      </c>
      <c r="AR43" s="5">
        <v>512.70000000000005</v>
      </c>
      <c r="AS43" s="5">
        <v>513.29999999999995</v>
      </c>
      <c r="AT43" s="5">
        <v>507.5</v>
      </c>
      <c r="AU43" s="5">
        <v>549.9</v>
      </c>
      <c r="AV43" s="5">
        <v>554.29999999999995</v>
      </c>
      <c r="AW43" s="5">
        <v>557.20000000000005</v>
      </c>
      <c r="AX43" s="5">
        <v>545.4</v>
      </c>
      <c r="AY43" s="5">
        <v>549.5</v>
      </c>
      <c r="AZ43" s="5">
        <v>543.9</v>
      </c>
      <c r="BA43" s="5">
        <v>533.5</v>
      </c>
      <c r="BB43" s="5">
        <v>529</v>
      </c>
      <c r="BC43" s="5">
        <v>565.20000000000005</v>
      </c>
      <c r="BD43" s="5">
        <v>568.20000000000005</v>
      </c>
      <c r="BE43" s="5">
        <v>592.6</v>
      </c>
      <c r="BF43" s="5">
        <v>599.1</v>
      </c>
      <c r="BG43" s="5">
        <v>626.70000000000005</v>
      </c>
      <c r="BH43" s="5">
        <v>670.9</v>
      </c>
      <c r="BI43" s="5">
        <v>691.8</v>
      </c>
      <c r="BJ43" s="5">
        <v>714.2</v>
      </c>
      <c r="BK43" s="5">
        <v>823.2</v>
      </c>
      <c r="BL43" s="5">
        <v>1089.9000000000001</v>
      </c>
      <c r="BM43" s="5">
        <v>918.5</v>
      </c>
      <c r="BN43" s="5">
        <v>1105.5</v>
      </c>
      <c r="BO43" s="5">
        <v>1054.8</v>
      </c>
      <c r="BP43" s="5">
        <v>1088.3</v>
      </c>
      <c r="BQ43" s="5">
        <v>1294.3</v>
      </c>
      <c r="BR43" s="5">
        <v>1272.8</v>
      </c>
      <c r="BS43" s="5">
        <v>1327.5</v>
      </c>
      <c r="BT43" s="5">
        <v>1521.5</v>
      </c>
      <c r="BU43" s="5">
        <v>1770.9</v>
      </c>
      <c r="BV43" s="5">
        <v>2801.6</v>
      </c>
      <c r="BW43" s="5">
        <v>2276.5</v>
      </c>
      <c r="BX43" s="5">
        <v>2977.6</v>
      </c>
      <c r="BY43" s="5">
        <v>2425.8000000000002</v>
      </c>
      <c r="BZ43" s="5">
        <v>2553.3000000000002</v>
      </c>
      <c r="CA43" s="5">
        <v>3538.3</v>
      </c>
      <c r="CB43" s="5">
        <v>3968.8</v>
      </c>
      <c r="CC43" s="5">
        <v>3959.9</v>
      </c>
      <c r="CD43" s="5">
        <v>3936.3</v>
      </c>
      <c r="CE43" s="5">
        <v>4600.8999999999996</v>
      </c>
      <c r="CF43" s="5">
        <v>4515.8</v>
      </c>
      <c r="CG43" s="5">
        <v>4705.8999999999996</v>
      </c>
      <c r="CH43" s="5">
        <v>5297.4</v>
      </c>
      <c r="CI43" s="5">
        <v>5625.9</v>
      </c>
      <c r="CJ43" s="5">
        <v>6197.6</v>
      </c>
      <c r="CK43" s="5">
        <v>6608.7</v>
      </c>
      <c r="CL43" s="5">
        <v>6535.8</v>
      </c>
      <c r="CM43" s="5">
        <v>6665.9</v>
      </c>
      <c r="CN43" s="5">
        <v>6970.7</v>
      </c>
      <c r="CO43" s="5">
        <v>7917.3</v>
      </c>
      <c r="CP43" s="5">
        <v>8239</v>
      </c>
      <c r="CQ43" s="5">
        <v>8463.5</v>
      </c>
      <c r="CR43" s="5">
        <v>8913.6</v>
      </c>
      <c r="CS43" s="5">
        <v>9278.5</v>
      </c>
      <c r="CT43" s="5">
        <v>9744.7000000000007</v>
      </c>
    </row>
    <row r="44" spans="1:98">
      <c r="A44" s="2" t="s">
        <v>140</v>
      </c>
      <c r="B44" s="3">
        <v>100</v>
      </c>
      <c r="C44" s="3">
        <v>111.8</v>
      </c>
      <c r="D44" s="3">
        <v>114.3</v>
      </c>
      <c r="E44" s="3">
        <v>116.2</v>
      </c>
      <c r="F44" s="3">
        <v>118.5</v>
      </c>
      <c r="G44" s="3">
        <v>137.69999999999999</v>
      </c>
      <c r="H44" s="3">
        <v>140.30000000000001</v>
      </c>
      <c r="I44" s="3">
        <v>143.30000000000001</v>
      </c>
      <c r="J44" s="3">
        <v>143.30000000000001</v>
      </c>
      <c r="K44" s="3">
        <v>147</v>
      </c>
      <c r="L44" s="3">
        <v>148.6</v>
      </c>
      <c r="M44" s="3">
        <v>151.5</v>
      </c>
      <c r="N44" s="3">
        <v>152.19999999999999</v>
      </c>
      <c r="O44" s="3">
        <v>157.5</v>
      </c>
      <c r="P44" s="3">
        <v>158.30000000000001</v>
      </c>
      <c r="Q44" s="3">
        <v>161.5</v>
      </c>
      <c r="R44" s="3">
        <v>161.6</v>
      </c>
      <c r="S44" s="3">
        <v>179.4</v>
      </c>
      <c r="T44" s="3">
        <v>181.3</v>
      </c>
      <c r="U44" s="3">
        <v>189</v>
      </c>
      <c r="V44" s="3">
        <v>191.3</v>
      </c>
      <c r="W44" s="3">
        <v>209.3</v>
      </c>
      <c r="X44" s="3">
        <v>213.8</v>
      </c>
      <c r="Y44" s="3">
        <v>213.9</v>
      </c>
      <c r="Z44" s="3">
        <v>214.5</v>
      </c>
      <c r="AA44" s="3">
        <v>227.3</v>
      </c>
      <c r="AB44" s="3">
        <v>228.5</v>
      </c>
      <c r="AC44" s="3">
        <v>232.1</v>
      </c>
      <c r="AD44" s="3">
        <v>233.9</v>
      </c>
      <c r="AE44" s="3">
        <v>243.4</v>
      </c>
      <c r="AF44" s="3">
        <v>244.5</v>
      </c>
      <c r="AG44" s="3">
        <v>247</v>
      </c>
      <c r="AH44" s="3">
        <v>263.89999999999998</v>
      </c>
      <c r="AI44" s="3">
        <v>278.89999999999998</v>
      </c>
      <c r="AJ44" s="3">
        <v>285.2</v>
      </c>
      <c r="AK44" s="3">
        <v>287.2</v>
      </c>
      <c r="AL44" s="3">
        <v>318.39999999999998</v>
      </c>
      <c r="AM44" s="3">
        <v>341.3</v>
      </c>
      <c r="AN44" s="3">
        <v>355</v>
      </c>
      <c r="AO44" s="3">
        <v>371.8</v>
      </c>
      <c r="AP44" s="3">
        <v>385.8</v>
      </c>
      <c r="AQ44" s="3">
        <v>423.7</v>
      </c>
      <c r="AR44" s="3">
        <v>428.9</v>
      </c>
      <c r="AS44" s="3">
        <v>445.5</v>
      </c>
      <c r="AT44" s="3">
        <v>453.7</v>
      </c>
      <c r="AU44" s="3">
        <v>500.7</v>
      </c>
      <c r="AV44" s="3">
        <v>518.29999999999995</v>
      </c>
      <c r="AW44" s="3">
        <v>535.4</v>
      </c>
      <c r="AX44" s="3">
        <v>537.20000000000005</v>
      </c>
      <c r="AY44" s="3">
        <v>558.79999999999995</v>
      </c>
      <c r="AZ44" s="3">
        <v>564.29999999999995</v>
      </c>
      <c r="BA44" s="3">
        <v>575.70000000000005</v>
      </c>
      <c r="BB44" s="3">
        <v>577.5</v>
      </c>
      <c r="BC44" s="3">
        <v>607.20000000000005</v>
      </c>
      <c r="BD44" s="3">
        <v>612.79999999999995</v>
      </c>
      <c r="BE44" s="3">
        <v>620.4</v>
      </c>
      <c r="BF44" s="3">
        <v>624.9</v>
      </c>
      <c r="BG44" s="3">
        <v>671.8</v>
      </c>
      <c r="BH44" s="3">
        <v>681.9</v>
      </c>
      <c r="BI44" s="3">
        <v>690.9</v>
      </c>
      <c r="BJ44" s="3">
        <v>700.1</v>
      </c>
      <c r="BK44" s="3">
        <v>783.7</v>
      </c>
      <c r="BL44" s="3">
        <v>917.6</v>
      </c>
      <c r="BM44" s="3">
        <v>831.7</v>
      </c>
      <c r="BN44" s="3">
        <v>945.4</v>
      </c>
      <c r="BO44" s="3">
        <v>858</v>
      </c>
      <c r="BP44" s="3">
        <v>866.7</v>
      </c>
      <c r="BQ44" s="3">
        <v>1098</v>
      </c>
      <c r="BR44" s="3">
        <v>1177.7</v>
      </c>
      <c r="BS44" s="3">
        <v>1268.7</v>
      </c>
      <c r="BT44" s="3">
        <v>1312.9</v>
      </c>
      <c r="BU44" s="3">
        <v>1632.9</v>
      </c>
      <c r="BV44" s="3">
        <v>2228.1</v>
      </c>
      <c r="BW44" s="3">
        <v>1844.4</v>
      </c>
      <c r="BX44" s="3">
        <v>2327.8000000000002</v>
      </c>
      <c r="BY44" s="3">
        <v>1907.1</v>
      </c>
      <c r="BZ44" s="3">
        <v>2019.2</v>
      </c>
      <c r="CA44" s="3">
        <v>2975.1</v>
      </c>
      <c r="CB44" s="3">
        <v>3256.1</v>
      </c>
      <c r="CC44" s="3">
        <v>3362.7</v>
      </c>
      <c r="CD44" s="3">
        <v>3469.3</v>
      </c>
      <c r="CE44" s="3">
        <v>4096.8</v>
      </c>
      <c r="CF44" s="3">
        <v>4301.2</v>
      </c>
      <c r="CG44" s="3">
        <v>4798.2</v>
      </c>
      <c r="CH44" s="3">
        <v>5130.5</v>
      </c>
      <c r="CI44" s="3">
        <v>5139.8</v>
      </c>
      <c r="CJ44" s="3">
        <v>5239</v>
      </c>
      <c r="CK44" s="3">
        <v>6128.2</v>
      </c>
      <c r="CL44" s="3">
        <v>6364.8</v>
      </c>
      <c r="CM44" s="3">
        <v>6865.6</v>
      </c>
      <c r="CN44" s="3">
        <v>6952.1</v>
      </c>
      <c r="CO44" s="3">
        <v>8325.2999999999993</v>
      </c>
      <c r="CP44" s="3">
        <v>8817.1</v>
      </c>
      <c r="CQ44" s="3">
        <v>8980.5</v>
      </c>
      <c r="CR44" s="3">
        <v>9238.7999999999993</v>
      </c>
      <c r="CS44" s="3">
        <v>9508.2999999999993</v>
      </c>
      <c r="CT44" s="3">
        <v>9656.7000000000007</v>
      </c>
    </row>
    <row r="45" spans="1:98">
      <c r="A45" s="4" t="s">
        <v>141</v>
      </c>
      <c r="B45" s="5">
        <v>100</v>
      </c>
      <c r="C45" s="5">
        <v>108.4</v>
      </c>
      <c r="D45" s="5">
        <v>109.6</v>
      </c>
      <c r="E45" s="5">
        <v>106.4</v>
      </c>
      <c r="F45" s="5">
        <v>107.2</v>
      </c>
      <c r="G45" s="5">
        <v>124.2</v>
      </c>
      <c r="H45" s="5">
        <v>125.3</v>
      </c>
      <c r="I45" s="5">
        <v>131.19999999999999</v>
      </c>
      <c r="J45" s="5">
        <v>131.1</v>
      </c>
      <c r="K45" s="5">
        <v>138.30000000000001</v>
      </c>
      <c r="L45" s="5">
        <v>138.80000000000001</v>
      </c>
      <c r="M45" s="5">
        <v>139.9</v>
      </c>
      <c r="N45" s="5">
        <v>140.19999999999999</v>
      </c>
      <c r="O45" s="5">
        <v>152.6</v>
      </c>
      <c r="P45" s="5">
        <v>152.6</v>
      </c>
      <c r="Q45" s="5">
        <v>156.5</v>
      </c>
      <c r="R45" s="5">
        <v>156.6</v>
      </c>
      <c r="S45" s="5">
        <v>170.1</v>
      </c>
      <c r="T45" s="5">
        <v>170.9</v>
      </c>
      <c r="U45" s="5">
        <v>181.7</v>
      </c>
      <c r="V45" s="5">
        <v>190.4</v>
      </c>
      <c r="W45" s="5">
        <v>198.9</v>
      </c>
      <c r="X45" s="5">
        <v>200.1</v>
      </c>
      <c r="Y45" s="5">
        <v>210.9</v>
      </c>
      <c r="Z45" s="5">
        <v>210.2</v>
      </c>
      <c r="AA45" s="5">
        <v>215.7</v>
      </c>
      <c r="AB45" s="5">
        <v>216.4</v>
      </c>
      <c r="AC45" s="5">
        <v>218.2</v>
      </c>
      <c r="AD45" s="5">
        <v>219.5</v>
      </c>
      <c r="AE45" s="5">
        <v>247.3</v>
      </c>
      <c r="AF45" s="5">
        <v>248.3</v>
      </c>
      <c r="AG45" s="5">
        <v>249.8</v>
      </c>
      <c r="AH45" s="5">
        <v>255.2</v>
      </c>
      <c r="AI45" s="5">
        <v>268.89999999999998</v>
      </c>
      <c r="AJ45" s="5">
        <v>271.10000000000002</v>
      </c>
      <c r="AK45" s="5">
        <v>276.8</v>
      </c>
      <c r="AL45" s="5">
        <v>288.5</v>
      </c>
      <c r="AM45" s="5">
        <v>308.8</v>
      </c>
      <c r="AN45" s="5">
        <v>327.60000000000002</v>
      </c>
      <c r="AO45" s="5">
        <v>342.8</v>
      </c>
      <c r="AP45" s="5">
        <v>348.4</v>
      </c>
      <c r="AQ45" s="5">
        <v>378.4</v>
      </c>
      <c r="AR45" s="5">
        <v>382</v>
      </c>
      <c r="AS45" s="5">
        <v>393.1</v>
      </c>
      <c r="AT45" s="5">
        <v>397.5</v>
      </c>
      <c r="AU45" s="5">
        <v>440.9</v>
      </c>
      <c r="AV45" s="5">
        <v>448.4</v>
      </c>
      <c r="AW45" s="5">
        <v>452.8</v>
      </c>
      <c r="AX45" s="5">
        <v>456.3</v>
      </c>
      <c r="AY45" s="5">
        <v>479.8</v>
      </c>
      <c r="AZ45" s="5">
        <v>482.1</v>
      </c>
      <c r="BA45" s="5">
        <v>487.3</v>
      </c>
      <c r="BB45" s="5">
        <v>489.2</v>
      </c>
      <c r="BC45" s="5">
        <v>514.9</v>
      </c>
      <c r="BD45" s="5">
        <v>517.70000000000005</v>
      </c>
      <c r="BE45" s="5">
        <v>525.79999999999995</v>
      </c>
      <c r="BF45" s="5">
        <v>528.5</v>
      </c>
      <c r="BG45" s="5">
        <v>564.6</v>
      </c>
      <c r="BH45" s="5">
        <v>567.4</v>
      </c>
      <c r="BI45" s="5">
        <v>578.4</v>
      </c>
      <c r="BJ45" s="5">
        <v>583.4</v>
      </c>
      <c r="BK45" s="5">
        <v>668.2</v>
      </c>
      <c r="BL45" s="5">
        <v>839.6</v>
      </c>
      <c r="BM45" s="5">
        <v>746.8</v>
      </c>
      <c r="BN45" s="5">
        <v>849.2</v>
      </c>
      <c r="BO45" s="5">
        <v>801</v>
      </c>
      <c r="BP45" s="5">
        <v>841.3</v>
      </c>
      <c r="BQ45" s="5">
        <v>968.3</v>
      </c>
      <c r="BR45" s="5">
        <v>988.2</v>
      </c>
      <c r="BS45" s="5">
        <v>998.6</v>
      </c>
      <c r="BT45" s="5">
        <v>1031</v>
      </c>
      <c r="BU45" s="5">
        <v>1272.2</v>
      </c>
      <c r="BV45" s="5">
        <v>1700</v>
      </c>
      <c r="BW45" s="5">
        <v>1464</v>
      </c>
      <c r="BX45" s="5">
        <v>1818.4</v>
      </c>
      <c r="BY45" s="5">
        <v>1471</v>
      </c>
      <c r="BZ45" s="5">
        <v>1567.7</v>
      </c>
      <c r="CA45" s="5">
        <v>2304.6</v>
      </c>
      <c r="CB45" s="5">
        <v>2581.1</v>
      </c>
      <c r="CC45" s="5">
        <v>2772.5</v>
      </c>
      <c r="CD45" s="5">
        <v>2804.2</v>
      </c>
      <c r="CE45" s="5">
        <v>3465.2</v>
      </c>
      <c r="CF45" s="5">
        <v>3567.8</v>
      </c>
      <c r="CG45" s="5">
        <v>3629.3</v>
      </c>
      <c r="CH45" s="5">
        <v>3939.8</v>
      </c>
      <c r="CI45" s="5">
        <v>3947.1</v>
      </c>
      <c r="CJ45" s="5">
        <v>4058.5</v>
      </c>
      <c r="CK45" s="5">
        <v>4568.8</v>
      </c>
      <c r="CL45" s="5">
        <v>4663.5</v>
      </c>
      <c r="CM45" s="5">
        <v>4789.3999999999996</v>
      </c>
      <c r="CN45" s="5">
        <v>4852.2</v>
      </c>
      <c r="CO45" s="5">
        <v>5655.6</v>
      </c>
      <c r="CP45" s="5">
        <v>5893.3</v>
      </c>
      <c r="CQ45" s="5">
        <v>6090.7</v>
      </c>
      <c r="CR45" s="5">
        <v>6434.8</v>
      </c>
      <c r="CS45" s="5">
        <v>6633.8</v>
      </c>
      <c r="CT45" s="5">
        <v>6809.7</v>
      </c>
    </row>
    <row r="46" spans="1:98">
      <c r="A46" s="2" t="s">
        <v>142</v>
      </c>
      <c r="B46" s="3">
        <v>100</v>
      </c>
      <c r="C46" s="3">
        <v>102.1</v>
      </c>
      <c r="D46" s="3">
        <v>100.3</v>
      </c>
      <c r="E46" s="3">
        <v>106.8</v>
      </c>
      <c r="F46" s="3">
        <v>113.9</v>
      </c>
      <c r="G46" s="3">
        <v>132.30000000000001</v>
      </c>
      <c r="H46" s="3">
        <v>139.80000000000001</v>
      </c>
      <c r="I46" s="3">
        <v>149.4</v>
      </c>
      <c r="J46" s="3">
        <v>147.19999999999999</v>
      </c>
      <c r="K46" s="3">
        <v>146.30000000000001</v>
      </c>
      <c r="L46" s="3">
        <v>143</v>
      </c>
      <c r="M46" s="3">
        <v>139.5</v>
      </c>
      <c r="N46" s="3">
        <v>137.19999999999999</v>
      </c>
      <c r="O46" s="3">
        <v>144.30000000000001</v>
      </c>
      <c r="P46" s="3">
        <v>150.1</v>
      </c>
      <c r="Q46" s="3">
        <v>163.69999999999999</v>
      </c>
      <c r="R46" s="3">
        <v>167.7</v>
      </c>
      <c r="S46" s="3">
        <v>202.3</v>
      </c>
      <c r="T46" s="3">
        <v>207</v>
      </c>
      <c r="U46" s="3">
        <v>215.3</v>
      </c>
      <c r="V46" s="3">
        <v>220.8</v>
      </c>
      <c r="W46" s="3">
        <v>255.7</v>
      </c>
      <c r="X46" s="3">
        <v>272.60000000000002</v>
      </c>
      <c r="Y46" s="3">
        <v>243</v>
      </c>
      <c r="Z46" s="3">
        <v>206.1</v>
      </c>
      <c r="AA46" s="3">
        <v>205.5</v>
      </c>
      <c r="AB46" s="3">
        <v>215</v>
      </c>
      <c r="AC46" s="3">
        <v>215.5</v>
      </c>
      <c r="AD46" s="3">
        <v>218</v>
      </c>
      <c r="AE46" s="3">
        <v>234.1</v>
      </c>
      <c r="AF46" s="3">
        <v>237.5</v>
      </c>
      <c r="AG46" s="3">
        <v>251.9</v>
      </c>
      <c r="AH46" s="3">
        <v>256.2</v>
      </c>
      <c r="AI46" s="3">
        <v>269.60000000000002</v>
      </c>
      <c r="AJ46" s="3">
        <v>281.7</v>
      </c>
      <c r="AK46" s="3">
        <v>296.5</v>
      </c>
      <c r="AL46" s="3">
        <v>313.89999999999998</v>
      </c>
      <c r="AM46" s="3">
        <v>342.3</v>
      </c>
      <c r="AN46" s="3">
        <v>381.8</v>
      </c>
      <c r="AO46" s="3">
        <v>430.6</v>
      </c>
      <c r="AP46" s="3">
        <v>446.5</v>
      </c>
      <c r="AQ46" s="3">
        <v>464.7</v>
      </c>
      <c r="AR46" s="3">
        <v>464.6</v>
      </c>
      <c r="AS46" s="3">
        <v>508.8</v>
      </c>
      <c r="AT46" s="3">
        <v>510</v>
      </c>
      <c r="AU46" s="3">
        <v>563.79999999999995</v>
      </c>
      <c r="AV46" s="3">
        <v>559.70000000000005</v>
      </c>
      <c r="AW46" s="3">
        <v>560.20000000000005</v>
      </c>
      <c r="AX46" s="3">
        <v>540.79999999999995</v>
      </c>
      <c r="AY46" s="3">
        <v>554.5</v>
      </c>
      <c r="AZ46" s="3">
        <v>553.5</v>
      </c>
      <c r="BA46" s="3">
        <v>538.20000000000005</v>
      </c>
      <c r="BB46" s="3">
        <v>527.6</v>
      </c>
      <c r="BC46" s="3">
        <v>593.9</v>
      </c>
      <c r="BD46" s="3">
        <v>595.4</v>
      </c>
      <c r="BE46" s="3">
        <v>629.79999999999995</v>
      </c>
      <c r="BF46" s="3">
        <v>638.70000000000005</v>
      </c>
      <c r="BG46" s="3">
        <v>660.4</v>
      </c>
      <c r="BH46" s="3">
        <v>717.2</v>
      </c>
      <c r="BI46" s="3">
        <v>742.2</v>
      </c>
      <c r="BJ46" s="3">
        <v>769.6</v>
      </c>
      <c r="BK46" s="3">
        <v>865.2</v>
      </c>
      <c r="BL46" s="3">
        <v>1036</v>
      </c>
      <c r="BM46" s="3">
        <v>960.6</v>
      </c>
      <c r="BN46" s="3">
        <v>1100</v>
      </c>
      <c r="BO46" s="3">
        <v>970.5</v>
      </c>
      <c r="BP46" s="3">
        <v>985.9</v>
      </c>
      <c r="BQ46" s="3">
        <v>1300.5</v>
      </c>
      <c r="BR46" s="3">
        <v>1241.9000000000001</v>
      </c>
      <c r="BS46" s="3">
        <v>1255.3</v>
      </c>
      <c r="BT46" s="3">
        <v>1472.8</v>
      </c>
      <c r="BU46" s="3">
        <v>1775.2</v>
      </c>
      <c r="BV46" s="3">
        <v>2715.8</v>
      </c>
      <c r="BW46" s="3">
        <v>2154.6999999999998</v>
      </c>
      <c r="BX46" s="3">
        <v>2842.6</v>
      </c>
      <c r="BY46" s="3">
        <v>2204.8000000000002</v>
      </c>
      <c r="BZ46" s="3">
        <v>2299</v>
      </c>
      <c r="CA46" s="3">
        <v>3210.6</v>
      </c>
      <c r="CB46" s="3">
        <v>3560.6</v>
      </c>
      <c r="CC46" s="3">
        <v>3524.1</v>
      </c>
      <c r="CD46" s="3">
        <v>3426.5</v>
      </c>
      <c r="CE46" s="3">
        <v>3910.3</v>
      </c>
      <c r="CF46" s="3">
        <v>3693.9</v>
      </c>
      <c r="CG46" s="3">
        <v>4228.6000000000004</v>
      </c>
      <c r="CH46" s="3">
        <v>4523</v>
      </c>
      <c r="CI46" s="3">
        <v>4664.5</v>
      </c>
      <c r="CJ46" s="3">
        <v>5200.3999999999996</v>
      </c>
      <c r="CK46" s="3">
        <v>5574.8</v>
      </c>
      <c r="CL46" s="3">
        <v>5413.6</v>
      </c>
      <c r="CM46" s="3">
        <v>5209.8</v>
      </c>
      <c r="CN46" s="3">
        <v>5578.1</v>
      </c>
      <c r="CO46" s="3">
        <v>6044.9</v>
      </c>
      <c r="CP46" s="3">
        <v>6090.1</v>
      </c>
      <c r="CQ46" s="3">
        <v>6877.8</v>
      </c>
      <c r="CR46" s="3">
        <v>7123.2</v>
      </c>
      <c r="CS46" s="3">
        <v>7184.6</v>
      </c>
      <c r="CT46" s="3">
        <v>7273.8</v>
      </c>
    </row>
    <row r="47" spans="1:98">
      <c r="A47" s="4" t="s">
        <v>143</v>
      </c>
      <c r="B47" s="5">
        <v>100</v>
      </c>
      <c r="C47" s="5">
        <v>98.6</v>
      </c>
      <c r="D47" s="5">
        <v>97.4</v>
      </c>
      <c r="E47" s="5">
        <v>98</v>
      </c>
      <c r="F47" s="5">
        <v>116.4</v>
      </c>
      <c r="G47" s="5">
        <v>140.30000000000001</v>
      </c>
      <c r="H47" s="5">
        <v>146.19999999999999</v>
      </c>
      <c r="I47" s="5">
        <v>150.19999999999999</v>
      </c>
      <c r="J47" s="5">
        <v>142.1</v>
      </c>
      <c r="K47" s="5">
        <v>135.9</v>
      </c>
      <c r="L47" s="5">
        <v>127.1</v>
      </c>
      <c r="M47" s="5">
        <v>126</v>
      </c>
      <c r="N47" s="5">
        <v>127</v>
      </c>
      <c r="O47" s="5">
        <v>151.69999999999999</v>
      </c>
      <c r="P47" s="5">
        <v>180.1</v>
      </c>
      <c r="Q47" s="5">
        <v>195.8</v>
      </c>
      <c r="R47" s="5">
        <v>199.2</v>
      </c>
      <c r="S47" s="5">
        <v>213.6</v>
      </c>
      <c r="T47" s="5">
        <v>201.3</v>
      </c>
      <c r="U47" s="5">
        <v>226.7</v>
      </c>
      <c r="V47" s="5">
        <v>250.3</v>
      </c>
      <c r="W47" s="5">
        <v>313.7</v>
      </c>
      <c r="X47" s="5">
        <v>359.6</v>
      </c>
      <c r="Y47" s="5">
        <v>252.2</v>
      </c>
      <c r="Z47" s="5">
        <v>204</v>
      </c>
      <c r="AA47" s="5">
        <v>188.9</v>
      </c>
      <c r="AB47" s="5">
        <v>194.7</v>
      </c>
      <c r="AC47" s="5">
        <v>189.5</v>
      </c>
      <c r="AD47" s="5">
        <v>218.8</v>
      </c>
      <c r="AE47" s="5">
        <v>240.5</v>
      </c>
      <c r="AF47" s="5">
        <v>249.1</v>
      </c>
      <c r="AG47" s="5">
        <v>271.39999999999998</v>
      </c>
      <c r="AH47" s="5">
        <v>266.60000000000002</v>
      </c>
      <c r="AI47" s="5">
        <v>273</v>
      </c>
      <c r="AJ47" s="5">
        <v>289.7</v>
      </c>
      <c r="AK47" s="5">
        <v>300.2</v>
      </c>
      <c r="AL47" s="5">
        <v>350.4</v>
      </c>
      <c r="AM47" s="5">
        <v>406.3</v>
      </c>
      <c r="AN47" s="5">
        <v>507.2</v>
      </c>
      <c r="AO47" s="5">
        <v>584.20000000000005</v>
      </c>
      <c r="AP47" s="5">
        <v>583.9</v>
      </c>
      <c r="AQ47" s="5">
        <v>586.70000000000005</v>
      </c>
      <c r="AR47" s="5">
        <v>585.5</v>
      </c>
      <c r="AS47" s="5">
        <v>576.5</v>
      </c>
      <c r="AT47" s="5">
        <v>540.1</v>
      </c>
      <c r="AU47" s="5">
        <v>587.1</v>
      </c>
      <c r="AV47" s="5">
        <v>569.70000000000005</v>
      </c>
      <c r="AW47" s="5">
        <v>566.70000000000005</v>
      </c>
      <c r="AX47" s="5">
        <v>523.20000000000005</v>
      </c>
      <c r="AY47" s="5">
        <v>492.1</v>
      </c>
      <c r="AZ47" s="5">
        <v>475.4</v>
      </c>
      <c r="BA47" s="5">
        <v>450.6</v>
      </c>
      <c r="BB47" s="5">
        <v>417.8</v>
      </c>
      <c r="BC47" s="5">
        <v>500.9</v>
      </c>
      <c r="BD47" s="5">
        <v>499.8</v>
      </c>
      <c r="BE47" s="5">
        <v>530.20000000000005</v>
      </c>
      <c r="BF47" s="5">
        <v>519.1</v>
      </c>
      <c r="BG47" s="5">
        <v>531.70000000000005</v>
      </c>
      <c r="BH47" s="5">
        <v>655.29999999999995</v>
      </c>
      <c r="BI47" s="5">
        <v>681.7</v>
      </c>
      <c r="BJ47" s="5">
        <v>724.9</v>
      </c>
      <c r="BK47" s="5">
        <v>886.3</v>
      </c>
      <c r="BL47" s="5">
        <v>1267.2</v>
      </c>
      <c r="BM47" s="5">
        <v>1039.3</v>
      </c>
      <c r="BN47" s="5">
        <v>1246.5</v>
      </c>
      <c r="BO47" s="5">
        <v>1317.2</v>
      </c>
      <c r="BP47" s="5">
        <v>1366.6</v>
      </c>
      <c r="BQ47" s="5">
        <v>1470.6</v>
      </c>
      <c r="BR47" s="5">
        <v>1295.5999999999999</v>
      </c>
      <c r="BS47" s="5">
        <v>1349.6</v>
      </c>
      <c r="BT47" s="5">
        <v>1702.4</v>
      </c>
      <c r="BU47" s="5">
        <v>1921.6</v>
      </c>
      <c r="BV47" s="5">
        <v>3533.6</v>
      </c>
      <c r="BW47" s="5">
        <v>2928.5</v>
      </c>
      <c r="BX47" s="5">
        <v>3750.2</v>
      </c>
      <c r="BY47" s="5">
        <v>3160.6</v>
      </c>
      <c r="BZ47" s="5">
        <v>3346.4</v>
      </c>
      <c r="CA47" s="5">
        <v>4141.8</v>
      </c>
      <c r="CB47" s="5">
        <v>4817.1000000000004</v>
      </c>
      <c r="CC47" s="5">
        <v>4670</v>
      </c>
      <c r="CD47" s="5">
        <v>4583</v>
      </c>
      <c r="CE47" s="5">
        <v>5317</v>
      </c>
      <c r="CF47" s="5">
        <v>4865</v>
      </c>
      <c r="CG47" s="5">
        <v>4876</v>
      </c>
      <c r="CH47" s="5">
        <v>5788.7</v>
      </c>
      <c r="CI47" s="5">
        <v>6480.6</v>
      </c>
      <c r="CJ47" s="5">
        <v>7637.1</v>
      </c>
      <c r="CK47" s="5">
        <v>7689.3</v>
      </c>
      <c r="CL47" s="5">
        <v>7289.8</v>
      </c>
      <c r="CM47" s="5">
        <v>7008.5</v>
      </c>
      <c r="CN47" s="5">
        <v>7339.4</v>
      </c>
      <c r="CO47" s="5">
        <v>8204.4</v>
      </c>
      <c r="CP47" s="5">
        <v>8600.6</v>
      </c>
      <c r="CQ47" s="5">
        <v>8879.4</v>
      </c>
      <c r="CR47" s="5">
        <v>9325</v>
      </c>
      <c r="CS47" s="5">
        <v>9882.2999999999993</v>
      </c>
      <c r="CT47" s="5">
        <v>10794.8</v>
      </c>
    </row>
    <row r="48" spans="1:98">
      <c r="A48" s="2" t="s">
        <v>144</v>
      </c>
      <c r="B48" s="3">
        <v>100</v>
      </c>
      <c r="C48" s="3">
        <v>113.3</v>
      </c>
      <c r="D48" s="3">
        <v>115.6</v>
      </c>
      <c r="E48" s="3">
        <v>123.6</v>
      </c>
      <c r="F48" s="3">
        <v>134.6</v>
      </c>
      <c r="G48" s="3">
        <v>149.19999999999999</v>
      </c>
      <c r="H48" s="3">
        <v>150.9</v>
      </c>
      <c r="I48" s="3">
        <v>152.9</v>
      </c>
      <c r="J48" s="3">
        <v>152.9</v>
      </c>
      <c r="K48" s="3">
        <v>161.1</v>
      </c>
      <c r="L48" s="3">
        <v>166.3</v>
      </c>
      <c r="M48" s="3">
        <v>167.9</v>
      </c>
      <c r="N48" s="3">
        <v>168.4</v>
      </c>
      <c r="O48" s="3">
        <v>172.6</v>
      </c>
      <c r="P48" s="3">
        <v>172.6</v>
      </c>
      <c r="Q48" s="3">
        <v>175.2</v>
      </c>
      <c r="R48" s="3">
        <v>175.3</v>
      </c>
      <c r="S48" s="3">
        <v>192.2</v>
      </c>
      <c r="T48" s="3">
        <v>193.4</v>
      </c>
      <c r="U48" s="3">
        <v>197.8</v>
      </c>
      <c r="V48" s="3">
        <v>200</v>
      </c>
      <c r="W48" s="3">
        <v>220.9</v>
      </c>
      <c r="X48" s="3">
        <v>234.9</v>
      </c>
      <c r="Y48" s="3">
        <v>241.1</v>
      </c>
      <c r="Z48" s="3">
        <v>241.3</v>
      </c>
      <c r="AA48" s="3">
        <v>246.5</v>
      </c>
      <c r="AB48" s="3">
        <v>247.5</v>
      </c>
      <c r="AC48" s="3">
        <v>249.3</v>
      </c>
      <c r="AD48" s="3">
        <v>250.3</v>
      </c>
      <c r="AE48" s="3">
        <v>257.10000000000002</v>
      </c>
      <c r="AF48" s="3">
        <v>258.10000000000002</v>
      </c>
      <c r="AG48" s="3">
        <v>261.7</v>
      </c>
      <c r="AH48" s="3">
        <v>279.5</v>
      </c>
      <c r="AI48" s="3">
        <v>288.10000000000002</v>
      </c>
      <c r="AJ48" s="3">
        <v>306</v>
      </c>
      <c r="AK48" s="3">
        <v>309.8</v>
      </c>
      <c r="AL48" s="3">
        <v>326.60000000000002</v>
      </c>
      <c r="AM48" s="3">
        <v>345.8</v>
      </c>
      <c r="AN48" s="3">
        <v>357.3</v>
      </c>
      <c r="AO48" s="3">
        <v>398.2</v>
      </c>
      <c r="AP48" s="3">
        <v>406.7</v>
      </c>
      <c r="AQ48" s="3">
        <v>441.9</v>
      </c>
      <c r="AR48" s="3">
        <v>459.7</v>
      </c>
      <c r="AS48" s="3">
        <v>472.5</v>
      </c>
      <c r="AT48" s="3">
        <v>478.7</v>
      </c>
      <c r="AU48" s="3">
        <v>511.3</v>
      </c>
      <c r="AV48" s="3">
        <v>559.20000000000005</v>
      </c>
      <c r="AW48" s="3">
        <v>558.29999999999995</v>
      </c>
      <c r="AX48" s="3">
        <v>560.5</v>
      </c>
      <c r="AY48" s="3">
        <v>577.79999999999995</v>
      </c>
      <c r="AZ48" s="3">
        <v>580.5</v>
      </c>
      <c r="BA48" s="3">
        <v>576.79999999999995</v>
      </c>
      <c r="BB48" s="3">
        <v>578.1</v>
      </c>
      <c r="BC48" s="3">
        <v>595.9</v>
      </c>
      <c r="BD48" s="3">
        <v>603.70000000000005</v>
      </c>
      <c r="BE48" s="3">
        <v>629.6</v>
      </c>
      <c r="BF48" s="3">
        <v>636.9</v>
      </c>
      <c r="BG48" s="3">
        <v>685.2</v>
      </c>
      <c r="BH48" s="3">
        <v>693.6</v>
      </c>
      <c r="BI48" s="3">
        <v>700.4</v>
      </c>
      <c r="BJ48" s="3">
        <v>705.5</v>
      </c>
      <c r="BK48" s="3">
        <v>790.2</v>
      </c>
      <c r="BL48" s="3">
        <v>906.6</v>
      </c>
      <c r="BM48" s="3">
        <v>825.4</v>
      </c>
      <c r="BN48" s="3">
        <v>925.8</v>
      </c>
      <c r="BO48" s="3">
        <v>868.4</v>
      </c>
      <c r="BP48" s="3">
        <v>874.6</v>
      </c>
      <c r="BQ48" s="3">
        <v>1055.5</v>
      </c>
      <c r="BR48" s="3">
        <v>1189.5999999999999</v>
      </c>
      <c r="BS48" s="3">
        <v>1247.8</v>
      </c>
      <c r="BT48" s="3">
        <v>1281.7</v>
      </c>
      <c r="BU48" s="3">
        <v>1500.5</v>
      </c>
      <c r="BV48" s="3">
        <v>2043.4</v>
      </c>
      <c r="BW48" s="3">
        <v>1707.2</v>
      </c>
      <c r="BX48" s="3">
        <v>2111.1</v>
      </c>
      <c r="BY48" s="3">
        <v>1751.4</v>
      </c>
      <c r="BZ48" s="3">
        <v>1840.6</v>
      </c>
      <c r="CA48" s="3">
        <v>2713.5</v>
      </c>
      <c r="CB48" s="3">
        <v>3199.6</v>
      </c>
      <c r="CC48" s="3">
        <v>3121.7</v>
      </c>
      <c r="CD48" s="3">
        <v>3217.4</v>
      </c>
      <c r="CE48" s="3">
        <v>3835.8</v>
      </c>
      <c r="CF48" s="3">
        <v>4120.2</v>
      </c>
      <c r="CG48" s="3">
        <v>4353.6000000000004</v>
      </c>
      <c r="CH48" s="3">
        <v>4548.7</v>
      </c>
      <c r="CI48" s="3">
        <v>4569.8999999999996</v>
      </c>
      <c r="CJ48" s="3">
        <v>4914.8999999999996</v>
      </c>
      <c r="CK48" s="3">
        <v>5709.3</v>
      </c>
      <c r="CL48" s="3">
        <v>6115</v>
      </c>
      <c r="CM48" s="3">
        <v>6441.6</v>
      </c>
      <c r="CN48" s="3">
        <v>6530.6</v>
      </c>
      <c r="CO48" s="3">
        <v>7718.9</v>
      </c>
      <c r="CP48" s="3">
        <v>8689.4</v>
      </c>
      <c r="CQ48" s="3">
        <v>8781.5</v>
      </c>
      <c r="CR48" s="3">
        <v>9147.7999999999993</v>
      </c>
      <c r="CS48" s="3">
        <v>9450.2000000000007</v>
      </c>
      <c r="CT48" s="3">
        <v>9787.4</v>
      </c>
    </row>
    <row r="49" spans="1:98">
      <c r="A49" s="4" t="s">
        <v>145</v>
      </c>
      <c r="B49" s="5">
        <v>100</v>
      </c>
      <c r="C49" s="5">
        <v>103.6</v>
      </c>
      <c r="D49" s="5">
        <v>101.4</v>
      </c>
      <c r="E49" s="5">
        <v>108</v>
      </c>
      <c r="F49" s="5">
        <v>120.8</v>
      </c>
      <c r="G49" s="5">
        <v>140.30000000000001</v>
      </c>
      <c r="H49" s="5">
        <v>145.5</v>
      </c>
      <c r="I49" s="5">
        <v>151.30000000000001</v>
      </c>
      <c r="J49" s="5">
        <v>147.80000000000001</v>
      </c>
      <c r="K49" s="5">
        <v>147.80000000000001</v>
      </c>
      <c r="L49" s="5">
        <v>143.6</v>
      </c>
      <c r="M49" s="5">
        <v>143.9</v>
      </c>
      <c r="N49" s="5">
        <v>141.19999999999999</v>
      </c>
      <c r="O49" s="5">
        <v>158.5</v>
      </c>
      <c r="P49" s="5">
        <v>173</v>
      </c>
      <c r="Q49" s="5">
        <v>180</v>
      </c>
      <c r="R49" s="5">
        <v>188.4</v>
      </c>
      <c r="S49" s="5">
        <v>210.9</v>
      </c>
      <c r="T49" s="5">
        <v>209.2</v>
      </c>
      <c r="U49" s="5">
        <v>223.5</v>
      </c>
      <c r="V49" s="5">
        <v>233.6</v>
      </c>
      <c r="W49" s="5">
        <v>272.89999999999998</v>
      </c>
      <c r="X49" s="5">
        <v>291</v>
      </c>
      <c r="Y49" s="5">
        <v>232</v>
      </c>
      <c r="Z49" s="5">
        <v>201</v>
      </c>
      <c r="AA49" s="5">
        <v>196.9</v>
      </c>
      <c r="AB49" s="5">
        <v>213.4</v>
      </c>
      <c r="AC49" s="5">
        <v>211.7</v>
      </c>
      <c r="AD49" s="5">
        <v>218.4</v>
      </c>
      <c r="AE49" s="5">
        <v>231.1</v>
      </c>
      <c r="AF49" s="5">
        <v>234.7</v>
      </c>
      <c r="AG49" s="5">
        <v>247.7</v>
      </c>
      <c r="AH49" s="5">
        <v>257.60000000000002</v>
      </c>
      <c r="AI49" s="5">
        <v>275.2</v>
      </c>
      <c r="AJ49" s="5">
        <v>302.3</v>
      </c>
      <c r="AK49" s="5">
        <v>318.89999999999998</v>
      </c>
      <c r="AL49" s="5">
        <v>335.8</v>
      </c>
      <c r="AM49" s="5">
        <v>352.4</v>
      </c>
      <c r="AN49" s="5">
        <v>404.1</v>
      </c>
      <c r="AO49" s="5">
        <v>498.1</v>
      </c>
      <c r="AP49" s="5">
        <v>546.79999999999995</v>
      </c>
      <c r="AQ49" s="5">
        <v>577</v>
      </c>
      <c r="AR49" s="5">
        <v>572.4</v>
      </c>
      <c r="AS49" s="5">
        <v>568.29999999999995</v>
      </c>
      <c r="AT49" s="5">
        <v>561.70000000000005</v>
      </c>
      <c r="AU49" s="5">
        <v>594.79999999999995</v>
      </c>
      <c r="AV49" s="5">
        <v>588.4</v>
      </c>
      <c r="AW49" s="5">
        <v>588.6</v>
      </c>
      <c r="AX49" s="5">
        <v>580.1</v>
      </c>
      <c r="AY49" s="5">
        <v>583.79999999999995</v>
      </c>
      <c r="AZ49" s="5">
        <v>570</v>
      </c>
      <c r="BA49" s="5">
        <v>550.5</v>
      </c>
      <c r="BB49" s="5">
        <v>528.9</v>
      </c>
      <c r="BC49" s="5">
        <v>580.70000000000005</v>
      </c>
      <c r="BD49" s="5">
        <v>584</v>
      </c>
      <c r="BE49" s="5">
        <v>626.9</v>
      </c>
      <c r="BF49" s="5">
        <v>656</v>
      </c>
      <c r="BG49" s="5">
        <v>671.3</v>
      </c>
      <c r="BH49" s="5">
        <v>725.8</v>
      </c>
      <c r="BI49" s="5">
        <v>761.7</v>
      </c>
      <c r="BJ49" s="5">
        <v>794.1</v>
      </c>
      <c r="BK49" s="5">
        <v>901.1</v>
      </c>
      <c r="BL49" s="5">
        <v>1239.2</v>
      </c>
      <c r="BM49" s="5">
        <v>1009.4</v>
      </c>
      <c r="BN49" s="5">
        <v>1309.8</v>
      </c>
      <c r="BO49" s="5">
        <v>1187.4000000000001</v>
      </c>
      <c r="BP49" s="5">
        <v>1220.4000000000001</v>
      </c>
      <c r="BQ49" s="5">
        <v>1578.8</v>
      </c>
      <c r="BR49" s="5">
        <v>1502.9</v>
      </c>
      <c r="BS49" s="5">
        <v>1568.6</v>
      </c>
      <c r="BT49" s="5">
        <v>1994.5</v>
      </c>
      <c r="BU49" s="5">
        <v>2274.9</v>
      </c>
      <c r="BV49" s="5">
        <v>3812.4</v>
      </c>
      <c r="BW49" s="5">
        <v>3027.9</v>
      </c>
      <c r="BX49" s="5">
        <v>4157.5</v>
      </c>
      <c r="BY49" s="5">
        <v>3328.4</v>
      </c>
      <c r="BZ49" s="5">
        <v>3443.4</v>
      </c>
      <c r="CA49" s="5">
        <v>4941.6000000000004</v>
      </c>
      <c r="CB49" s="5">
        <v>5521.4</v>
      </c>
      <c r="CC49" s="5">
        <v>5466</v>
      </c>
      <c r="CD49" s="5">
        <v>5272.7</v>
      </c>
      <c r="CE49" s="5">
        <v>5873.6</v>
      </c>
      <c r="CF49" s="5">
        <v>5567</v>
      </c>
      <c r="CG49" s="5">
        <v>5780.9</v>
      </c>
      <c r="CH49" s="5">
        <v>6830.6</v>
      </c>
      <c r="CI49" s="5">
        <v>7459.1</v>
      </c>
      <c r="CJ49" s="5">
        <v>8307.6</v>
      </c>
      <c r="CK49" s="5">
        <v>8243.1</v>
      </c>
      <c r="CL49" s="5">
        <v>7906.6</v>
      </c>
      <c r="CM49" s="5">
        <v>7944</v>
      </c>
      <c r="CN49" s="5">
        <v>8776.9</v>
      </c>
      <c r="CO49" s="5">
        <v>9495.9</v>
      </c>
      <c r="CP49" s="5">
        <v>9370.1</v>
      </c>
      <c r="CQ49" s="5">
        <v>9586.9</v>
      </c>
      <c r="CR49" s="5">
        <v>10281.4</v>
      </c>
      <c r="CS49" s="5">
        <v>10873.3</v>
      </c>
      <c r="CT49" s="5">
        <v>11741.1</v>
      </c>
    </row>
    <row r="50" spans="1:98">
      <c r="A50" s="2" t="s">
        <v>146</v>
      </c>
      <c r="B50" s="3">
        <v>100</v>
      </c>
      <c r="C50" s="3">
        <v>109.1</v>
      </c>
      <c r="D50" s="3">
        <v>112.8</v>
      </c>
      <c r="E50" s="3">
        <v>115.1</v>
      </c>
      <c r="F50" s="3">
        <v>117.8</v>
      </c>
      <c r="G50" s="3">
        <v>136.80000000000001</v>
      </c>
      <c r="H50" s="3">
        <v>141</v>
      </c>
      <c r="I50" s="3">
        <v>144.1</v>
      </c>
      <c r="J50" s="3">
        <v>143.9</v>
      </c>
      <c r="K50" s="3">
        <v>152.4</v>
      </c>
      <c r="L50" s="3">
        <v>154.80000000000001</v>
      </c>
      <c r="M50" s="3">
        <v>158.4</v>
      </c>
      <c r="N50" s="3">
        <v>159.5</v>
      </c>
      <c r="O50" s="3">
        <v>171.6</v>
      </c>
      <c r="P50" s="3">
        <v>173.3</v>
      </c>
      <c r="Q50" s="3">
        <v>174.2</v>
      </c>
      <c r="R50" s="3">
        <v>174.5</v>
      </c>
      <c r="S50" s="3">
        <v>192</v>
      </c>
      <c r="T50" s="3">
        <v>194.4</v>
      </c>
      <c r="U50" s="3">
        <v>202.3</v>
      </c>
      <c r="V50" s="3">
        <v>208</v>
      </c>
      <c r="W50" s="3">
        <v>229</v>
      </c>
      <c r="X50" s="3">
        <v>232.1</v>
      </c>
      <c r="Y50" s="3">
        <v>234.2</v>
      </c>
      <c r="Z50" s="3">
        <v>234.6</v>
      </c>
      <c r="AA50" s="3">
        <v>249.8</v>
      </c>
      <c r="AB50" s="3">
        <v>253.5</v>
      </c>
      <c r="AC50" s="3">
        <v>256.2</v>
      </c>
      <c r="AD50" s="3">
        <v>258.60000000000002</v>
      </c>
      <c r="AE50" s="3">
        <v>275</v>
      </c>
      <c r="AF50" s="3">
        <v>276.60000000000002</v>
      </c>
      <c r="AG50" s="3">
        <v>281.2</v>
      </c>
      <c r="AH50" s="3">
        <v>318.89999999999998</v>
      </c>
      <c r="AI50" s="3">
        <v>334.3</v>
      </c>
      <c r="AJ50" s="3">
        <v>345.9</v>
      </c>
      <c r="AK50" s="3">
        <v>357.9</v>
      </c>
      <c r="AL50" s="3">
        <v>369.8</v>
      </c>
      <c r="AM50" s="3">
        <v>407</v>
      </c>
      <c r="AN50" s="3">
        <v>428.4</v>
      </c>
      <c r="AO50" s="3">
        <v>464.6</v>
      </c>
      <c r="AP50" s="3">
        <v>481</v>
      </c>
      <c r="AQ50" s="3">
        <v>534.70000000000005</v>
      </c>
      <c r="AR50" s="3">
        <v>546.20000000000005</v>
      </c>
      <c r="AS50" s="3">
        <v>557</v>
      </c>
      <c r="AT50" s="3">
        <v>567.9</v>
      </c>
      <c r="AU50" s="3">
        <v>647.29999999999995</v>
      </c>
      <c r="AV50" s="3">
        <v>659.8</v>
      </c>
      <c r="AW50" s="3">
        <v>668</v>
      </c>
      <c r="AX50" s="3">
        <v>675.9</v>
      </c>
      <c r="AY50" s="3">
        <v>677</v>
      </c>
      <c r="AZ50" s="3">
        <v>678</v>
      </c>
      <c r="BA50" s="3">
        <v>679</v>
      </c>
      <c r="BB50" s="3">
        <v>680</v>
      </c>
      <c r="BC50" s="3">
        <v>681</v>
      </c>
      <c r="BD50" s="3">
        <v>682</v>
      </c>
      <c r="BE50" s="3">
        <v>683</v>
      </c>
      <c r="BF50" s="3">
        <v>684</v>
      </c>
      <c r="BG50" s="3">
        <v>685</v>
      </c>
      <c r="BH50" s="3">
        <v>686</v>
      </c>
      <c r="BI50" s="3">
        <v>687</v>
      </c>
      <c r="BJ50" s="3">
        <v>688</v>
      </c>
      <c r="BK50" s="3">
        <v>689</v>
      </c>
      <c r="BL50" s="3">
        <v>692</v>
      </c>
      <c r="BM50" s="3">
        <v>690</v>
      </c>
      <c r="BN50" s="3">
        <v>693</v>
      </c>
      <c r="BO50" s="3">
        <v>691</v>
      </c>
      <c r="BP50" s="3">
        <v>692</v>
      </c>
      <c r="BQ50" s="3">
        <v>694</v>
      </c>
      <c r="BR50" s="3">
        <v>695</v>
      </c>
      <c r="BS50" s="3">
        <v>696</v>
      </c>
      <c r="BT50" s="3">
        <v>697</v>
      </c>
      <c r="BU50" s="3">
        <v>698</v>
      </c>
      <c r="BV50" s="3">
        <v>702</v>
      </c>
      <c r="BW50" s="3">
        <v>699</v>
      </c>
      <c r="BX50" s="3">
        <v>703</v>
      </c>
      <c r="BY50" s="3">
        <v>700</v>
      </c>
      <c r="BZ50" s="3">
        <v>701</v>
      </c>
      <c r="CA50" s="3">
        <v>704</v>
      </c>
      <c r="CB50" s="3">
        <v>705</v>
      </c>
      <c r="CC50" s="3">
        <v>706</v>
      </c>
      <c r="CD50" s="3">
        <v>707</v>
      </c>
      <c r="CE50" s="3">
        <v>708</v>
      </c>
      <c r="CF50" s="3">
        <v>709</v>
      </c>
      <c r="CG50" s="3">
        <v>710</v>
      </c>
      <c r="CH50" s="3">
        <v>711</v>
      </c>
      <c r="CI50" s="3">
        <v>711</v>
      </c>
      <c r="CJ50" s="3">
        <v>711</v>
      </c>
      <c r="CK50" s="3">
        <v>712</v>
      </c>
      <c r="CL50" s="3">
        <v>713</v>
      </c>
      <c r="CM50" s="3">
        <v>714</v>
      </c>
      <c r="CN50" s="3">
        <v>715</v>
      </c>
      <c r="CO50" s="3">
        <v>716</v>
      </c>
      <c r="CP50" s="3">
        <v>717</v>
      </c>
      <c r="CQ50" s="3">
        <v>718</v>
      </c>
      <c r="CR50" s="3">
        <v>719</v>
      </c>
      <c r="CS50" s="3">
        <v>719</v>
      </c>
      <c r="CT50" s="3">
        <v>719</v>
      </c>
    </row>
    <row r="51" spans="1:98">
      <c r="A51" s="4" t="s">
        <v>147</v>
      </c>
      <c r="B51" s="5">
        <v>100</v>
      </c>
      <c r="C51" s="5">
        <v>108.3</v>
      </c>
      <c r="D51" s="5">
        <v>112.5</v>
      </c>
      <c r="E51" s="5">
        <v>114.7</v>
      </c>
      <c r="F51" s="5">
        <v>118.6</v>
      </c>
      <c r="G51" s="5">
        <v>135.9</v>
      </c>
      <c r="H51" s="5">
        <v>139.1</v>
      </c>
      <c r="I51" s="5">
        <v>140.30000000000001</v>
      </c>
      <c r="J51" s="5">
        <v>140.30000000000001</v>
      </c>
      <c r="K51" s="5">
        <v>147.30000000000001</v>
      </c>
      <c r="L51" s="5">
        <v>150.5</v>
      </c>
      <c r="M51" s="5">
        <v>154</v>
      </c>
      <c r="N51" s="5">
        <v>155</v>
      </c>
      <c r="O51" s="5">
        <v>165</v>
      </c>
      <c r="P51" s="5">
        <v>165.8</v>
      </c>
      <c r="Q51" s="5">
        <v>168.3</v>
      </c>
      <c r="R51" s="5">
        <v>168.4</v>
      </c>
      <c r="S51" s="5">
        <v>181.2</v>
      </c>
      <c r="T51" s="5">
        <v>182.9</v>
      </c>
      <c r="U51" s="5">
        <v>188.9</v>
      </c>
      <c r="V51" s="5">
        <v>194.6</v>
      </c>
      <c r="W51" s="5">
        <v>209.5</v>
      </c>
      <c r="X51" s="5">
        <v>215.4</v>
      </c>
      <c r="Y51" s="5">
        <v>217.7</v>
      </c>
      <c r="Z51" s="5">
        <v>217.6</v>
      </c>
      <c r="AA51" s="5">
        <v>226.4</v>
      </c>
      <c r="AB51" s="5">
        <v>229.9</v>
      </c>
      <c r="AC51" s="5">
        <v>231.6</v>
      </c>
      <c r="AD51" s="5">
        <v>232.8</v>
      </c>
      <c r="AE51" s="5">
        <v>249.4</v>
      </c>
      <c r="AF51" s="5">
        <v>250.6</v>
      </c>
      <c r="AG51" s="5">
        <v>252</v>
      </c>
      <c r="AH51" s="5">
        <v>299.89999999999998</v>
      </c>
      <c r="AI51" s="5">
        <v>307.10000000000002</v>
      </c>
      <c r="AJ51" s="5">
        <v>320.7</v>
      </c>
      <c r="AK51" s="5">
        <v>336.4</v>
      </c>
      <c r="AL51" s="5">
        <v>350.1</v>
      </c>
      <c r="AM51" s="5">
        <v>378.6</v>
      </c>
      <c r="AN51" s="5">
        <v>399.7</v>
      </c>
      <c r="AO51" s="5">
        <v>445.3</v>
      </c>
      <c r="AP51" s="5">
        <v>464.4</v>
      </c>
      <c r="AQ51" s="5">
        <v>508.6</v>
      </c>
      <c r="AR51" s="5">
        <v>522.9</v>
      </c>
      <c r="AS51" s="5">
        <v>533.29999999999995</v>
      </c>
      <c r="AT51" s="5">
        <v>542.4</v>
      </c>
      <c r="AU51" s="5">
        <v>597.79999999999995</v>
      </c>
      <c r="AV51" s="5">
        <v>614.5</v>
      </c>
      <c r="AW51" s="5">
        <v>616.1</v>
      </c>
      <c r="AX51" s="5">
        <v>621.79999999999995</v>
      </c>
      <c r="AY51" s="5">
        <v>663.1</v>
      </c>
      <c r="AZ51" s="5">
        <v>666.7</v>
      </c>
      <c r="BA51" s="5">
        <v>666.3</v>
      </c>
      <c r="BB51" s="5">
        <v>667.6</v>
      </c>
      <c r="BC51" s="5">
        <v>702.5</v>
      </c>
      <c r="BD51" s="5">
        <v>709.6</v>
      </c>
      <c r="BE51" s="5">
        <v>719.1</v>
      </c>
      <c r="BF51" s="5">
        <v>726</v>
      </c>
      <c r="BG51" s="5">
        <v>773.7</v>
      </c>
      <c r="BH51" s="5">
        <v>775</v>
      </c>
      <c r="BI51" s="5">
        <v>793.8</v>
      </c>
      <c r="BJ51" s="5">
        <v>800.8</v>
      </c>
      <c r="BK51" s="5">
        <v>895.6</v>
      </c>
      <c r="BL51" s="5">
        <v>1076.5999999999999</v>
      </c>
      <c r="BM51" s="5">
        <v>985</v>
      </c>
      <c r="BN51" s="5">
        <v>1120.8</v>
      </c>
      <c r="BO51" s="5">
        <v>1029.7</v>
      </c>
      <c r="BP51" s="5">
        <v>1066.3</v>
      </c>
      <c r="BQ51" s="5">
        <v>1299.4000000000001</v>
      </c>
      <c r="BR51" s="5">
        <v>1392.9</v>
      </c>
      <c r="BS51" s="5">
        <v>1462</v>
      </c>
      <c r="BT51" s="5">
        <v>1534.4</v>
      </c>
      <c r="BU51" s="5">
        <v>1817.9</v>
      </c>
      <c r="BV51" s="5">
        <v>2575.6999999999998</v>
      </c>
      <c r="BW51" s="5">
        <v>2096.6</v>
      </c>
      <c r="BX51" s="5">
        <v>2711.7</v>
      </c>
      <c r="BY51" s="5">
        <v>2168.9</v>
      </c>
      <c r="BZ51" s="5">
        <v>2320.1</v>
      </c>
      <c r="CA51" s="5">
        <v>3515.2</v>
      </c>
      <c r="CB51" s="5">
        <v>3816.5</v>
      </c>
      <c r="CC51" s="5">
        <v>3853.9</v>
      </c>
      <c r="CD51" s="5">
        <v>3969.5</v>
      </c>
      <c r="CE51" s="5">
        <v>4931.3</v>
      </c>
      <c r="CF51" s="5">
        <v>5089.1000000000004</v>
      </c>
      <c r="CG51" s="5">
        <v>5432</v>
      </c>
      <c r="CH51" s="5">
        <v>5779</v>
      </c>
      <c r="CI51" s="5">
        <v>5773.1</v>
      </c>
      <c r="CJ51" s="5">
        <v>5828.9</v>
      </c>
      <c r="CK51" s="5">
        <v>6977</v>
      </c>
      <c r="CL51" s="5">
        <v>7317.7</v>
      </c>
      <c r="CM51" s="5">
        <v>7458.6</v>
      </c>
      <c r="CN51" s="5">
        <v>7655.6</v>
      </c>
      <c r="CO51" s="5">
        <v>9189.4</v>
      </c>
      <c r="CP51" s="5">
        <v>9709.7000000000007</v>
      </c>
      <c r="CQ51" s="5">
        <v>9755.7000000000007</v>
      </c>
      <c r="CR51" s="5">
        <v>10365</v>
      </c>
      <c r="CS51" s="5">
        <v>10585.6</v>
      </c>
      <c r="CT51" s="5">
        <v>10862.7</v>
      </c>
    </row>
    <row r="52" spans="1:98">
      <c r="A52" s="2" t="s">
        <v>148</v>
      </c>
      <c r="B52" s="3">
        <v>100</v>
      </c>
      <c r="C52" s="3">
        <v>109.7</v>
      </c>
      <c r="D52" s="3">
        <v>112.9</v>
      </c>
      <c r="E52" s="3">
        <v>114.5</v>
      </c>
      <c r="F52" s="3">
        <v>116.1</v>
      </c>
      <c r="G52" s="3">
        <v>135.19999999999999</v>
      </c>
      <c r="H52" s="3">
        <v>138.4</v>
      </c>
      <c r="I52" s="3">
        <v>140.80000000000001</v>
      </c>
      <c r="J52" s="3">
        <v>141.19999999999999</v>
      </c>
      <c r="K52" s="3">
        <v>146.9</v>
      </c>
      <c r="L52" s="3">
        <v>148.6</v>
      </c>
      <c r="M52" s="3">
        <v>151.80000000000001</v>
      </c>
      <c r="N52" s="3">
        <v>152.80000000000001</v>
      </c>
      <c r="O52" s="3">
        <v>162.6</v>
      </c>
      <c r="P52" s="3">
        <v>163.80000000000001</v>
      </c>
      <c r="Q52" s="3">
        <v>166.4</v>
      </c>
      <c r="R52" s="3">
        <v>167.2</v>
      </c>
      <c r="S52" s="3">
        <v>183.6</v>
      </c>
      <c r="T52" s="3">
        <v>186.9</v>
      </c>
      <c r="U52" s="3">
        <v>194.1</v>
      </c>
      <c r="V52" s="3">
        <v>199.5</v>
      </c>
      <c r="W52" s="3">
        <v>235.9</v>
      </c>
      <c r="X52" s="3">
        <v>239.6</v>
      </c>
      <c r="Y52" s="3">
        <v>241.5</v>
      </c>
      <c r="Z52" s="3">
        <v>242</v>
      </c>
      <c r="AA52" s="3">
        <v>252.4</v>
      </c>
      <c r="AB52" s="3">
        <v>255</v>
      </c>
      <c r="AC52" s="3">
        <v>258.10000000000002</v>
      </c>
      <c r="AD52" s="3">
        <v>260.10000000000002</v>
      </c>
      <c r="AE52" s="3">
        <v>276.2</v>
      </c>
      <c r="AF52" s="3">
        <v>277.60000000000002</v>
      </c>
      <c r="AG52" s="3">
        <v>280</v>
      </c>
      <c r="AH52" s="3">
        <v>313.3</v>
      </c>
      <c r="AI52" s="3">
        <v>329.1</v>
      </c>
      <c r="AJ52" s="3">
        <v>336.9</v>
      </c>
      <c r="AK52" s="3">
        <v>353.8</v>
      </c>
      <c r="AL52" s="3">
        <v>371.9</v>
      </c>
      <c r="AM52" s="3">
        <v>406.7</v>
      </c>
      <c r="AN52" s="3">
        <v>427.7</v>
      </c>
      <c r="AO52" s="3">
        <v>466.1</v>
      </c>
      <c r="AP52" s="3">
        <v>489.1</v>
      </c>
      <c r="AQ52" s="3">
        <v>527.5</v>
      </c>
      <c r="AR52" s="3">
        <v>535.9</v>
      </c>
      <c r="AS52" s="3">
        <v>555.9</v>
      </c>
      <c r="AT52" s="3">
        <v>565.70000000000005</v>
      </c>
      <c r="AU52" s="3">
        <v>623.5</v>
      </c>
      <c r="AV52" s="3">
        <v>645</v>
      </c>
      <c r="AW52" s="3">
        <v>657</v>
      </c>
      <c r="AX52" s="3">
        <v>661.5</v>
      </c>
      <c r="AY52" s="3">
        <v>700.3</v>
      </c>
      <c r="AZ52" s="3">
        <v>704.7</v>
      </c>
      <c r="BA52" s="3">
        <v>705.2</v>
      </c>
      <c r="BB52" s="3">
        <v>695.6</v>
      </c>
      <c r="BC52" s="3">
        <v>733.3</v>
      </c>
      <c r="BD52" s="3">
        <v>742.3</v>
      </c>
      <c r="BE52" s="3">
        <v>751.8</v>
      </c>
      <c r="BF52" s="3">
        <v>761.7</v>
      </c>
      <c r="BG52" s="3">
        <v>813.4</v>
      </c>
      <c r="BH52" s="3">
        <v>818.5</v>
      </c>
      <c r="BI52" s="3">
        <v>836.8</v>
      </c>
      <c r="BJ52" s="3">
        <v>852.4</v>
      </c>
      <c r="BK52" s="3">
        <v>951.6</v>
      </c>
      <c r="BL52" s="3">
        <v>1139.3</v>
      </c>
      <c r="BM52" s="3">
        <v>1027.5</v>
      </c>
      <c r="BN52" s="3">
        <v>1164.5999999999999</v>
      </c>
      <c r="BO52" s="3">
        <v>1061.4000000000001</v>
      </c>
      <c r="BP52" s="3">
        <v>1117</v>
      </c>
      <c r="BQ52" s="3">
        <v>1361.8</v>
      </c>
      <c r="BR52" s="3">
        <v>1433.7</v>
      </c>
      <c r="BS52" s="3">
        <v>1494.2</v>
      </c>
      <c r="BT52" s="3">
        <v>1548.9</v>
      </c>
      <c r="BU52" s="3">
        <v>1885.9</v>
      </c>
      <c r="BV52" s="3">
        <v>2526.4</v>
      </c>
      <c r="BW52" s="3">
        <v>2126.5</v>
      </c>
      <c r="BX52" s="3">
        <v>2692.5</v>
      </c>
      <c r="BY52" s="3">
        <v>2191.1999999999998</v>
      </c>
      <c r="BZ52" s="3">
        <v>2301.6999999999998</v>
      </c>
      <c r="CA52" s="3">
        <v>3444.5</v>
      </c>
      <c r="CB52" s="3">
        <v>3728.2</v>
      </c>
      <c r="CC52" s="3">
        <v>3818.1</v>
      </c>
      <c r="CD52" s="3">
        <v>3923.2</v>
      </c>
      <c r="CE52" s="3">
        <v>4795.6000000000004</v>
      </c>
      <c r="CF52" s="3">
        <v>4931.7</v>
      </c>
      <c r="CG52" s="3">
        <v>5324.8</v>
      </c>
      <c r="CH52" s="3">
        <v>5651.2</v>
      </c>
      <c r="CI52" s="3">
        <v>5673.6</v>
      </c>
      <c r="CJ52" s="3">
        <v>5778.9</v>
      </c>
      <c r="CK52" s="3">
        <v>6858.6</v>
      </c>
      <c r="CL52" s="3">
        <v>7114.7</v>
      </c>
      <c r="CM52" s="3">
        <v>7399.3</v>
      </c>
      <c r="CN52" s="3">
        <v>7590.1</v>
      </c>
      <c r="CO52" s="3">
        <v>9166.7000000000007</v>
      </c>
      <c r="CP52" s="3">
        <v>9592.4</v>
      </c>
      <c r="CQ52" s="3">
        <v>9776.9</v>
      </c>
      <c r="CR52" s="3">
        <v>10282.700000000001</v>
      </c>
      <c r="CS52" s="3">
        <v>10514.5</v>
      </c>
      <c r="CT52" s="3">
        <v>10673.5</v>
      </c>
    </row>
    <row r="53" spans="1:98">
      <c r="A53" s="4" t="s">
        <v>149</v>
      </c>
      <c r="B53" s="5">
        <v>100</v>
      </c>
      <c r="C53" s="5">
        <v>101.8</v>
      </c>
      <c r="D53" s="5">
        <v>101.7</v>
      </c>
      <c r="E53" s="5">
        <v>102.7</v>
      </c>
      <c r="F53" s="5">
        <v>118.4</v>
      </c>
      <c r="G53" s="5">
        <v>141.6</v>
      </c>
      <c r="H53" s="5">
        <v>146.30000000000001</v>
      </c>
      <c r="I53" s="5">
        <v>148.30000000000001</v>
      </c>
      <c r="J53" s="5">
        <v>142.69999999999999</v>
      </c>
      <c r="K53" s="5">
        <v>139.80000000000001</v>
      </c>
      <c r="L53" s="5">
        <v>133.80000000000001</v>
      </c>
      <c r="M53" s="5">
        <v>133.9</v>
      </c>
      <c r="N53" s="5">
        <v>134.9</v>
      </c>
      <c r="O53" s="5">
        <v>156.80000000000001</v>
      </c>
      <c r="P53" s="5">
        <v>180.5</v>
      </c>
      <c r="Q53" s="5">
        <v>190.3</v>
      </c>
      <c r="R53" s="5">
        <v>194.3</v>
      </c>
      <c r="S53" s="5">
        <v>209.1</v>
      </c>
      <c r="T53" s="5">
        <v>199.2</v>
      </c>
      <c r="U53" s="5">
        <v>222.1</v>
      </c>
      <c r="V53" s="5">
        <v>241.9</v>
      </c>
      <c r="W53" s="5">
        <v>295.5</v>
      </c>
      <c r="X53" s="5">
        <v>331.4</v>
      </c>
      <c r="Y53" s="5">
        <v>244.9</v>
      </c>
      <c r="Z53" s="5">
        <v>210.3</v>
      </c>
      <c r="AA53" s="5">
        <v>201.9</v>
      </c>
      <c r="AB53" s="5">
        <v>207.9</v>
      </c>
      <c r="AC53" s="5">
        <v>204.9</v>
      </c>
      <c r="AD53" s="5">
        <v>229.8</v>
      </c>
      <c r="AE53" s="5">
        <v>250.7</v>
      </c>
      <c r="AF53" s="5">
        <v>257.10000000000002</v>
      </c>
      <c r="AG53" s="5">
        <v>274.39999999999998</v>
      </c>
      <c r="AH53" s="5">
        <v>278.8</v>
      </c>
      <c r="AI53" s="5">
        <v>287.3</v>
      </c>
      <c r="AJ53" s="5">
        <v>301.39999999999998</v>
      </c>
      <c r="AK53" s="5">
        <v>313.5</v>
      </c>
      <c r="AL53" s="5">
        <v>354.4</v>
      </c>
      <c r="AM53" s="5">
        <v>404.3</v>
      </c>
      <c r="AN53" s="5">
        <v>484.5</v>
      </c>
      <c r="AO53" s="5">
        <v>555.20000000000005</v>
      </c>
      <c r="AP53" s="5">
        <v>560.4</v>
      </c>
      <c r="AQ53" s="5">
        <v>575</v>
      </c>
      <c r="AR53" s="5">
        <v>576.1</v>
      </c>
      <c r="AS53" s="5">
        <v>572</v>
      </c>
      <c r="AT53" s="5">
        <v>546.29999999999995</v>
      </c>
      <c r="AU53" s="5">
        <v>600</v>
      </c>
      <c r="AV53" s="5">
        <v>590.70000000000005</v>
      </c>
      <c r="AW53" s="5">
        <v>590.70000000000005</v>
      </c>
      <c r="AX53" s="5">
        <v>560.5</v>
      </c>
      <c r="AY53" s="5">
        <v>550.5</v>
      </c>
      <c r="AZ53" s="5">
        <v>540.20000000000005</v>
      </c>
      <c r="BA53" s="5">
        <v>521</v>
      </c>
      <c r="BB53" s="5">
        <v>496.2</v>
      </c>
      <c r="BC53" s="5">
        <v>568.4</v>
      </c>
      <c r="BD53" s="5">
        <v>570.6</v>
      </c>
      <c r="BE53" s="5">
        <v>594.9</v>
      </c>
      <c r="BF53" s="5">
        <v>588.5</v>
      </c>
      <c r="BG53" s="5">
        <v>611.70000000000005</v>
      </c>
      <c r="BH53" s="5">
        <v>704.8</v>
      </c>
      <c r="BI53" s="5">
        <v>728.2</v>
      </c>
      <c r="BJ53" s="5">
        <v>762.2</v>
      </c>
      <c r="BK53" s="5">
        <v>913.2</v>
      </c>
      <c r="BL53" s="5">
        <v>1240.5</v>
      </c>
      <c r="BM53" s="5">
        <v>1038.3</v>
      </c>
      <c r="BN53" s="5">
        <v>1239.4000000000001</v>
      </c>
      <c r="BO53" s="5">
        <v>1255.2</v>
      </c>
      <c r="BP53" s="5">
        <v>1303.0999999999999</v>
      </c>
      <c r="BQ53" s="5">
        <v>1460.3</v>
      </c>
      <c r="BR53" s="5">
        <v>1348.9</v>
      </c>
      <c r="BS53" s="5">
        <v>1398.8</v>
      </c>
      <c r="BT53" s="5">
        <v>1674.4</v>
      </c>
      <c r="BU53" s="5">
        <v>1921</v>
      </c>
      <c r="BV53" s="5">
        <v>3286.2</v>
      </c>
      <c r="BW53" s="5">
        <v>2733.9</v>
      </c>
      <c r="BX53" s="5">
        <v>3485.7</v>
      </c>
      <c r="BY53" s="5">
        <v>2935.5</v>
      </c>
      <c r="BZ53" s="5">
        <v>3092.1</v>
      </c>
      <c r="CA53" s="5">
        <v>3969.8</v>
      </c>
      <c r="CB53" s="5">
        <v>4534.1000000000004</v>
      </c>
      <c r="CC53" s="5">
        <v>4433.3</v>
      </c>
      <c r="CD53" s="5">
        <v>4388.7</v>
      </c>
      <c r="CE53" s="5">
        <v>5198</v>
      </c>
      <c r="CF53" s="5">
        <v>4897.1000000000004</v>
      </c>
      <c r="CG53" s="5">
        <v>4958.8</v>
      </c>
      <c r="CH53" s="5">
        <v>5717.8</v>
      </c>
      <c r="CI53" s="5">
        <v>6252.5</v>
      </c>
      <c r="CJ53" s="5">
        <v>7135.3</v>
      </c>
      <c r="CK53" s="5">
        <v>7473.4</v>
      </c>
      <c r="CL53" s="5">
        <v>7232.6</v>
      </c>
      <c r="CM53" s="5">
        <v>7048.5</v>
      </c>
      <c r="CN53" s="5">
        <v>7350.7</v>
      </c>
      <c r="CO53" s="5">
        <v>8377.4</v>
      </c>
      <c r="CP53" s="5">
        <v>8781.7000000000007</v>
      </c>
      <c r="CQ53" s="5">
        <v>9011.1</v>
      </c>
      <c r="CR53" s="5">
        <v>9476.1</v>
      </c>
      <c r="CS53" s="5">
        <v>9918.7000000000007</v>
      </c>
      <c r="CT53" s="5">
        <v>10629</v>
      </c>
    </row>
    <row r="54" spans="1:98">
      <c r="A54" s="2" t="s">
        <v>150</v>
      </c>
      <c r="B54" s="3">
        <v>100</v>
      </c>
      <c r="C54" s="3">
        <v>112.5</v>
      </c>
      <c r="D54" s="3">
        <v>114.1</v>
      </c>
      <c r="E54" s="3">
        <v>120.7</v>
      </c>
      <c r="F54" s="3">
        <v>130.6</v>
      </c>
      <c r="G54" s="3">
        <v>145.80000000000001</v>
      </c>
      <c r="H54" s="3">
        <v>147.9</v>
      </c>
      <c r="I54" s="3">
        <v>150.69999999999999</v>
      </c>
      <c r="J54" s="3">
        <v>150.5</v>
      </c>
      <c r="K54" s="3">
        <v>157.30000000000001</v>
      </c>
      <c r="L54" s="3">
        <v>161.80000000000001</v>
      </c>
      <c r="M54" s="3">
        <v>163.4</v>
      </c>
      <c r="N54" s="3">
        <v>163.69999999999999</v>
      </c>
      <c r="O54" s="3">
        <v>168.7</v>
      </c>
      <c r="P54" s="3">
        <v>169.6</v>
      </c>
      <c r="Q54" s="3">
        <v>171.6</v>
      </c>
      <c r="R54" s="3">
        <v>171.9</v>
      </c>
      <c r="S54" s="3">
        <v>189.6</v>
      </c>
      <c r="T54" s="3">
        <v>191</v>
      </c>
      <c r="U54" s="3">
        <v>196.3</v>
      </c>
      <c r="V54" s="3">
        <v>199.3</v>
      </c>
      <c r="W54" s="3">
        <v>220.9</v>
      </c>
      <c r="X54" s="3">
        <v>240.3</v>
      </c>
      <c r="Y54" s="3">
        <v>243</v>
      </c>
      <c r="Z54" s="3">
        <v>241.3</v>
      </c>
      <c r="AA54" s="3">
        <v>246.4</v>
      </c>
      <c r="AB54" s="3">
        <v>248</v>
      </c>
      <c r="AC54" s="3">
        <v>249.9</v>
      </c>
      <c r="AD54" s="3">
        <v>251.2</v>
      </c>
      <c r="AE54" s="3">
        <v>261.3</v>
      </c>
      <c r="AF54" s="3">
        <v>262.2</v>
      </c>
      <c r="AG54" s="3">
        <v>264.60000000000002</v>
      </c>
      <c r="AH54" s="3">
        <v>282.60000000000002</v>
      </c>
      <c r="AI54" s="3">
        <v>293.3</v>
      </c>
      <c r="AJ54" s="3">
        <v>309.39999999999998</v>
      </c>
      <c r="AK54" s="3">
        <v>314.2</v>
      </c>
      <c r="AL54" s="3">
        <v>330.3</v>
      </c>
      <c r="AM54" s="3">
        <v>349.6</v>
      </c>
      <c r="AN54" s="3">
        <v>364.9</v>
      </c>
      <c r="AO54" s="3">
        <v>403.9</v>
      </c>
      <c r="AP54" s="3">
        <v>413.2</v>
      </c>
      <c r="AQ54" s="3">
        <v>445.7</v>
      </c>
      <c r="AR54" s="3">
        <v>461.9</v>
      </c>
      <c r="AS54" s="3">
        <v>478.5</v>
      </c>
      <c r="AT54" s="3">
        <v>484.7</v>
      </c>
      <c r="AU54" s="3">
        <v>520.4</v>
      </c>
      <c r="AV54" s="3">
        <v>564.1</v>
      </c>
      <c r="AW54" s="3">
        <v>566.79999999999995</v>
      </c>
      <c r="AX54" s="3">
        <v>568.1</v>
      </c>
      <c r="AY54" s="3">
        <v>587.4</v>
      </c>
      <c r="AZ54" s="3">
        <v>590.20000000000005</v>
      </c>
      <c r="BA54" s="3">
        <v>587.1</v>
      </c>
      <c r="BB54" s="3">
        <v>587.79999999999995</v>
      </c>
      <c r="BC54" s="3">
        <v>610.29999999999995</v>
      </c>
      <c r="BD54" s="3">
        <v>617.5</v>
      </c>
      <c r="BE54" s="3">
        <v>638.6</v>
      </c>
      <c r="BF54" s="3">
        <v>645.6</v>
      </c>
      <c r="BG54" s="3">
        <v>694.8</v>
      </c>
      <c r="BH54" s="3">
        <v>706.6</v>
      </c>
      <c r="BI54" s="3">
        <v>715.1</v>
      </c>
      <c r="BJ54" s="3">
        <v>721.8</v>
      </c>
      <c r="BK54" s="3">
        <v>807.5</v>
      </c>
      <c r="BL54" s="3">
        <v>946.7</v>
      </c>
      <c r="BM54" s="3">
        <v>852.6</v>
      </c>
      <c r="BN54" s="3">
        <v>965.4</v>
      </c>
      <c r="BO54" s="3">
        <v>902.2</v>
      </c>
      <c r="BP54" s="3">
        <v>913.1</v>
      </c>
      <c r="BQ54" s="3">
        <v>1090.3</v>
      </c>
      <c r="BR54" s="3">
        <v>1211.4000000000001</v>
      </c>
      <c r="BS54" s="3">
        <v>1270.7</v>
      </c>
      <c r="BT54" s="3">
        <v>1322</v>
      </c>
      <c r="BU54" s="3">
        <v>1565.9</v>
      </c>
      <c r="BV54" s="3">
        <v>2188.4</v>
      </c>
      <c r="BW54" s="3">
        <v>1802.2</v>
      </c>
      <c r="BX54" s="3">
        <v>2267.5</v>
      </c>
      <c r="BY54" s="3">
        <v>1866.2</v>
      </c>
      <c r="BZ54" s="3">
        <v>1965.5</v>
      </c>
      <c r="CA54" s="3">
        <v>2893.7</v>
      </c>
      <c r="CB54" s="3">
        <v>3328.8</v>
      </c>
      <c r="CC54" s="3">
        <v>3335.8</v>
      </c>
      <c r="CD54" s="3">
        <v>3420.4</v>
      </c>
      <c r="CE54" s="3">
        <v>4061.1</v>
      </c>
      <c r="CF54" s="3">
        <v>4293.3999999999996</v>
      </c>
      <c r="CG54" s="3">
        <v>4605</v>
      </c>
      <c r="CH54" s="3">
        <v>4905.3</v>
      </c>
      <c r="CI54" s="3">
        <v>4935.8999999999996</v>
      </c>
      <c r="CJ54" s="3">
        <v>5251.8</v>
      </c>
      <c r="CK54" s="3">
        <v>6038.1</v>
      </c>
      <c r="CL54" s="3">
        <v>6336.8</v>
      </c>
      <c r="CM54" s="3">
        <v>6633.2</v>
      </c>
      <c r="CN54" s="3">
        <v>6721.5</v>
      </c>
      <c r="CO54" s="3">
        <v>7891.3</v>
      </c>
      <c r="CP54" s="3">
        <v>8626.6</v>
      </c>
      <c r="CQ54" s="3">
        <v>8760</v>
      </c>
      <c r="CR54" s="3">
        <v>9183</v>
      </c>
      <c r="CS54" s="3">
        <v>9495.9</v>
      </c>
      <c r="CT54" s="3">
        <v>9945.1</v>
      </c>
    </row>
    <row r="55" spans="1:98">
      <c r="A55" s="4" t="s">
        <v>151</v>
      </c>
      <c r="B55" s="5">
        <v>100</v>
      </c>
      <c r="C55" s="5">
        <v>108.1</v>
      </c>
      <c r="D55" s="5">
        <v>113.9</v>
      </c>
      <c r="E55" s="5">
        <v>116</v>
      </c>
      <c r="F55" s="5">
        <v>118</v>
      </c>
      <c r="G55" s="5">
        <v>139.30000000000001</v>
      </c>
      <c r="H55" s="5">
        <v>144</v>
      </c>
      <c r="I55" s="5">
        <v>146.30000000000001</v>
      </c>
      <c r="J55" s="5">
        <v>146.30000000000001</v>
      </c>
      <c r="K55" s="5">
        <v>147.80000000000001</v>
      </c>
      <c r="L55" s="5">
        <v>149.19999999999999</v>
      </c>
      <c r="M55" s="5">
        <v>156.5</v>
      </c>
      <c r="N55" s="5">
        <v>158</v>
      </c>
      <c r="O55" s="5">
        <v>163.6</v>
      </c>
      <c r="P55" s="5">
        <v>167.6</v>
      </c>
      <c r="Q55" s="5">
        <v>168.1</v>
      </c>
      <c r="R55" s="5">
        <v>168.3</v>
      </c>
      <c r="S55" s="5">
        <v>187.2</v>
      </c>
      <c r="T55" s="5">
        <v>190.6</v>
      </c>
      <c r="U55" s="5">
        <v>193.5</v>
      </c>
      <c r="V55" s="5">
        <v>198.6</v>
      </c>
      <c r="W55" s="5">
        <v>214.4</v>
      </c>
      <c r="X55" s="5">
        <v>218.4</v>
      </c>
      <c r="Y55" s="5">
        <v>216.5</v>
      </c>
      <c r="Z55" s="5">
        <v>216.5</v>
      </c>
      <c r="AA55" s="5">
        <v>218.2</v>
      </c>
      <c r="AB55" s="5">
        <v>218.6</v>
      </c>
      <c r="AC55" s="5">
        <v>231.6</v>
      </c>
      <c r="AD55" s="5">
        <v>232.7</v>
      </c>
      <c r="AE55" s="5">
        <v>253.7</v>
      </c>
      <c r="AF55" s="5">
        <v>253.7</v>
      </c>
      <c r="AG55" s="5">
        <v>253.7</v>
      </c>
      <c r="AH55" s="5">
        <v>291.8</v>
      </c>
      <c r="AI55" s="5">
        <v>297.60000000000002</v>
      </c>
      <c r="AJ55" s="5">
        <v>306.3</v>
      </c>
      <c r="AK55" s="5">
        <v>323.89999999999998</v>
      </c>
      <c r="AL55" s="5">
        <v>344.3</v>
      </c>
      <c r="AM55" s="5">
        <v>378.6</v>
      </c>
      <c r="AN55" s="5">
        <v>396</v>
      </c>
      <c r="AO55" s="5">
        <v>413.1</v>
      </c>
      <c r="AP55" s="5">
        <v>430.3</v>
      </c>
      <c r="AQ55" s="5">
        <v>495.2</v>
      </c>
      <c r="AR55" s="5">
        <v>521.5</v>
      </c>
      <c r="AS55" s="5">
        <v>522.79999999999995</v>
      </c>
      <c r="AT55" s="5">
        <v>522.79999999999995</v>
      </c>
      <c r="AU55" s="5">
        <v>567.20000000000005</v>
      </c>
      <c r="AV55" s="5">
        <v>580.29999999999995</v>
      </c>
      <c r="AW55" s="5">
        <v>582</v>
      </c>
      <c r="AX55" s="5">
        <v>582.6</v>
      </c>
      <c r="AY55" s="5">
        <v>600</v>
      </c>
      <c r="AZ55" s="5">
        <v>614.6</v>
      </c>
      <c r="BA55" s="5">
        <v>626.9</v>
      </c>
      <c r="BB55" s="5">
        <v>626.9</v>
      </c>
      <c r="BC55" s="5">
        <v>626.9</v>
      </c>
      <c r="BD55" s="5">
        <v>661.6</v>
      </c>
      <c r="BE55" s="5">
        <v>684.5</v>
      </c>
      <c r="BF55" s="5">
        <v>690.8</v>
      </c>
      <c r="BG55" s="5">
        <v>725.3</v>
      </c>
      <c r="BH55" s="5">
        <v>746.1</v>
      </c>
      <c r="BI55" s="5">
        <v>753</v>
      </c>
      <c r="BJ55" s="5">
        <v>759.9</v>
      </c>
      <c r="BK55" s="5">
        <v>843.4</v>
      </c>
      <c r="BL55" s="5">
        <v>1109.4000000000001</v>
      </c>
      <c r="BM55" s="5">
        <v>927.1</v>
      </c>
      <c r="BN55" s="5">
        <v>1227.2</v>
      </c>
      <c r="BO55" s="5">
        <v>1025.9000000000001</v>
      </c>
      <c r="BP55" s="5">
        <v>1052.5</v>
      </c>
      <c r="BQ55" s="5">
        <v>1405.1</v>
      </c>
      <c r="BR55" s="5">
        <v>1509.6</v>
      </c>
      <c r="BS55" s="5">
        <v>1772.7</v>
      </c>
      <c r="BT55" s="5">
        <v>1877.6</v>
      </c>
      <c r="BU55" s="5">
        <v>2371.4</v>
      </c>
      <c r="BV55" s="5">
        <v>3379.6</v>
      </c>
      <c r="BW55" s="5">
        <v>2891.4</v>
      </c>
      <c r="BX55" s="5">
        <v>3539.2</v>
      </c>
      <c r="BY55" s="5">
        <v>2966.6</v>
      </c>
      <c r="BZ55" s="5">
        <v>3191.9</v>
      </c>
      <c r="CA55" s="5">
        <v>4654</v>
      </c>
      <c r="CB55" s="5">
        <v>4901.7</v>
      </c>
      <c r="CC55" s="5">
        <v>4990.3</v>
      </c>
      <c r="CD55" s="5">
        <v>5096.3999999999996</v>
      </c>
      <c r="CE55" s="5">
        <v>6345</v>
      </c>
      <c r="CF55" s="5">
        <v>6564.2</v>
      </c>
      <c r="CG55" s="5">
        <v>7032.9</v>
      </c>
      <c r="CH55" s="5">
        <v>7425.4</v>
      </c>
      <c r="CI55" s="5">
        <v>7547.7</v>
      </c>
      <c r="CJ55" s="5">
        <v>7670</v>
      </c>
      <c r="CK55" s="5">
        <v>9104.2999999999993</v>
      </c>
      <c r="CL55" s="5">
        <v>9672</v>
      </c>
      <c r="CM55" s="5">
        <v>10216.5</v>
      </c>
      <c r="CN55" s="5">
        <v>10392.9</v>
      </c>
      <c r="CO55" s="5">
        <v>12804</v>
      </c>
      <c r="CP55" s="5">
        <v>13406.7</v>
      </c>
      <c r="CQ55" s="5">
        <v>13562.6</v>
      </c>
      <c r="CR55" s="5">
        <v>14030</v>
      </c>
      <c r="CS55" s="5">
        <v>14279.4</v>
      </c>
      <c r="CT55" s="5">
        <v>14550</v>
      </c>
    </row>
    <row r="56" spans="1:98">
      <c r="A56" s="2" t="s">
        <v>152</v>
      </c>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v>600</v>
      </c>
      <c r="AR56" s="3">
        <v>605</v>
      </c>
      <c r="AS56" s="3">
        <v>630</v>
      </c>
      <c r="AT56" s="3">
        <v>640</v>
      </c>
      <c r="AU56" s="3">
        <v>716.8</v>
      </c>
      <c r="AV56" s="3">
        <v>716.8</v>
      </c>
      <c r="AW56" s="3">
        <v>723.2</v>
      </c>
      <c r="AX56" s="3">
        <v>723.2</v>
      </c>
      <c r="AY56" s="3">
        <v>723.2</v>
      </c>
      <c r="AZ56" s="3">
        <v>723.2</v>
      </c>
      <c r="BA56" s="3">
        <v>730.4</v>
      </c>
      <c r="BB56" s="3">
        <v>730.4</v>
      </c>
      <c r="BC56" s="3">
        <v>730.4</v>
      </c>
      <c r="BD56" s="3">
        <v>730.4</v>
      </c>
      <c r="BE56" s="3">
        <v>730.4</v>
      </c>
      <c r="BF56" s="3">
        <v>730.4</v>
      </c>
      <c r="BG56" s="3">
        <v>796.2</v>
      </c>
      <c r="BH56" s="3">
        <v>796.2</v>
      </c>
      <c r="BI56" s="3">
        <v>861.9</v>
      </c>
      <c r="BJ56" s="3">
        <v>927.6</v>
      </c>
      <c r="BK56" s="3">
        <v>1020.4</v>
      </c>
      <c r="BL56" s="3">
        <v>1363.6</v>
      </c>
      <c r="BM56" s="3">
        <v>1122.5</v>
      </c>
      <c r="BN56" s="3">
        <v>1419.3</v>
      </c>
      <c r="BO56" s="3">
        <v>1122.5</v>
      </c>
      <c r="BP56" s="3">
        <v>1205.9000000000001</v>
      </c>
      <c r="BQ56" s="3">
        <v>1632.2</v>
      </c>
      <c r="BR56" s="3">
        <v>1632.2</v>
      </c>
      <c r="BS56" s="3">
        <v>1737.2</v>
      </c>
      <c r="BT56" s="3">
        <v>1737.2</v>
      </c>
      <c r="BU56" s="3">
        <v>2171.5</v>
      </c>
      <c r="BV56" s="3">
        <v>2901.2</v>
      </c>
      <c r="BW56" s="3">
        <v>2814.3</v>
      </c>
      <c r="BX56" s="3">
        <v>3109.6</v>
      </c>
      <c r="BY56" s="3">
        <v>2814.3</v>
      </c>
      <c r="BZ56" s="3">
        <v>2814.3</v>
      </c>
      <c r="CA56" s="3">
        <v>3482.8</v>
      </c>
      <c r="CB56" s="3">
        <v>3824.9</v>
      </c>
      <c r="CC56" s="3">
        <v>4664.5</v>
      </c>
      <c r="CD56" s="3">
        <v>4882.1000000000004</v>
      </c>
      <c r="CE56" s="3">
        <v>5370.3</v>
      </c>
      <c r="CF56" s="3">
        <v>5565.6</v>
      </c>
      <c r="CG56" s="3">
        <v>6288.2</v>
      </c>
      <c r="CH56" s="3">
        <v>6420</v>
      </c>
      <c r="CI56" s="3">
        <v>6420</v>
      </c>
      <c r="CJ56" s="3">
        <v>6639.7</v>
      </c>
      <c r="CK56" s="3">
        <v>7077.9</v>
      </c>
      <c r="CL56" s="3">
        <v>7489.6</v>
      </c>
      <c r="CM56" s="3">
        <v>7595.8</v>
      </c>
      <c r="CN56" s="3">
        <v>7595.8</v>
      </c>
      <c r="CO56" s="3">
        <v>8370.6</v>
      </c>
      <c r="CP56" s="3">
        <v>8370.6</v>
      </c>
      <c r="CQ56" s="3">
        <v>8682</v>
      </c>
      <c r="CR56" s="3">
        <v>8682</v>
      </c>
      <c r="CS56" s="3">
        <v>8682</v>
      </c>
      <c r="CT56" s="3">
        <v>8682</v>
      </c>
    </row>
    <row r="57" spans="1:98">
      <c r="A57" s="4" t="s">
        <v>153</v>
      </c>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v>539</v>
      </c>
      <c r="AR57" s="5">
        <v>528</v>
      </c>
      <c r="AS57" s="5">
        <v>528</v>
      </c>
      <c r="AT57" s="5">
        <v>528</v>
      </c>
      <c r="AU57" s="5">
        <v>549.1</v>
      </c>
      <c r="AV57" s="5">
        <v>549.1</v>
      </c>
      <c r="AW57" s="5">
        <v>554.4</v>
      </c>
      <c r="AX57" s="5">
        <v>554.4</v>
      </c>
      <c r="AY57" s="5">
        <v>543.29999999999995</v>
      </c>
      <c r="AZ57" s="5">
        <v>543.29999999999995</v>
      </c>
      <c r="BA57" s="5">
        <v>504.5</v>
      </c>
      <c r="BB57" s="5">
        <v>493.4</v>
      </c>
      <c r="BC57" s="5">
        <v>510.7</v>
      </c>
      <c r="BD57" s="5">
        <v>518.1</v>
      </c>
      <c r="BE57" s="5">
        <v>582.20000000000005</v>
      </c>
      <c r="BF57" s="5">
        <v>602</v>
      </c>
      <c r="BG57" s="5">
        <v>589.9</v>
      </c>
      <c r="BH57" s="5">
        <v>644.1</v>
      </c>
      <c r="BI57" s="5">
        <v>644.1</v>
      </c>
      <c r="BJ57" s="5">
        <v>710.3</v>
      </c>
      <c r="BK57" s="5">
        <v>781.4</v>
      </c>
      <c r="BL57" s="5">
        <v>1044.2</v>
      </c>
      <c r="BM57" s="5">
        <v>838.2</v>
      </c>
      <c r="BN57" s="5">
        <v>994.5</v>
      </c>
      <c r="BO57" s="5">
        <v>944.7</v>
      </c>
      <c r="BP57" s="5">
        <v>987.3</v>
      </c>
      <c r="BQ57" s="5">
        <v>1272.9000000000001</v>
      </c>
      <c r="BR57" s="5">
        <v>1163.5</v>
      </c>
      <c r="BS57" s="5">
        <v>1183.4000000000001</v>
      </c>
      <c r="BT57" s="5">
        <v>1402.2</v>
      </c>
      <c r="BU57" s="5">
        <v>1598.5</v>
      </c>
      <c r="BV57" s="5">
        <v>2650.1</v>
      </c>
      <c r="BW57" s="5">
        <v>2131.3000000000002</v>
      </c>
      <c r="BX57" s="5">
        <v>2916.5</v>
      </c>
      <c r="BY57" s="5">
        <v>2313.6</v>
      </c>
      <c r="BZ57" s="5">
        <v>2523.9</v>
      </c>
      <c r="CA57" s="5">
        <v>3645.7</v>
      </c>
      <c r="CB57" s="5">
        <v>3995.6</v>
      </c>
      <c r="CC57" s="5">
        <v>3558.2</v>
      </c>
      <c r="CD57" s="5">
        <v>3441.5</v>
      </c>
      <c r="CE57" s="5">
        <v>3613.6</v>
      </c>
      <c r="CF57" s="5">
        <v>3448.4</v>
      </c>
      <c r="CG57" s="5">
        <v>3510.3</v>
      </c>
      <c r="CH57" s="5">
        <v>4023.1</v>
      </c>
      <c r="CI57" s="5">
        <v>4287.8999999999996</v>
      </c>
      <c r="CJ57" s="5">
        <v>4859.3999999999996</v>
      </c>
      <c r="CK57" s="5">
        <v>5214.1000000000004</v>
      </c>
      <c r="CL57" s="5">
        <v>5063.5</v>
      </c>
      <c r="CM57" s="5">
        <v>5170.3999999999996</v>
      </c>
      <c r="CN57" s="5">
        <v>5389.1</v>
      </c>
      <c r="CO57" s="5">
        <v>5836.4</v>
      </c>
      <c r="CP57" s="5">
        <v>5669.3</v>
      </c>
      <c r="CQ57" s="5">
        <v>5507.7</v>
      </c>
      <c r="CR57" s="5">
        <v>5626.2</v>
      </c>
      <c r="CS57" s="5">
        <v>5922.6</v>
      </c>
      <c r="CT57" s="5">
        <v>6149</v>
      </c>
    </row>
    <row r="58" spans="1:98">
      <c r="A58" s="2" t="s">
        <v>154</v>
      </c>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v>475.6</v>
      </c>
      <c r="AR58" s="3">
        <v>487.9</v>
      </c>
      <c r="AS58" s="3">
        <v>487.9</v>
      </c>
      <c r="AT58" s="3">
        <v>487.9</v>
      </c>
      <c r="AU58" s="3">
        <v>487.9</v>
      </c>
      <c r="AV58" s="3">
        <v>487.9</v>
      </c>
      <c r="AW58" s="3">
        <v>487.9</v>
      </c>
      <c r="AX58" s="3">
        <v>487.9</v>
      </c>
      <c r="AY58" s="3">
        <v>487.9</v>
      </c>
      <c r="AZ58" s="3">
        <v>487.9</v>
      </c>
      <c r="BA58" s="3">
        <v>487.9</v>
      </c>
      <c r="BB58" s="3">
        <v>487.9</v>
      </c>
      <c r="BC58" s="3">
        <v>487.9</v>
      </c>
      <c r="BD58" s="3">
        <v>487.9</v>
      </c>
      <c r="BE58" s="3">
        <v>487.9</v>
      </c>
      <c r="BF58" s="3">
        <v>487.9</v>
      </c>
      <c r="BG58" s="3">
        <v>561.1</v>
      </c>
      <c r="BH58" s="3">
        <v>595.20000000000005</v>
      </c>
      <c r="BI58" s="3">
        <v>595.20000000000005</v>
      </c>
      <c r="BJ58" s="3">
        <v>595.20000000000005</v>
      </c>
      <c r="BK58" s="3">
        <v>702.3</v>
      </c>
      <c r="BL58" s="3">
        <v>1071.4000000000001</v>
      </c>
      <c r="BM58" s="3">
        <v>940.4</v>
      </c>
      <c r="BN58" s="3">
        <v>1154.7</v>
      </c>
      <c r="BO58" s="3">
        <v>1017.8</v>
      </c>
      <c r="BP58" s="3">
        <v>1041.5999999999999</v>
      </c>
      <c r="BQ58" s="3">
        <v>1385.6</v>
      </c>
      <c r="BR58" s="3">
        <v>1385.6</v>
      </c>
      <c r="BS58" s="3">
        <v>1558.8</v>
      </c>
      <c r="BT58" s="3">
        <v>1616.9</v>
      </c>
      <c r="BU58" s="3">
        <v>2069.6</v>
      </c>
      <c r="BV58" s="3">
        <v>2435</v>
      </c>
      <c r="BW58" s="3">
        <v>2263.6999999999998</v>
      </c>
      <c r="BX58" s="3">
        <v>2435</v>
      </c>
      <c r="BY58" s="3">
        <v>2344.5</v>
      </c>
      <c r="BZ58" s="3">
        <v>2700.2</v>
      </c>
      <c r="CA58" s="3">
        <v>2810</v>
      </c>
      <c r="CB58" s="3">
        <v>3433.4</v>
      </c>
      <c r="CC58" s="3">
        <v>3547.8</v>
      </c>
      <c r="CD58" s="3">
        <v>3788.9</v>
      </c>
      <c r="CE58" s="3">
        <v>4546.7</v>
      </c>
      <c r="CF58" s="3">
        <v>4736.1000000000004</v>
      </c>
      <c r="CG58" s="3">
        <v>5221.1000000000004</v>
      </c>
      <c r="CH58" s="3">
        <v>5664.4</v>
      </c>
      <c r="CI58" s="3">
        <v>5717.5</v>
      </c>
      <c r="CJ58" s="3">
        <v>6361.6</v>
      </c>
      <c r="CK58" s="3">
        <v>7379.5</v>
      </c>
      <c r="CL58" s="3">
        <v>7665.7</v>
      </c>
      <c r="CM58" s="3">
        <v>7379.5</v>
      </c>
      <c r="CN58" s="3">
        <v>7697.5</v>
      </c>
      <c r="CO58" s="3">
        <v>8536.5</v>
      </c>
      <c r="CP58" s="3">
        <v>9306.2999999999993</v>
      </c>
      <c r="CQ58" s="3">
        <v>9306.2999999999993</v>
      </c>
      <c r="CR58" s="3">
        <v>9467.9</v>
      </c>
      <c r="CS58" s="3">
        <v>9467.9</v>
      </c>
      <c r="CT58" s="3">
        <v>9852.7999999999993</v>
      </c>
    </row>
    <row r="59" spans="1:98">
      <c r="A59" s="4" t="s">
        <v>155</v>
      </c>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v>486</v>
      </c>
      <c r="AR59" s="5">
        <v>486</v>
      </c>
      <c r="AS59" s="5">
        <v>486</v>
      </c>
      <c r="AT59" s="5">
        <v>486</v>
      </c>
      <c r="AU59" s="5">
        <v>524.9</v>
      </c>
      <c r="AV59" s="5">
        <v>524.9</v>
      </c>
      <c r="AW59" s="5">
        <v>539.5</v>
      </c>
      <c r="AX59" s="5">
        <v>539.5</v>
      </c>
      <c r="AY59" s="5">
        <v>539.5</v>
      </c>
      <c r="AZ59" s="5">
        <v>539.5</v>
      </c>
      <c r="BA59" s="5">
        <v>531.9</v>
      </c>
      <c r="BB59" s="5">
        <v>531.9</v>
      </c>
      <c r="BC59" s="5">
        <v>531.9</v>
      </c>
      <c r="BD59" s="5">
        <v>531.9</v>
      </c>
      <c r="BE59" s="5">
        <v>521.29999999999995</v>
      </c>
      <c r="BF59" s="5">
        <v>521.29999999999995</v>
      </c>
      <c r="BG59" s="5">
        <v>536.9</v>
      </c>
      <c r="BH59" s="5">
        <v>536.9</v>
      </c>
      <c r="BI59" s="5">
        <v>557.79999999999995</v>
      </c>
      <c r="BJ59" s="5">
        <v>609.9</v>
      </c>
      <c r="BK59" s="5">
        <v>731.9</v>
      </c>
      <c r="BL59" s="5">
        <v>1189.4000000000001</v>
      </c>
      <c r="BM59" s="5">
        <v>914.9</v>
      </c>
      <c r="BN59" s="5">
        <v>1189.4000000000001</v>
      </c>
      <c r="BO59" s="5">
        <v>1219.9000000000001</v>
      </c>
      <c r="BP59" s="5">
        <v>1219.9000000000001</v>
      </c>
      <c r="BQ59" s="5">
        <v>1486.7</v>
      </c>
      <c r="BR59" s="5">
        <v>1462.9</v>
      </c>
      <c r="BS59" s="5">
        <v>1546.2</v>
      </c>
      <c r="BT59" s="5">
        <v>1605.6</v>
      </c>
      <c r="BU59" s="5">
        <v>1926.8</v>
      </c>
      <c r="BV59" s="5">
        <v>2938.3</v>
      </c>
      <c r="BW59" s="5">
        <v>2649.3</v>
      </c>
      <c r="BX59" s="5">
        <v>2938.3</v>
      </c>
      <c r="BY59" s="5">
        <v>2649.3</v>
      </c>
      <c r="BZ59" s="5">
        <v>2729.6</v>
      </c>
      <c r="CA59" s="5">
        <v>3790.4</v>
      </c>
      <c r="CB59" s="5">
        <v>3790.4</v>
      </c>
      <c r="CC59" s="5">
        <v>3819.8</v>
      </c>
      <c r="CD59" s="5">
        <v>4025.5</v>
      </c>
      <c r="CE59" s="5">
        <v>4387.8</v>
      </c>
      <c r="CF59" s="5">
        <v>5031.8999999999996</v>
      </c>
      <c r="CG59" s="5">
        <v>5233.2</v>
      </c>
      <c r="CH59" s="5">
        <v>5609.5</v>
      </c>
      <c r="CI59" s="5">
        <v>6646.1</v>
      </c>
      <c r="CJ59" s="5">
        <v>7056.7</v>
      </c>
      <c r="CK59" s="5">
        <v>6703.9</v>
      </c>
      <c r="CL59" s="5">
        <v>6732.1</v>
      </c>
      <c r="CM59" s="5">
        <v>6732.1</v>
      </c>
      <c r="CN59" s="5">
        <v>6901.5</v>
      </c>
      <c r="CO59" s="5">
        <v>8247.2999999999993</v>
      </c>
      <c r="CP59" s="5">
        <v>9172.1</v>
      </c>
      <c r="CQ59" s="5">
        <v>7847</v>
      </c>
      <c r="CR59" s="5">
        <v>10124.5</v>
      </c>
      <c r="CS59" s="5">
        <v>10124.5</v>
      </c>
      <c r="CT59" s="5">
        <v>10124.5</v>
      </c>
    </row>
    <row r="60" spans="1:98">
      <c r="A60" s="2" t="s">
        <v>156</v>
      </c>
      <c r="B60" s="3">
        <v>100</v>
      </c>
      <c r="C60" s="3">
        <v>109</v>
      </c>
      <c r="D60" s="3">
        <v>112.7</v>
      </c>
      <c r="E60" s="3">
        <v>115.1</v>
      </c>
      <c r="F60" s="3">
        <v>117.7</v>
      </c>
      <c r="G60" s="3">
        <v>136.69999999999999</v>
      </c>
      <c r="H60" s="3">
        <v>141</v>
      </c>
      <c r="I60" s="3">
        <v>144</v>
      </c>
      <c r="J60" s="3">
        <v>143.9</v>
      </c>
      <c r="K60" s="3">
        <v>152.30000000000001</v>
      </c>
      <c r="L60" s="3">
        <v>154.69999999999999</v>
      </c>
      <c r="M60" s="3">
        <v>158.30000000000001</v>
      </c>
      <c r="N60" s="3">
        <v>159.4</v>
      </c>
      <c r="O60" s="3">
        <v>171.3</v>
      </c>
      <c r="P60" s="3">
        <v>173</v>
      </c>
      <c r="Q60" s="3">
        <v>173.9</v>
      </c>
      <c r="R60" s="3">
        <v>174.2</v>
      </c>
      <c r="S60" s="3">
        <v>191.5</v>
      </c>
      <c r="T60" s="3">
        <v>193.9</v>
      </c>
      <c r="U60" s="3">
        <v>201.7</v>
      </c>
      <c r="V60" s="3">
        <v>207.5</v>
      </c>
      <c r="W60" s="3">
        <v>228.3</v>
      </c>
      <c r="X60" s="3">
        <v>231.3</v>
      </c>
      <c r="Y60" s="3">
        <v>233.5</v>
      </c>
      <c r="Z60" s="3">
        <v>233.9</v>
      </c>
      <c r="AA60" s="3">
        <v>248.8</v>
      </c>
      <c r="AB60" s="3">
        <v>252.5</v>
      </c>
      <c r="AC60" s="3">
        <v>255.1</v>
      </c>
      <c r="AD60" s="3">
        <v>257.5</v>
      </c>
      <c r="AE60" s="3">
        <v>273.8</v>
      </c>
      <c r="AF60" s="3">
        <v>275.5</v>
      </c>
      <c r="AG60" s="3">
        <v>279.8</v>
      </c>
      <c r="AH60" s="3">
        <v>318.2</v>
      </c>
      <c r="AI60" s="3">
        <v>333.1</v>
      </c>
      <c r="AJ60" s="3">
        <v>344.7</v>
      </c>
      <c r="AK60" s="3">
        <v>357.2</v>
      </c>
      <c r="AL60" s="3">
        <v>369.4</v>
      </c>
      <c r="AM60" s="3">
        <v>406.1</v>
      </c>
      <c r="AN60" s="3">
        <v>427.7</v>
      </c>
      <c r="AO60" s="3">
        <v>464.5</v>
      </c>
      <c r="AP60" s="3">
        <v>481.2</v>
      </c>
      <c r="AQ60" s="3">
        <v>534.20000000000005</v>
      </c>
      <c r="AR60" s="3">
        <v>545.9</v>
      </c>
      <c r="AS60" s="3">
        <v>556.9</v>
      </c>
      <c r="AT60" s="3">
        <v>567.9</v>
      </c>
      <c r="AU60" s="3">
        <v>646.1</v>
      </c>
      <c r="AV60" s="3">
        <v>658.6</v>
      </c>
      <c r="AW60" s="3">
        <v>666.7</v>
      </c>
      <c r="AX60" s="3">
        <v>674.6</v>
      </c>
      <c r="AY60" s="3">
        <v>731.6</v>
      </c>
      <c r="AZ60" s="3">
        <v>736.9</v>
      </c>
      <c r="BA60" s="3">
        <v>740.8</v>
      </c>
      <c r="BB60" s="3">
        <v>744</v>
      </c>
      <c r="BC60" s="3">
        <v>792.9</v>
      </c>
      <c r="BD60" s="3">
        <v>800.5</v>
      </c>
      <c r="BE60" s="3">
        <v>808</v>
      </c>
      <c r="BF60" s="3">
        <v>815.3</v>
      </c>
      <c r="BG60" s="3">
        <v>879</v>
      </c>
      <c r="BH60" s="3">
        <v>881.7</v>
      </c>
      <c r="BI60" s="3">
        <v>900.4</v>
      </c>
      <c r="BJ60" s="3">
        <v>909</v>
      </c>
      <c r="BK60" s="3">
        <v>1029.5</v>
      </c>
      <c r="BL60" s="3">
        <v>1191.2</v>
      </c>
      <c r="BM60" s="3">
        <v>1110.5999999999999</v>
      </c>
      <c r="BN60" s="3">
        <v>1237.0999999999999</v>
      </c>
      <c r="BO60" s="3">
        <v>1145</v>
      </c>
      <c r="BP60" s="3">
        <v>1174.2</v>
      </c>
      <c r="BQ60" s="3">
        <v>1472.8</v>
      </c>
      <c r="BR60" s="3">
        <v>1552.1</v>
      </c>
      <c r="BS60" s="3">
        <v>1613.9</v>
      </c>
      <c r="BT60" s="3">
        <v>1681.2</v>
      </c>
      <c r="BU60" s="3">
        <v>2039.1</v>
      </c>
      <c r="BV60" s="3">
        <v>2734.3</v>
      </c>
      <c r="BW60" s="3">
        <v>2308.9</v>
      </c>
      <c r="BX60" s="3">
        <v>2884.2</v>
      </c>
      <c r="BY60" s="3">
        <v>2364.9</v>
      </c>
      <c r="BZ60" s="3">
        <v>2482.1</v>
      </c>
      <c r="CA60" s="3">
        <v>3746.7</v>
      </c>
      <c r="CB60" s="3">
        <v>3997.9</v>
      </c>
      <c r="CC60" s="3">
        <v>4025.4</v>
      </c>
      <c r="CD60" s="3">
        <v>4113.5</v>
      </c>
      <c r="CE60" s="3">
        <v>5165.6000000000004</v>
      </c>
      <c r="CF60" s="3">
        <v>5297.3</v>
      </c>
      <c r="CG60" s="3">
        <v>5714.8</v>
      </c>
      <c r="CH60" s="3">
        <v>6014.2</v>
      </c>
      <c r="CI60" s="3">
        <v>6016.7</v>
      </c>
      <c r="CJ60" s="3">
        <v>6028.8</v>
      </c>
      <c r="CK60" s="3">
        <v>7311.1</v>
      </c>
      <c r="CL60" s="3">
        <v>7615.6</v>
      </c>
      <c r="CM60" s="3">
        <v>7760.4</v>
      </c>
      <c r="CN60" s="3">
        <v>7980</v>
      </c>
      <c r="CO60" s="3">
        <v>9751.1</v>
      </c>
      <c r="CP60" s="3">
        <v>10191.799999999999</v>
      </c>
      <c r="CQ60" s="3">
        <v>10219.4</v>
      </c>
      <c r="CR60" s="3">
        <v>10793.9</v>
      </c>
      <c r="CS60" s="3">
        <v>10934.7</v>
      </c>
      <c r="CT60" s="3">
        <v>11090.3</v>
      </c>
    </row>
    <row r="61" spans="1:98">
      <c r="A61" s="4" t="s">
        <v>157</v>
      </c>
      <c r="B61" s="5">
        <v>100</v>
      </c>
      <c r="C61" s="5">
        <v>108.9</v>
      </c>
      <c r="D61" s="5">
        <v>112.6</v>
      </c>
      <c r="E61" s="5">
        <v>115.1</v>
      </c>
      <c r="F61" s="5">
        <v>118</v>
      </c>
      <c r="G61" s="5">
        <v>137.69999999999999</v>
      </c>
      <c r="H61" s="5">
        <v>142.19999999999999</v>
      </c>
      <c r="I61" s="5">
        <v>145.4</v>
      </c>
      <c r="J61" s="5">
        <v>145.1</v>
      </c>
      <c r="K61" s="5">
        <v>153.30000000000001</v>
      </c>
      <c r="L61" s="5">
        <v>155.69999999999999</v>
      </c>
      <c r="M61" s="5">
        <v>159.6</v>
      </c>
      <c r="N61" s="5">
        <v>160.69999999999999</v>
      </c>
      <c r="O61" s="5">
        <v>172.1</v>
      </c>
      <c r="P61" s="5">
        <v>173.8</v>
      </c>
      <c r="Q61" s="5">
        <v>174.6</v>
      </c>
      <c r="R61" s="5">
        <v>174.9</v>
      </c>
      <c r="S61" s="5">
        <v>192.4</v>
      </c>
      <c r="T61" s="5">
        <v>194.9</v>
      </c>
      <c r="U61" s="5">
        <v>202.6</v>
      </c>
      <c r="V61" s="5">
        <v>208.7</v>
      </c>
      <c r="W61" s="5">
        <v>229</v>
      </c>
      <c r="X61" s="5">
        <v>232.2</v>
      </c>
      <c r="Y61" s="5">
        <v>233.5</v>
      </c>
      <c r="Z61" s="5">
        <v>233.8</v>
      </c>
      <c r="AA61" s="5">
        <v>247.2</v>
      </c>
      <c r="AB61" s="5">
        <v>251.1</v>
      </c>
      <c r="AC61" s="5">
        <v>253.3</v>
      </c>
      <c r="AD61" s="5">
        <v>255.4</v>
      </c>
      <c r="AE61" s="5">
        <v>271.2</v>
      </c>
      <c r="AF61" s="5">
        <v>272.8</v>
      </c>
      <c r="AG61" s="5">
        <v>276.5</v>
      </c>
      <c r="AH61" s="5">
        <v>321.2</v>
      </c>
      <c r="AI61" s="5">
        <v>334.6</v>
      </c>
      <c r="AJ61" s="5">
        <v>347.1</v>
      </c>
      <c r="AK61" s="5">
        <v>360.6</v>
      </c>
      <c r="AL61" s="5">
        <v>374.5</v>
      </c>
      <c r="AM61" s="5">
        <v>410.8</v>
      </c>
      <c r="AN61" s="5">
        <v>433.2</v>
      </c>
      <c r="AO61" s="5">
        <v>473.4</v>
      </c>
      <c r="AP61" s="5">
        <v>491.8</v>
      </c>
      <c r="AQ61" s="5">
        <v>543.6</v>
      </c>
      <c r="AR61" s="5">
        <v>555.6</v>
      </c>
      <c r="AS61" s="5">
        <v>565.9</v>
      </c>
      <c r="AT61" s="5">
        <v>576.5</v>
      </c>
      <c r="AU61" s="5">
        <v>652.4</v>
      </c>
      <c r="AV61" s="5">
        <v>665.5</v>
      </c>
      <c r="AW61" s="5">
        <v>673.4</v>
      </c>
      <c r="AX61" s="5">
        <v>680.6</v>
      </c>
      <c r="AY61" s="5">
        <v>734.2</v>
      </c>
      <c r="AZ61" s="5">
        <v>739.6</v>
      </c>
      <c r="BA61" s="5">
        <v>743.3</v>
      </c>
      <c r="BB61" s="5">
        <v>745.9</v>
      </c>
      <c r="BC61" s="5">
        <v>792.1</v>
      </c>
      <c r="BD61" s="5">
        <v>799.8</v>
      </c>
      <c r="BE61" s="5">
        <v>807.4</v>
      </c>
      <c r="BF61" s="5">
        <v>814.6</v>
      </c>
      <c r="BG61" s="5">
        <v>875.3</v>
      </c>
      <c r="BH61" s="5">
        <v>878.7</v>
      </c>
      <c r="BI61" s="5">
        <v>898.2</v>
      </c>
      <c r="BJ61" s="5">
        <v>907.2</v>
      </c>
      <c r="BK61" s="5">
        <v>1023.8</v>
      </c>
      <c r="BL61" s="5">
        <v>1205.9000000000001</v>
      </c>
      <c r="BM61" s="5">
        <v>1112.7</v>
      </c>
      <c r="BN61" s="5">
        <v>1258.3</v>
      </c>
      <c r="BO61" s="5">
        <v>1154.4000000000001</v>
      </c>
      <c r="BP61" s="5">
        <v>1188</v>
      </c>
      <c r="BQ61" s="5">
        <v>1488.2</v>
      </c>
      <c r="BR61" s="5">
        <v>1570.5</v>
      </c>
      <c r="BS61" s="5">
        <v>1644.1</v>
      </c>
      <c r="BT61" s="5">
        <v>1718.2</v>
      </c>
      <c r="BU61" s="5">
        <v>2078.5</v>
      </c>
      <c r="BV61" s="5">
        <v>2842.6</v>
      </c>
      <c r="BW61" s="5">
        <v>2374.1999999999998</v>
      </c>
      <c r="BX61" s="5">
        <v>3004.1</v>
      </c>
      <c r="BY61" s="5">
        <v>2440.6</v>
      </c>
      <c r="BZ61" s="5">
        <v>2578.4</v>
      </c>
      <c r="CA61" s="5">
        <v>3885.1</v>
      </c>
      <c r="CB61" s="5">
        <v>4167.7</v>
      </c>
      <c r="CC61" s="5">
        <v>4199.3</v>
      </c>
      <c r="CD61" s="5">
        <v>4306.5</v>
      </c>
      <c r="CE61" s="5">
        <v>5383.1</v>
      </c>
      <c r="CF61" s="5">
        <v>5529.4</v>
      </c>
      <c r="CG61" s="5">
        <v>5965.7</v>
      </c>
      <c r="CH61" s="5">
        <v>6288.1</v>
      </c>
      <c r="CI61" s="5">
        <v>6292.5</v>
      </c>
      <c r="CJ61" s="5">
        <v>6313.4</v>
      </c>
      <c r="CK61" s="5">
        <v>7620.8</v>
      </c>
      <c r="CL61" s="5">
        <v>7951.8</v>
      </c>
      <c r="CM61" s="5">
        <v>8106.6</v>
      </c>
      <c r="CN61" s="5">
        <v>8342.2999999999993</v>
      </c>
      <c r="CO61" s="5">
        <v>10144.6</v>
      </c>
      <c r="CP61" s="5">
        <v>10616.8</v>
      </c>
      <c r="CQ61" s="5">
        <v>10655.4</v>
      </c>
      <c r="CR61" s="5">
        <v>11268.4</v>
      </c>
      <c r="CS61" s="5">
        <v>11432.6</v>
      </c>
      <c r="CT61" s="5">
        <v>11606.6</v>
      </c>
    </row>
    <row r="62" spans="1:98">
      <c r="A62" s="2" t="s">
        <v>158</v>
      </c>
      <c r="B62" s="3">
        <v>100</v>
      </c>
      <c r="C62" s="3">
        <v>108.7</v>
      </c>
      <c r="D62" s="3">
        <v>112.4</v>
      </c>
      <c r="E62" s="3">
        <v>114.9</v>
      </c>
      <c r="F62" s="3">
        <v>117.7</v>
      </c>
      <c r="G62" s="3">
        <v>137.30000000000001</v>
      </c>
      <c r="H62" s="3">
        <v>141.6</v>
      </c>
      <c r="I62" s="3">
        <v>144.4</v>
      </c>
      <c r="J62" s="3">
        <v>144.30000000000001</v>
      </c>
      <c r="K62" s="3">
        <v>152.4</v>
      </c>
      <c r="L62" s="3">
        <v>154.9</v>
      </c>
      <c r="M62" s="3">
        <v>158.69999999999999</v>
      </c>
      <c r="N62" s="3">
        <v>159.9</v>
      </c>
      <c r="O62" s="3">
        <v>171</v>
      </c>
      <c r="P62" s="3">
        <v>172.6</v>
      </c>
      <c r="Q62" s="3">
        <v>173.4</v>
      </c>
      <c r="R62" s="3">
        <v>173.7</v>
      </c>
      <c r="S62" s="3">
        <v>189.8</v>
      </c>
      <c r="T62" s="3">
        <v>192.4</v>
      </c>
      <c r="U62" s="3">
        <v>200.4</v>
      </c>
      <c r="V62" s="3">
        <v>206.9</v>
      </c>
      <c r="W62" s="3">
        <v>226.6</v>
      </c>
      <c r="X62" s="3">
        <v>230.2</v>
      </c>
      <c r="Y62" s="3">
        <v>232.2</v>
      </c>
      <c r="Z62" s="3">
        <v>231.8</v>
      </c>
      <c r="AA62" s="3">
        <v>244.6</v>
      </c>
      <c r="AB62" s="3">
        <v>248.6</v>
      </c>
      <c r="AC62" s="3">
        <v>250.7</v>
      </c>
      <c r="AD62" s="3">
        <v>252.7</v>
      </c>
      <c r="AE62" s="3">
        <v>268.60000000000002</v>
      </c>
      <c r="AF62" s="3">
        <v>270.10000000000002</v>
      </c>
      <c r="AG62" s="3">
        <v>273.2</v>
      </c>
      <c r="AH62" s="3">
        <v>322</v>
      </c>
      <c r="AI62" s="3">
        <v>334.4</v>
      </c>
      <c r="AJ62" s="3">
        <v>346.8</v>
      </c>
      <c r="AK62" s="3">
        <v>361.8</v>
      </c>
      <c r="AL62" s="3">
        <v>376.2</v>
      </c>
      <c r="AM62" s="3">
        <v>412.2</v>
      </c>
      <c r="AN62" s="3">
        <v>435.3</v>
      </c>
      <c r="AO62" s="3">
        <v>479.8</v>
      </c>
      <c r="AP62" s="3">
        <v>500</v>
      </c>
      <c r="AQ62" s="3">
        <v>550.6</v>
      </c>
      <c r="AR62" s="3">
        <v>562.29999999999995</v>
      </c>
      <c r="AS62" s="3">
        <v>573.6</v>
      </c>
      <c r="AT62" s="3">
        <v>583.6</v>
      </c>
      <c r="AU62" s="3">
        <v>657.8</v>
      </c>
      <c r="AV62" s="3">
        <v>670.6</v>
      </c>
      <c r="AW62" s="3">
        <v>677.8</v>
      </c>
      <c r="AX62" s="3">
        <v>685.1</v>
      </c>
      <c r="AY62" s="3">
        <v>738.6</v>
      </c>
      <c r="AZ62" s="3">
        <v>743.5</v>
      </c>
      <c r="BA62" s="3">
        <v>746.2</v>
      </c>
      <c r="BB62" s="3">
        <v>748.5</v>
      </c>
      <c r="BC62" s="3">
        <v>794.5</v>
      </c>
      <c r="BD62" s="3">
        <v>802.2</v>
      </c>
      <c r="BE62" s="3">
        <v>809.5</v>
      </c>
      <c r="BF62" s="3">
        <v>816.8</v>
      </c>
      <c r="BG62" s="3">
        <v>877</v>
      </c>
      <c r="BH62" s="3">
        <v>879.6</v>
      </c>
      <c r="BI62" s="3">
        <v>899.1</v>
      </c>
      <c r="BJ62" s="3">
        <v>907.6</v>
      </c>
      <c r="BK62" s="3">
        <v>1022.3</v>
      </c>
      <c r="BL62" s="3">
        <v>1219.8</v>
      </c>
      <c r="BM62" s="3">
        <v>1117</v>
      </c>
      <c r="BN62" s="3">
        <v>1277.5999999999999</v>
      </c>
      <c r="BO62" s="3">
        <v>1158.4000000000001</v>
      </c>
      <c r="BP62" s="3">
        <v>1194.9000000000001</v>
      </c>
      <c r="BQ62" s="3">
        <v>1503.8</v>
      </c>
      <c r="BR62" s="3">
        <v>1589.1</v>
      </c>
      <c r="BS62" s="3">
        <v>1659.1</v>
      </c>
      <c r="BT62" s="3">
        <v>1735.2</v>
      </c>
      <c r="BU62" s="3">
        <v>2090.1999999999998</v>
      </c>
      <c r="BV62" s="3">
        <v>2874.8</v>
      </c>
      <c r="BW62" s="3">
        <v>2390.9</v>
      </c>
      <c r="BX62" s="3">
        <v>3036</v>
      </c>
      <c r="BY62" s="3">
        <v>2461.3000000000002</v>
      </c>
      <c r="BZ62" s="3">
        <v>2612.4</v>
      </c>
      <c r="CA62" s="3">
        <v>3926.8</v>
      </c>
      <c r="CB62" s="3">
        <v>4213.3</v>
      </c>
      <c r="CC62" s="3">
        <v>4247.3999999999996</v>
      </c>
      <c r="CD62" s="3">
        <v>4356.5</v>
      </c>
      <c r="CE62" s="3">
        <v>5461.8</v>
      </c>
      <c r="CF62" s="3">
        <v>5614.7</v>
      </c>
      <c r="CG62" s="3">
        <v>6015.2</v>
      </c>
      <c r="CH62" s="3">
        <v>6358.4</v>
      </c>
      <c r="CI62" s="3">
        <v>6368.2</v>
      </c>
      <c r="CJ62" s="3">
        <v>6394.3</v>
      </c>
      <c r="CK62" s="3">
        <v>7721.9</v>
      </c>
      <c r="CL62" s="3">
        <v>8059.7</v>
      </c>
      <c r="CM62" s="3">
        <v>8195.7999999999993</v>
      </c>
      <c r="CN62" s="3">
        <v>8439.2000000000007</v>
      </c>
      <c r="CO62" s="3">
        <v>10241.6</v>
      </c>
      <c r="CP62" s="3">
        <v>10726.6</v>
      </c>
      <c r="CQ62" s="3">
        <v>10754.9</v>
      </c>
      <c r="CR62" s="3">
        <v>11398.3</v>
      </c>
      <c r="CS62" s="3">
        <v>11547.8</v>
      </c>
      <c r="CT62" s="3">
        <v>11717.9</v>
      </c>
    </row>
    <row r="63" spans="1:98">
      <c r="A63" s="4" t="s">
        <v>159</v>
      </c>
      <c r="B63" s="5">
        <v>100</v>
      </c>
      <c r="C63" s="5">
        <v>108.8</v>
      </c>
      <c r="D63" s="5">
        <v>112.7</v>
      </c>
      <c r="E63" s="5">
        <v>115.2</v>
      </c>
      <c r="F63" s="5">
        <v>118</v>
      </c>
      <c r="G63" s="5">
        <v>137.9</v>
      </c>
      <c r="H63" s="5">
        <v>142.4</v>
      </c>
      <c r="I63" s="5">
        <v>145.5</v>
      </c>
      <c r="J63" s="5">
        <v>145.19999999999999</v>
      </c>
      <c r="K63" s="5">
        <v>153.4</v>
      </c>
      <c r="L63" s="5">
        <v>156</v>
      </c>
      <c r="M63" s="5">
        <v>159.80000000000001</v>
      </c>
      <c r="N63" s="5">
        <v>160.9</v>
      </c>
      <c r="O63" s="5">
        <v>172.1</v>
      </c>
      <c r="P63" s="5">
        <v>173.7</v>
      </c>
      <c r="Q63" s="5">
        <v>174.6</v>
      </c>
      <c r="R63" s="5">
        <v>174.8</v>
      </c>
      <c r="S63" s="5">
        <v>191.9</v>
      </c>
      <c r="T63" s="5">
        <v>194.3</v>
      </c>
      <c r="U63" s="5">
        <v>201.9</v>
      </c>
      <c r="V63" s="5">
        <v>208.2</v>
      </c>
      <c r="W63" s="5">
        <v>228.3</v>
      </c>
      <c r="X63" s="5">
        <v>231.4</v>
      </c>
      <c r="Y63" s="5">
        <v>232.8</v>
      </c>
      <c r="Z63" s="5">
        <v>233.2</v>
      </c>
      <c r="AA63" s="5">
        <v>246.1</v>
      </c>
      <c r="AB63" s="5">
        <v>250.1</v>
      </c>
      <c r="AC63" s="5">
        <v>252.3</v>
      </c>
      <c r="AD63" s="5">
        <v>254.3</v>
      </c>
      <c r="AE63" s="5">
        <v>270</v>
      </c>
      <c r="AF63" s="5">
        <v>271.60000000000002</v>
      </c>
      <c r="AG63" s="5">
        <v>274.8</v>
      </c>
      <c r="AH63" s="5">
        <v>321.89999999999998</v>
      </c>
      <c r="AI63" s="5">
        <v>334.4</v>
      </c>
      <c r="AJ63" s="5">
        <v>347.1</v>
      </c>
      <c r="AK63" s="5">
        <v>361.5</v>
      </c>
      <c r="AL63" s="5">
        <v>376</v>
      </c>
      <c r="AM63" s="5">
        <v>411.7</v>
      </c>
      <c r="AN63" s="5">
        <v>434.7</v>
      </c>
      <c r="AO63" s="5">
        <v>476.5</v>
      </c>
      <c r="AP63" s="5">
        <v>495.6</v>
      </c>
      <c r="AQ63" s="5">
        <v>546.5</v>
      </c>
      <c r="AR63" s="5">
        <v>558.9</v>
      </c>
      <c r="AS63" s="5">
        <v>569.5</v>
      </c>
      <c r="AT63" s="5">
        <v>580.29999999999995</v>
      </c>
      <c r="AU63" s="5">
        <v>654.70000000000005</v>
      </c>
      <c r="AV63" s="5">
        <v>667.9</v>
      </c>
      <c r="AW63" s="5">
        <v>675.5</v>
      </c>
      <c r="AX63" s="5">
        <v>682.7</v>
      </c>
      <c r="AY63" s="5">
        <v>736</v>
      </c>
      <c r="AZ63" s="5">
        <v>741.2</v>
      </c>
      <c r="BA63" s="5">
        <v>744.5</v>
      </c>
      <c r="BB63" s="5">
        <v>746.9</v>
      </c>
      <c r="BC63" s="5">
        <v>792.7</v>
      </c>
      <c r="BD63" s="5">
        <v>800.4</v>
      </c>
      <c r="BE63" s="5">
        <v>807.9</v>
      </c>
      <c r="BF63" s="5">
        <v>815.2</v>
      </c>
      <c r="BG63" s="5">
        <v>874.9</v>
      </c>
      <c r="BH63" s="5">
        <v>878</v>
      </c>
      <c r="BI63" s="5">
        <v>897.8</v>
      </c>
      <c r="BJ63" s="5">
        <v>906.7</v>
      </c>
      <c r="BK63" s="5">
        <v>1021.7</v>
      </c>
      <c r="BL63" s="5">
        <v>1211</v>
      </c>
      <c r="BM63" s="5">
        <v>1114.3</v>
      </c>
      <c r="BN63" s="5">
        <v>1264.7</v>
      </c>
      <c r="BO63" s="5">
        <v>1157.4000000000001</v>
      </c>
      <c r="BP63" s="5">
        <v>1193.5</v>
      </c>
      <c r="BQ63" s="5">
        <v>1491.8</v>
      </c>
      <c r="BR63" s="5">
        <v>1576</v>
      </c>
      <c r="BS63" s="5">
        <v>1650.5</v>
      </c>
      <c r="BT63" s="5">
        <v>1726.9</v>
      </c>
      <c r="BU63" s="5">
        <v>2082.9</v>
      </c>
      <c r="BV63" s="5">
        <v>2865.2</v>
      </c>
      <c r="BW63" s="5">
        <v>2382.6999999999998</v>
      </c>
      <c r="BX63" s="5">
        <v>3027.7</v>
      </c>
      <c r="BY63" s="5">
        <v>2453.1</v>
      </c>
      <c r="BZ63" s="5">
        <v>2599.5</v>
      </c>
      <c r="CA63" s="5">
        <v>3915.5</v>
      </c>
      <c r="CB63" s="5">
        <v>4204.3</v>
      </c>
      <c r="CC63" s="5">
        <v>4236.3999999999996</v>
      </c>
      <c r="CD63" s="5">
        <v>4347.8</v>
      </c>
      <c r="CE63" s="5">
        <v>5440</v>
      </c>
      <c r="CF63" s="5">
        <v>5590.5</v>
      </c>
      <c r="CG63" s="5">
        <v>6011.2</v>
      </c>
      <c r="CH63" s="5">
        <v>6345.2</v>
      </c>
      <c r="CI63" s="5">
        <v>6348.9</v>
      </c>
      <c r="CJ63" s="5">
        <v>6366.4</v>
      </c>
      <c r="CK63" s="5">
        <v>7682.2</v>
      </c>
      <c r="CL63" s="5">
        <v>8023.7</v>
      </c>
      <c r="CM63" s="5">
        <v>8172.7</v>
      </c>
      <c r="CN63" s="5">
        <v>8415.5</v>
      </c>
      <c r="CO63" s="5">
        <v>10213.700000000001</v>
      </c>
      <c r="CP63" s="5">
        <v>10693.5</v>
      </c>
      <c r="CQ63" s="5">
        <v>10732</v>
      </c>
      <c r="CR63" s="5">
        <v>11370.9</v>
      </c>
      <c r="CS63" s="5">
        <v>11532.2</v>
      </c>
      <c r="CT63" s="5">
        <v>11707.7</v>
      </c>
    </row>
    <row r="64" spans="1:98">
      <c r="A64" s="2" t="s">
        <v>160</v>
      </c>
      <c r="B64" s="3">
        <v>100</v>
      </c>
      <c r="C64" s="3">
        <v>109.2</v>
      </c>
      <c r="D64" s="3">
        <v>112.8</v>
      </c>
      <c r="E64" s="3">
        <v>115</v>
      </c>
      <c r="F64" s="3">
        <v>117.5</v>
      </c>
      <c r="G64" s="3">
        <v>135.80000000000001</v>
      </c>
      <c r="H64" s="3">
        <v>139.9</v>
      </c>
      <c r="I64" s="3">
        <v>143</v>
      </c>
      <c r="J64" s="3">
        <v>142.80000000000001</v>
      </c>
      <c r="K64" s="3">
        <v>151.4</v>
      </c>
      <c r="L64" s="3">
        <v>153.69999999999999</v>
      </c>
      <c r="M64" s="3">
        <v>157.1</v>
      </c>
      <c r="N64" s="3">
        <v>158.1</v>
      </c>
      <c r="O64" s="3">
        <v>170.9</v>
      </c>
      <c r="P64" s="3">
        <v>172.7</v>
      </c>
      <c r="Q64" s="3">
        <v>173.7</v>
      </c>
      <c r="R64" s="3">
        <v>174</v>
      </c>
      <c r="S64" s="3">
        <v>191.5</v>
      </c>
      <c r="T64" s="3">
        <v>193.9</v>
      </c>
      <c r="U64" s="3">
        <v>201.9</v>
      </c>
      <c r="V64" s="3">
        <v>207.4</v>
      </c>
      <c r="W64" s="3">
        <v>229.2</v>
      </c>
      <c r="X64" s="3">
        <v>232</v>
      </c>
      <c r="Y64" s="3">
        <v>234.8</v>
      </c>
      <c r="Z64" s="3">
        <v>235.3</v>
      </c>
      <c r="AA64" s="3">
        <v>252</v>
      </c>
      <c r="AB64" s="3">
        <v>255.4</v>
      </c>
      <c r="AC64" s="3">
        <v>258.60000000000002</v>
      </c>
      <c r="AD64" s="3">
        <v>261.3</v>
      </c>
      <c r="AE64" s="3">
        <v>278.3</v>
      </c>
      <c r="AF64" s="3">
        <v>279.89999999999998</v>
      </c>
      <c r="AG64" s="3">
        <v>285.39999999999998</v>
      </c>
      <c r="AH64" s="3">
        <v>317.39999999999998</v>
      </c>
      <c r="AI64" s="3">
        <v>334.7</v>
      </c>
      <c r="AJ64" s="3">
        <v>345.3</v>
      </c>
      <c r="AK64" s="3">
        <v>356.1</v>
      </c>
      <c r="AL64" s="3">
        <v>366.2</v>
      </c>
      <c r="AM64" s="3">
        <v>404.1</v>
      </c>
      <c r="AN64" s="3">
        <v>425</v>
      </c>
      <c r="AO64" s="3">
        <v>458.4</v>
      </c>
      <c r="AP64" s="3">
        <v>472.9</v>
      </c>
      <c r="AQ64" s="3">
        <v>528.4</v>
      </c>
      <c r="AR64" s="3">
        <v>539.1</v>
      </c>
      <c r="AS64" s="3">
        <v>542.79999999999995</v>
      </c>
      <c r="AT64" s="3">
        <v>553.29999999999995</v>
      </c>
      <c r="AU64" s="3">
        <v>621.9</v>
      </c>
      <c r="AV64" s="3">
        <v>634.1</v>
      </c>
      <c r="AW64" s="3">
        <v>640.20000000000005</v>
      </c>
      <c r="AX64" s="3">
        <v>647.4</v>
      </c>
      <c r="AY64" s="3">
        <v>698.5</v>
      </c>
      <c r="AZ64" s="3">
        <v>703.1</v>
      </c>
      <c r="BA64" s="3">
        <v>705.7</v>
      </c>
      <c r="BB64" s="3">
        <v>707</v>
      </c>
      <c r="BC64" s="3">
        <v>750.1</v>
      </c>
      <c r="BD64" s="3">
        <v>757.2</v>
      </c>
      <c r="BE64" s="3">
        <v>764.3</v>
      </c>
      <c r="BF64" s="3">
        <v>771.3</v>
      </c>
      <c r="BG64" s="3">
        <v>826.8</v>
      </c>
      <c r="BH64" s="3">
        <v>828.4</v>
      </c>
      <c r="BI64" s="3">
        <v>846.9</v>
      </c>
      <c r="BJ64" s="3">
        <v>854.6</v>
      </c>
      <c r="BK64" s="3">
        <v>963.1</v>
      </c>
      <c r="BL64" s="3">
        <v>1153.7</v>
      </c>
      <c r="BM64" s="3">
        <v>1056.3</v>
      </c>
      <c r="BN64" s="3">
        <v>1208.4000000000001</v>
      </c>
      <c r="BO64" s="3">
        <v>1097.3</v>
      </c>
      <c r="BP64" s="3">
        <v>1134.9000000000001</v>
      </c>
      <c r="BQ64" s="3">
        <v>1427.1</v>
      </c>
      <c r="BR64" s="3">
        <v>1511.7</v>
      </c>
      <c r="BS64" s="3">
        <v>1577</v>
      </c>
      <c r="BT64" s="3">
        <v>1653.1</v>
      </c>
      <c r="BU64" s="3">
        <v>1982.1</v>
      </c>
      <c r="BV64" s="3">
        <v>2740.8</v>
      </c>
      <c r="BW64" s="3">
        <v>2264.6999999999998</v>
      </c>
      <c r="BX64" s="3">
        <v>2888</v>
      </c>
      <c r="BY64" s="3">
        <v>2335.8000000000002</v>
      </c>
      <c r="BZ64" s="3">
        <v>2487.9</v>
      </c>
      <c r="CA64" s="3">
        <v>3745.7</v>
      </c>
      <c r="CB64" s="3">
        <v>4020.1</v>
      </c>
      <c r="CC64" s="3">
        <v>4066.3</v>
      </c>
      <c r="CD64" s="3">
        <v>4173.2</v>
      </c>
      <c r="CE64" s="3">
        <v>5237.3999999999996</v>
      </c>
      <c r="CF64" s="3">
        <v>5383.4</v>
      </c>
      <c r="CG64" s="3">
        <v>5759</v>
      </c>
      <c r="CH64" s="3">
        <v>6088.7</v>
      </c>
      <c r="CI64" s="3">
        <v>6088.7</v>
      </c>
      <c r="CJ64" s="3">
        <v>6088.7</v>
      </c>
      <c r="CK64" s="3">
        <v>7373.4</v>
      </c>
      <c r="CL64" s="3">
        <v>7708.3</v>
      </c>
      <c r="CM64" s="3">
        <v>7830.1</v>
      </c>
      <c r="CN64" s="3">
        <v>8067.5</v>
      </c>
      <c r="CO64" s="3">
        <v>9785.9</v>
      </c>
      <c r="CP64" s="3">
        <v>10213</v>
      </c>
      <c r="CQ64" s="3">
        <v>10286.1</v>
      </c>
      <c r="CR64" s="3">
        <v>10931.5</v>
      </c>
      <c r="CS64" s="3">
        <v>11068.6</v>
      </c>
      <c r="CT64" s="3">
        <v>11230</v>
      </c>
    </row>
    <row r="65" spans="1:98">
      <c r="A65" s="4" t="s">
        <v>161</v>
      </c>
      <c r="B65" s="5">
        <v>100</v>
      </c>
      <c r="C65" s="5">
        <v>109.3</v>
      </c>
      <c r="D65" s="5">
        <v>112.8</v>
      </c>
      <c r="E65" s="5">
        <v>115.2</v>
      </c>
      <c r="F65" s="5">
        <v>117.1</v>
      </c>
      <c r="G65" s="5">
        <v>136.4</v>
      </c>
      <c r="H65" s="5">
        <v>140.5</v>
      </c>
      <c r="I65" s="5">
        <v>143.6</v>
      </c>
      <c r="J65" s="5">
        <v>143.4</v>
      </c>
      <c r="K65" s="5">
        <v>152.1</v>
      </c>
      <c r="L65" s="5">
        <v>154.5</v>
      </c>
      <c r="M65" s="5">
        <v>158</v>
      </c>
      <c r="N65" s="5">
        <v>159.1</v>
      </c>
      <c r="O65" s="5">
        <v>171.7</v>
      </c>
      <c r="P65" s="5">
        <v>173.4</v>
      </c>
      <c r="Q65" s="5">
        <v>174.5</v>
      </c>
      <c r="R65" s="5">
        <v>174.8</v>
      </c>
      <c r="S65" s="5">
        <v>192.1</v>
      </c>
      <c r="T65" s="5">
        <v>194.5</v>
      </c>
      <c r="U65" s="5">
        <v>202.6</v>
      </c>
      <c r="V65" s="5">
        <v>208.2</v>
      </c>
      <c r="W65" s="5">
        <v>229.9</v>
      </c>
      <c r="X65" s="5">
        <v>232.8</v>
      </c>
      <c r="Y65" s="5">
        <v>235.4</v>
      </c>
      <c r="Z65" s="5">
        <v>235.8</v>
      </c>
      <c r="AA65" s="5">
        <v>252.3</v>
      </c>
      <c r="AB65" s="5">
        <v>255.7</v>
      </c>
      <c r="AC65" s="5">
        <v>258.7</v>
      </c>
      <c r="AD65" s="5">
        <v>261.39999999999998</v>
      </c>
      <c r="AE65" s="5">
        <v>278.10000000000002</v>
      </c>
      <c r="AF65" s="5">
        <v>279.7</v>
      </c>
      <c r="AG65" s="5">
        <v>285.10000000000002</v>
      </c>
      <c r="AH65" s="5">
        <v>319</v>
      </c>
      <c r="AI65" s="5">
        <v>335.6</v>
      </c>
      <c r="AJ65" s="5">
        <v>346.9</v>
      </c>
      <c r="AK65" s="5">
        <v>358.1</v>
      </c>
      <c r="AL65" s="5">
        <v>368.8</v>
      </c>
      <c r="AM65" s="5">
        <v>406.9</v>
      </c>
      <c r="AN65" s="5">
        <v>428</v>
      </c>
      <c r="AO65" s="5">
        <v>462.5</v>
      </c>
      <c r="AP65" s="5">
        <v>477.8</v>
      </c>
      <c r="AQ65" s="5">
        <v>533.1</v>
      </c>
      <c r="AR65" s="5">
        <v>544.20000000000005</v>
      </c>
      <c r="AS65" s="5">
        <v>555</v>
      </c>
      <c r="AT65" s="5">
        <v>565.70000000000005</v>
      </c>
      <c r="AU65" s="5">
        <v>648.20000000000005</v>
      </c>
      <c r="AV65" s="5">
        <v>660.3</v>
      </c>
      <c r="AW65" s="5">
        <v>668.6</v>
      </c>
      <c r="AX65" s="5">
        <v>677.2</v>
      </c>
      <c r="AY65" s="5">
        <v>737.9</v>
      </c>
      <c r="AZ65" s="5">
        <v>743.4</v>
      </c>
      <c r="BA65" s="5">
        <v>747.4</v>
      </c>
      <c r="BB65" s="5">
        <v>751.2</v>
      </c>
      <c r="BC65" s="5">
        <v>802.9</v>
      </c>
      <c r="BD65" s="5">
        <v>810.4</v>
      </c>
      <c r="BE65" s="5">
        <v>817.9</v>
      </c>
      <c r="BF65" s="5">
        <v>825.5</v>
      </c>
      <c r="BG65" s="5">
        <v>893.2</v>
      </c>
      <c r="BH65" s="5">
        <v>895.3</v>
      </c>
      <c r="BI65" s="5">
        <v>914</v>
      </c>
      <c r="BJ65" s="5">
        <v>922.7</v>
      </c>
      <c r="BK65" s="5">
        <v>1048.7</v>
      </c>
      <c r="BL65" s="5">
        <v>1193.0999999999999</v>
      </c>
      <c r="BM65" s="5">
        <v>1122.5</v>
      </c>
      <c r="BN65" s="5">
        <v>1237.9000000000001</v>
      </c>
      <c r="BO65" s="5">
        <v>1150.7</v>
      </c>
      <c r="BP65" s="5">
        <v>1175.7</v>
      </c>
      <c r="BQ65" s="5">
        <v>1486.2</v>
      </c>
      <c r="BR65" s="5">
        <v>1562.9</v>
      </c>
      <c r="BS65" s="5">
        <v>1616.8</v>
      </c>
      <c r="BT65" s="5">
        <v>1680</v>
      </c>
      <c r="BU65" s="5">
        <v>2047.7</v>
      </c>
      <c r="BV65" s="5">
        <v>2696</v>
      </c>
      <c r="BW65" s="5">
        <v>2301.9</v>
      </c>
      <c r="BX65" s="5">
        <v>2843.5</v>
      </c>
      <c r="BY65" s="5">
        <v>2349.4</v>
      </c>
      <c r="BZ65" s="5">
        <v>2447.1999999999998</v>
      </c>
      <c r="CA65" s="5">
        <v>3707.9</v>
      </c>
      <c r="CB65" s="5">
        <v>3931.7</v>
      </c>
      <c r="CC65" s="5">
        <v>3951.7</v>
      </c>
      <c r="CD65" s="5">
        <v>4023.5</v>
      </c>
      <c r="CE65" s="5">
        <v>5059.7</v>
      </c>
      <c r="CF65" s="5">
        <v>5176.7</v>
      </c>
      <c r="CG65" s="5">
        <v>5615.9</v>
      </c>
      <c r="CH65" s="5">
        <v>5894.4</v>
      </c>
      <c r="CI65" s="5">
        <v>5896.3</v>
      </c>
      <c r="CJ65" s="5">
        <v>5907.2</v>
      </c>
      <c r="CK65" s="5">
        <v>7187.6</v>
      </c>
      <c r="CL65" s="5">
        <v>7467.8</v>
      </c>
      <c r="CM65" s="5">
        <v>7604.7</v>
      </c>
      <c r="CN65" s="5">
        <v>7819</v>
      </c>
      <c r="CO65" s="5">
        <v>9594.7000000000007</v>
      </c>
      <c r="CP65" s="5">
        <v>10007.299999999999</v>
      </c>
      <c r="CQ65" s="5">
        <v>10031</v>
      </c>
      <c r="CR65" s="5">
        <v>10580.9</v>
      </c>
      <c r="CS65" s="5">
        <v>10706.4</v>
      </c>
      <c r="CT65" s="5">
        <v>10850.9</v>
      </c>
    </row>
    <row r="66" spans="1:98">
      <c r="A66" s="2" t="s">
        <v>162</v>
      </c>
      <c r="B66" s="3">
        <v>100</v>
      </c>
      <c r="C66" s="3">
        <v>109.2</v>
      </c>
      <c r="D66" s="3">
        <v>110.7</v>
      </c>
      <c r="E66" s="3">
        <v>111.1</v>
      </c>
      <c r="F66" s="3">
        <v>115.1</v>
      </c>
      <c r="G66" s="3">
        <v>129.4</v>
      </c>
      <c r="H66" s="3">
        <v>131</v>
      </c>
      <c r="I66" s="3">
        <v>135.4</v>
      </c>
      <c r="J66" s="3">
        <v>135.4</v>
      </c>
      <c r="K66" s="3">
        <v>142</v>
      </c>
      <c r="L66" s="3">
        <v>143.9</v>
      </c>
      <c r="M66" s="3">
        <v>147.30000000000001</v>
      </c>
      <c r="N66" s="3">
        <v>147.69999999999999</v>
      </c>
      <c r="O66" s="3">
        <v>157.1</v>
      </c>
      <c r="P66" s="3">
        <v>157.80000000000001</v>
      </c>
      <c r="Q66" s="3">
        <v>159.80000000000001</v>
      </c>
      <c r="R66" s="3">
        <v>160</v>
      </c>
      <c r="S66" s="3">
        <v>174.9</v>
      </c>
      <c r="T66" s="3">
        <v>175.9</v>
      </c>
      <c r="U66" s="3">
        <v>183.8</v>
      </c>
      <c r="V66" s="3">
        <v>190.1</v>
      </c>
      <c r="W66" s="3">
        <v>209.6</v>
      </c>
      <c r="X66" s="3">
        <v>219.8</v>
      </c>
      <c r="Y66" s="3">
        <v>227.6</v>
      </c>
      <c r="Z66" s="3">
        <v>224.3</v>
      </c>
      <c r="AA66" s="3">
        <v>229.4</v>
      </c>
      <c r="AB66" s="3">
        <v>232</v>
      </c>
      <c r="AC66" s="3">
        <v>235.6</v>
      </c>
      <c r="AD66" s="3">
        <v>237.1</v>
      </c>
      <c r="AE66" s="3">
        <v>253.4</v>
      </c>
      <c r="AF66" s="3">
        <v>254.3</v>
      </c>
      <c r="AG66" s="3">
        <v>257</v>
      </c>
      <c r="AH66" s="3">
        <v>269.3</v>
      </c>
      <c r="AI66" s="3">
        <v>287.60000000000002</v>
      </c>
      <c r="AJ66" s="3">
        <v>295.89999999999998</v>
      </c>
      <c r="AK66" s="3">
        <v>303.2</v>
      </c>
      <c r="AL66" s="3">
        <v>325</v>
      </c>
      <c r="AM66" s="3">
        <v>346.6</v>
      </c>
      <c r="AN66" s="3">
        <v>370.2</v>
      </c>
      <c r="AO66" s="3">
        <v>389.6</v>
      </c>
      <c r="AP66" s="3">
        <v>409.6</v>
      </c>
      <c r="AQ66" s="3">
        <v>446.7</v>
      </c>
      <c r="AR66" s="3">
        <v>454.4</v>
      </c>
      <c r="AS66" s="3">
        <v>453.3</v>
      </c>
      <c r="AT66" s="3">
        <v>456.9</v>
      </c>
      <c r="AU66" s="3">
        <v>500.5</v>
      </c>
      <c r="AV66" s="3">
        <v>520.5</v>
      </c>
      <c r="AW66" s="3">
        <v>518.70000000000005</v>
      </c>
      <c r="AX66" s="3">
        <v>515.6</v>
      </c>
      <c r="AY66" s="3">
        <v>536.29999999999995</v>
      </c>
      <c r="AZ66" s="3">
        <v>538</v>
      </c>
      <c r="BA66" s="3">
        <v>538.6</v>
      </c>
      <c r="BB66" s="3">
        <v>531.6</v>
      </c>
      <c r="BC66" s="3">
        <v>557.6</v>
      </c>
      <c r="BD66" s="3">
        <v>564.29999999999995</v>
      </c>
      <c r="BE66" s="3">
        <v>585.6</v>
      </c>
      <c r="BF66" s="3">
        <v>594.9</v>
      </c>
      <c r="BG66" s="3">
        <v>641</v>
      </c>
      <c r="BH66" s="3">
        <v>645.20000000000005</v>
      </c>
      <c r="BI66" s="3">
        <v>656.6</v>
      </c>
      <c r="BJ66" s="3">
        <v>674.7</v>
      </c>
      <c r="BK66" s="3">
        <v>763.7</v>
      </c>
      <c r="BL66" s="3">
        <v>983.1</v>
      </c>
      <c r="BM66" s="3">
        <v>843</v>
      </c>
      <c r="BN66" s="3">
        <v>978.3</v>
      </c>
      <c r="BO66" s="3">
        <v>907</v>
      </c>
      <c r="BP66" s="3">
        <v>974.5</v>
      </c>
      <c r="BQ66" s="3">
        <v>1103.3</v>
      </c>
      <c r="BR66" s="3">
        <v>1152</v>
      </c>
      <c r="BS66" s="3">
        <v>1171.4000000000001</v>
      </c>
      <c r="BT66" s="3">
        <v>1214.5999999999999</v>
      </c>
      <c r="BU66" s="3">
        <v>1448.9</v>
      </c>
      <c r="BV66" s="3">
        <v>2084.8000000000002</v>
      </c>
      <c r="BW66" s="3">
        <v>1710.7</v>
      </c>
      <c r="BX66" s="3">
        <v>2238.4</v>
      </c>
      <c r="BY66" s="3">
        <v>1745.9</v>
      </c>
      <c r="BZ66" s="3">
        <v>1835.2</v>
      </c>
      <c r="CA66" s="3">
        <v>2781.4</v>
      </c>
      <c r="CB66" s="3">
        <v>3154.5</v>
      </c>
      <c r="CC66" s="3">
        <v>3354.9</v>
      </c>
      <c r="CD66" s="3">
        <v>3444.7</v>
      </c>
      <c r="CE66" s="3">
        <v>4137.7</v>
      </c>
      <c r="CF66" s="3">
        <v>4236.2</v>
      </c>
      <c r="CG66" s="3">
        <v>4458.3999999999996</v>
      </c>
      <c r="CH66" s="3">
        <v>4763.3999999999996</v>
      </c>
      <c r="CI66" s="3">
        <v>4817.7</v>
      </c>
      <c r="CJ66" s="3">
        <v>5071.1000000000004</v>
      </c>
      <c r="CK66" s="3">
        <v>5604.1</v>
      </c>
      <c r="CL66" s="3">
        <v>5786.6</v>
      </c>
      <c r="CM66" s="3">
        <v>5941</v>
      </c>
      <c r="CN66" s="3">
        <v>5988.6</v>
      </c>
      <c r="CO66" s="3">
        <v>6988.3</v>
      </c>
      <c r="CP66" s="3">
        <v>7487.6</v>
      </c>
      <c r="CQ66" s="3">
        <v>7681.1</v>
      </c>
      <c r="CR66" s="3">
        <v>8193</v>
      </c>
      <c r="CS66" s="3">
        <v>8543.7999999999993</v>
      </c>
      <c r="CT66" s="3">
        <v>8924.2999999999993</v>
      </c>
    </row>
    <row r="67" spans="1:98">
      <c r="A67" s="4" t="s">
        <v>163</v>
      </c>
      <c r="B67" s="5">
        <v>100</v>
      </c>
      <c r="C67" s="5">
        <v>107.4</v>
      </c>
      <c r="D67" s="5">
        <v>107.8</v>
      </c>
      <c r="E67" s="5">
        <v>108.1</v>
      </c>
      <c r="F67" s="5">
        <v>110.4</v>
      </c>
      <c r="G67" s="5">
        <v>120.3</v>
      </c>
      <c r="H67" s="5">
        <v>120.8</v>
      </c>
      <c r="I67" s="5">
        <v>121.1</v>
      </c>
      <c r="J67" s="5">
        <v>121.1</v>
      </c>
      <c r="K67" s="5">
        <v>125.2</v>
      </c>
      <c r="L67" s="5">
        <v>125.4</v>
      </c>
      <c r="M67" s="5">
        <v>126.8</v>
      </c>
      <c r="N67" s="5">
        <v>126.9</v>
      </c>
      <c r="O67" s="5">
        <v>133</v>
      </c>
      <c r="P67" s="5">
        <v>133</v>
      </c>
      <c r="Q67" s="5">
        <v>134.69999999999999</v>
      </c>
      <c r="R67" s="5">
        <v>134.80000000000001</v>
      </c>
      <c r="S67" s="5">
        <v>149.9</v>
      </c>
      <c r="T67" s="5">
        <v>150.19999999999999</v>
      </c>
      <c r="U67" s="5">
        <v>150.6</v>
      </c>
      <c r="V67" s="5">
        <v>151.30000000000001</v>
      </c>
      <c r="W67" s="5">
        <v>172.1</v>
      </c>
      <c r="X67" s="5">
        <v>172.3</v>
      </c>
      <c r="Y67" s="5">
        <v>172.8</v>
      </c>
      <c r="Z67" s="5">
        <v>173</v>
      </c>
      <c r="AA67" s="5">
        <v>174.7</v>
      </c>
      <c r="AB67" s="5">
        <v>174.9</v>
      </c>
      <c r="AC67" s="5">
        <v>175.6</v>
      </c>
      <c r="AD67" s="5">
        <v>176</v>
      </c>
      <c r="AE67" s="5">
        <v>192</v>
      </c>
      <c r="AF67" s="5">
        <v>192.2</v>
      </c>
      <c r="AG67" s="5">
        <v>192.5</v>
      </c>
      <c r="AH67" s="5">
        <v>200.1</v>
      </c>
      <c r="AI67" s="5">
        <v>219</v>
      </c>
      <c r="AJ67" s="5">
        <v>219.3</v>
      </c>
      <c r="AK67" s="5">
        <v>219.8</v>
      </c>
      <c r="AL67" s="5">
        <v>249.5</v>
      </c>
      <c r="AM67" s="5">
        <v>287.89999999999998</v>
      </c>
      <c r="AN67" s="5">
        <v>334.4</v>
      </c>
      <c r="AO67" s="5">
        <v>348.6</v>
      </c>
      <c r="AP67" s="5">
        <v>349.3</v>
      </c>
      <c r="AQ67" s="5">
        <v>385.2</v>
      </c>
      <c r="AR67" s="5">
        <v>385.9</v>
      </c>
      <c r="AS67" s="5">
        <v>387.3</v>
      </c>
      <c r="AT67" s="5">
        <v>388.5</v>
      </c>
      <c r="AU67" s="5">
        <v>429.3</v>
      </c>
      <c r="AV67" s="5">
        <v>430.2</v>
      </c>
      <c r="AW67" s="5">
        <v>431.4</v>
      </c>
      <c r="AX67" s="5">
        <v>432</v>
      </c>
      <c r="AY67" s="5">
        <v>449.9</v>
      </c>
      <c r="AZ67" s="5">
        <v>450.5</v>
      </c>
      <c r="BA67" s="5">
        <v>457</v>
      </c>
      <c r="BB67" s="5">
        <v>457.5</v>
      </c>
      <c r="BC67" s="5">
        <v>461.9</v>
      </c>
      <c r="BD67" s="5">
        <v>462.6</v>
      </c>
      <c r="BE67" s="5">
        <v>508.4</v>
      </c>
      <c r="BF67" s="5">
        <v>508.9</v>
      </c>
      <c r="BG67" s="5">
        <v>563.29999999999995</v>
      </c>
      <c r="BH67" s="5">
        <v>559.5</v>
      </c>
      <c r="BI67" s="5">
        <v>560.20000000000005</v>
      </c>
      <c r="BJ67" s="5">
        <v>601</v>
      </c>
      <c r="BK67" s="5">
        <v>733.7</v>
      </c>
      <c r="BL67" s="5">
        <v>936.9</v>
      </c>
      <c r="BM67" s="5">
        <v>760.6</v>
      </c>
      <c r="BN67" s="5">
        <v>992.5</v>
      </c>
      <c r="BO67" s="5">
        <v>887.1</v>
      </c>
      <c r="BP67" s="5">
        <v>924.4</v>
      </c>
      <c r="BQ67" s="5">
        <v>1082.5</v>
      </c>
      <c r="BR67" s="5">
        <v>1150.0999999999999</v>
      </c>
      <c r="BS67" s="5">
        <v>1163</v>
      </c>
      <c r="BT67" s="5">
        <v>1192.3</v>
      </c>
      <c r="BU67" s="5">
        <v>1400.6</v>
      </c>
      <c r="BV67" s="5">
        <v>1998</v>
      </c>
      <c r="BW67" s="5">
        <v>1604.3</v>
      </c>
      <c r="BX67" s="5">
        <v>2108.9</v>
      </c>
      <c r="BY67" s="5">
        <v>1668.2</v>
      </c>
      <c r="BZ67" s="5">
        <v>1849.3</v>
      </c>
      <c r="CA67" s="5">
        <v>2392.6999999999998</v>
      </c>
      <c r="CB67" s="5">
        <v>2505</v>
      </c>
      <c r="CC67" s="5">
        <v>2526.8000000000002</v>
      </c>
      <c r="CD67" s="5">
        <v>2607.9</v>
      </c>
      <c r="CE67" s="5">
        <v>2812.4</v>
      </c>
      <c r="CF67" s="5">
        <v>2951.3</v>
      </c>
      <c r="CG67" s="5">
        <v>3292.7</v>
      </c>
      <c r="CH67" s="5">
        <v>3546.4</v>
      </c>
      <c r="CI67" s="5">
        <v>3781.8</v>
      </c>
      <c r="CJ67" s="5">
        <v>4017.1</v>
      </c>
      <c r="CK67" s="5">
        <v>4336.3</v>
      </c>
      <c r="CL67" s="5">
        <v>4356.5</v>
      </c>
      <c r="CM67" s="5">
        <v>4571.7</v>
      </c>
      <c r="CN67" s="5">
        <v>4582.8</v>
      </c>
      <c r="CO67" s="5">
        <v>5152.3999999999996</v>
      </c>
      <c r="CP67" s="5">
        <v>5153</v>
      </c>
      <c r="CQ67" s="5">
        <v>5627.7</v>
      </c>
      <c r="CR67" s="5">
        <v>6114.8</v>
      </c>
      <c r="CS67" s="5">
        <v>6125.4</v>
      </c>
      <c r="CT67" s="5">
        <v>6644.9</v>
      </c>
    </row>
    <row r="68" spans="1:98">
      <c r="A68" s="2" t="s">
        <v>164</v>
      </c>
      <c r="B68" s="3">
        <v>100</v>
      </c>
      <c r="C68" s="3">
        <v>101.9</v>
      </c>
      <c r="D68" s="3">
        <v>102.9</v>
      </c>
      <c r="E68" s="3">
        <v>103.4</v>
      </c>
      <c r="F68" s="3">
        <v>103.9</v>
      </c>
      <c r="G68" s="3">
        <v>111.3</v>
      </c>
      <c r="H68" s="3">
        <v>112.2</v>
      </c>
      <c r="I68" s="3">
        <v>113.1</v>
      </c>
      <c r="J68" s="3">
        <v>113.1</v>
      </c>
      <c r="K68" s="3">
        <v>114.7</v>
      </c>
      <c r="L68" s="3">
        <v>115.1</v>
      </c>
      <c r="M68" s="3">
        <v>115.6</v>
      </c>
      <c r="N68" s="3">
        <v>115.7</v>
      </c>
      <c r="O68" s="3">
        <v>126.3</v>
      </c>
      <c r="P68" s="3">
        <v>126.3</v>
      </c>
      <c r="Q68" s="3">
        <v>128.30000000000001</v>
      </c>
      <c r="R68" s="3">
        <v>128.30000000000001</v>
      </c>
      <c r="S68" s="3">
        <v>135.80000000000001</v>
      </c>
      <c r="T68" s="3">
        <v>136.4</v>
      </c>
      <c r="U68" s="3">
        <v>137.4</v>
      </c>
      <c r="V68" s="3">
        <v>146.6</v>
      </c>
      <c r="W68" s="3">
        <v>152.1</v>
      </c>
      <c r="X68" s="3">
        <v>152.5</v>
      </c>
      <c r="Y68" s="3">
        <v>153.9</v>
      </c>
      <c r="Z68" s="3">
        <v>154.30000000000001</v>
      </c>
      <c r="AA68" s="3">
        <v>158.6</v>
      </c>
      <c r="AB68" s="3">
        <v>159.1</v>
      </c>
      <c r="AC68" s="3">
        <v>160.69999999999999</v>
      </c>
      <c r="AD68" s="3">
        <v>161.80000000000001</v>
      </c>
      <c r="AE68" s="3">
        <v>162.6</v>
      </c>
      <c r="AF68" s="3">
        <v>163.6</v>
      </c>
      <c r="AG68" s="3">
        <v>167.8</v>
      </c>
      <c r="AH68" s="3">
        <v>170.6</v>
      </c>
      <c r="AI68" s="3">
        <v>187.9</v>
      </c>
      <c r="AJ68" s="3">
        <v>189.1</v>
      </c>
      <c r="AK68" s="3">
        <v>191.3</v>
      </c>
      <c r="AL68" s="3">
        <v>200.8</v>
      </c>
      <c r="AM68" s="3">
        <v>219.9</v>
      </c>
      <c r="AN68" s="3">
        <v>232.8</v>
      </c>
      <c r="AO68" s="3">
        <v>240.7</v>
      </c>
      <c r="AP68" s="3">
        <v>251.7</v>
      </c>
      <c r="AQ68" s="3">
        <v>281.3</v>
      </c>
      <c r="AR68" s="3">
        <v>324.5</v>
      </c>
      <c r="AS68" s="3">
        <v>331.3</v>
      </c>
      <c r="AT68" s="3">
        <v>337.5</v>
      </c>
      <c r="AU68" s="3">
        <v>365</v>
      </c>
      <c r="AV68" s="3">
        <v>368.8</v>
      </c>
      <c r="AW68" s="3">
        <v>385.9</v>
      </c>
      <c r="AX68" s="3">
        <v>389.6</v>
      </c>
      <c r="AY68" s="3">
        <v>414.5</v>
      </c>
      <c r="AZ68" s="3">
        <v>417</v>
      </c>
      <c r="BA68" s="3">
        <v>419.5</v>
      </c>
      <c r="BB68" s="3">
        <v>421.7</v>
      </c>
      <c r="BC68" s="3">
        <v>418.2</v>
      </c>
      <c r="BD68" s="3">
        <v>420.9</v>
      </c>
      <c r="BE68" s="3">
        <v>458.3</v>
      </c>
      <c r="BF68" s="3">
        <v>460.9</v>
      </c>
      <c r="BG68" s="3">
        <v>502.6</v>
      </c>
      <c r="BH68" s="3">
        <v>505.8</v>
      </c>
      <c r="BI68" s="3">
        <v>526.29999999999995</v>
      </c>
      <c r="BJ68" s="3">
        <v>534.20000000000005</v>
      </c>
      <c r="BK68" s="3">
        <v>606.4</v>
      </c>
      <c r="BL68" s="3">
        <v>909.8</v>
      </c>
      <c r="BM68" s="3">
        <v>686.7</v>
      </c>
      <c r="BN68" s="3">
        <v>917.1</v>
      </c>
      <c r="BO68" s="3">
        <v>784.5</v>
      </c>
      <c r="BP68" s="3">
        <v>913.7</v>
      </c>
      <c r="BQ68" s="3">
        <v>1204.7</v>
      </c>
      <c r="BR68" s="3">
        <v>1225.0999999999999</v>
      </c>
      <c r="BS68" s="3">
        <v>1113.9000000000001</v>
      </c>
      <c r="BT68" s="3">
        <v>1122.4000000000001</v>
      </c>
      <c r="BU68" s="3">
        <v>1340.4</v>
      </c>
      <c r="BV68" s="3">
        <v>1549.2</v>
      </c>
      <c r="BW68" s="3">
        <v>1518.5</v>
      </c>
      <c r="BX68" s="3">
        <v>1596.7</v>
      </c>
      <c r="BY68" s="3">
        <v>1596.5</v>
      </c>
      <c r="BZ68" s="3">
        <v>1660.3</v>
      </c>
      <c r="CA68" s="3">
        <v>1875.7</v>
      </c>
      <c r="CB68" s="3">
        <v>1927.5</v>
      </c>
      <c r="CC68" s="3">
        <v>2063.4</v>
      </c>
      <c r="CD68" s="3">
        <v>2097.6999999999998</v>
      </c>
      <c r="CE68" s="3">
        <v>2615.9</v>
      </c>
      <c r="CF68" s="3">
        <v>2708.3</v>
      </c>
      <c r="CG68" s="3">
        <v>2720.9</v>
      </c>
      <c r="CH68" s="3">
        <v>2842.6</v>
      </c>
      <c r="CI68" s="3">
        <v>2862.4</v>
      </c>
      <c r="CJ68" s="3">
        <v>3056.3</v>
      </c>
      <c r="CK68" s="3">
        <v>3588</v>
      </c>
      <c r="CL68" s="3">
        <v>3642.7</v>
      </c>
      <c r="CM68" s="3">
        <v>3885.4</v>
      </c>
      <c r="CN68" s="3">
        <v>3940.4</v>
      </c>
      <c r="CO68" s="3">
        <v>4676.3999999999996</v>
      </c>
      <c r="CP68" s="3">
        <v>4909.8999999999996</v>
      </c>
      <c r="CQ68" s="3">
        <v>5035.8</v>
      </c>
      <c r="CR68" s="3">
        <v>5513.3</v>
      </c>
      <c r="CS68" s="3">
        <v>5608.9</v>
      </c>
      <c r="CT68" s="3">
        <v>5719.4</v>
      </c>
    </row>
    <row r="69" spans="1:98">
      <c r="A69" s="4" t="s">
        <v>165</v>
      </c>
      <c r="B69" s="5">
        <v>100</v>
      </c>
      <c r="C69" s="5">
        <v>107.3</v>
      </c>
      <c r="D69" s="5">
        <v>109.9</v>
      </c>
      <c r="E69" s="5">
        <v>111.1</v>
      </c>
      <c r="F69" s="5">
        <v>113.1</v>
      </c>
      <c r="G69" s="5">
        <v>122</v>
      </c>
      <c r="H69" s="5">
        <v>132.1</v>
      </c>
      <c r="I69" s="5">
        <v>133.6</v>
      </c>
      <c r="J69" s="5">
        <v>133.6</v>
      </c>
      <c r="K69" s="5">
        <v>137.80000000000001</v>
      </c>
      <c r="L69" s="5">
        <v>138.69999999999999</v>
      </c>
      <c r="M69" s="5">
        <v>145.80000000000001</v>
      </c>
      <c r="N69" s="5">
        <v>146.19999999999999</v>
      </c>
      <c r="O69" s="5">
        <v>175.8</v>
      </c>
      <c r="P69" s="5">
        <v>176.7</v>
      </c>
      <c r="Q69" s="5">
        <v>179.9</v>
      </c>
      <c r="R69" s="5">
        <v>180.1</v>
      </c>
      <c r="S69" s="5">
        <v>195.6</v>
      </c>
      <c r="T69" s="5">
        <v>197.1</v>
      </c>
      <c r="U69" s="5">
        <v>199.7</v>
      </c>
      <c r="V69" s="5">
        <v>202</v>
      </c>
      <c r="W69" s="5">
        <v>235.9</v>
      </c>
      <c r="X69" s="5">
        <v>237.1</v>
      </c>
      <c r="Y69" s="5">
        <v>240.7</v>
      </c>
      <c r="Z69" s="5">
        <v>241.9</v>
      </c>
      <c r="AA69" s="5">
        <v>253.2</v>
      </c>
      <c r="AB69" s="5">
        <v>254.6</v>
      </c>
      <c r="AC69" s="5">
        <v>258.8</v>
      </c>
      <c r="AD69" s="5">
        <v>261.7</v>
      </c>
      <c r="AE69" s="5">
        <v>278</v>
      </c>
      <c r="AF69" s="5">
        <v>279.3</v>
      </c>
      <c r="AG69" s="5">
        <v>281.2</v>
      </c>
      <c r="AH69" s="5">
        <v>284.7</v>
      </c>
      <c r="AI69" s="5">
        <v>318.39999999999998</v>
      </c>
      <c r="AJ69" s="5">
        <v>319.89999999999998</v>
      </c>
      <c r="AK69" s="5">
        <v>322.89999999999998</v>
      </c>
      <c r="AL69" s="5">
        <v>325.10000000000002</v>
      </c>
      <c r="AM69" s="5">
        <v>343.3</v>
      </c>
      <c r="AN69" s="5">
        <v>379.4</v>
      </c>
      <c r="AO69" s="5">
        <v>433.4</v>
      </c>
      <c r="AP69" s="5">
        <v>436.7</v>
      </c>
      <c r="AQ69" s="5">
        <v>472.9</v>
      </c>
      <c r="AR69" s="5">
        <v>477</v>
      </c>
      <c r="AS69" s="5">
        <v>479.3</v>
      </c>
      <c r="AT69" s="5">
        <v>493.8</v>
      </c>
      <c r="AU69" s="5">
        <v>535.1</v>
      </c>
      <c r="AV69" s="5">
        <v>540.20000000000005</v>
      </c>
      <c r="AW69" s="5">
        <v>544.29999999999995</v>
      </c>
      <c r="AX69" s="5">
        <v>549.29999999999995</v>
      </c>
      <c r="AY69" s="5">
        <v>583.29999999999995</v>
      </c>
      <c r="AZ69" s="5">
        <v>586.4</v>
      </c>
      <c r="BA69" s="5">
        <v>585.29999999999995</v>
      </c>
      <c r="BB69" s="5">
        <v>588.29999999999995</v>
      </c>
      <c r="BC69" s="5">
        <v>629.70000000000005</v>
      </c>
      <c r="BD69" s="5">
        <v>633.20000000000005</v>
      </c>
      <c r="BE69" s="5">
        <v>636.79999999999995</v>
      </c>
      <c r="BF69" s="5">
        <v>640.29999999999995</v>
      </c>
      <c r="BG69" s="5">
        <v>735.9</v>
      </c>
      <c r="BH69" s="5">
        <v>739.9</v>
      </c>
      <c r="BI69" s="5">
        <v>758.1</v>
      </c>
      <c r="BJ69" s="5">
        <v>762.6</v>
      </c>
      <c r="BK69" s="5">
        <v>1029.0999999999999</v>
      </c>
      <c r="BL69" s="5">
        <v>1228.4000000000001</v>
      </c>
      <c r="BM69" s="5">
        <v>1073.3</v>
      </c>
      <c r="BN69" s="5">
        <v>1237.5999999999999</v>
      </c>
      <c r="BO69" s="5">
        <v>1110.0999999999999</v>
      </c>
      <c r="BP69" s="5">
        <v>1297.0999999999999</v>
      </c>
      <c r="BQ69" s="5">
        <v>1489.5</v>
      </c>
      <c r="BR69" s="5">
        <v>1516.6</v>
      </c>
      <c r="BS69" s="5">
        <v>1578.8</v>
      </c>
      <c r="BT69" s="5">
        <v>1608.9</v>
      </c>
      <c r="BU69" s="5">
        <v>1826.8</v>
      </c>
      <c r="BV69" s="5">
        <v>2382.4</v>
      </c>
      <c r="BW69" s="5">
        <v>2059.8000000000002</v>
      </c>
      <c r="BX69" s="5">
        <v>2741.2</v>
      </c>
      <c r="BY69" s="5">
        <v>2201.5</v>
      </c>
      <c r="BZ69" s="5">
        <v>2335.1</v>
      </c>
      <c r="CA69" s="5">
        <v>3236.9</v>
      </c>
      <c r="CB69" s="5">
        <v>3336</v>
      </c>
      <c r="CC69" s="5">
        <v>3488</v>
      </c>
      <c r="CD69" s="5">
        <v>3506.2</v>
      </c>
      <c r="CE69" s="5">
        <v>4121.1000000000004</v>
      </c>
      <c r="CF69" s="5">
        <v>4158.3</v>
      </c>
      <c r="CG69" s="5">
        <v>4454.8999999999996</v>
      </c>
      <c r="CH69" s="5">
        <v>4765.6000000000004</v>
      </c>
      <c r="CI69" s="5">
        <v>4774.6000000000004</v>
      </c>
      <c r="CJ69" s="5">
        <v>4875.3</v>
      </c>
      <c r="CK69" s="5">
        <v>5911.7</v>
      </c>
      <c r="CL69" s="5">
        <v>5999.9</v>
      </c>
      <c r="CM69" s="5">
        <v>6310.9</v>
      </c>
      <c r="CN69" s="5">
        <v>6417.4</v>
      </c>
      <c r="CO69" s="5">
        <v>7904.5</v>
      </c>
      <c r="CP69" s="5">
        <v>8048.7</v>
      </c>
      <c r="CQ69" s="5">
        <v>7847.9</v>
      </c>
      <c r="CR69" s="5">
        <v>8501.9</v>
      </c>
      <c r="CS69" s="5">
        <v>8640.5</v>
      </c>
      <c r="CT69" s="5">
        <v>8965.7000000000007</v>
      </c>
    </row>
    <row r="70" spans="1:98">
      <c r="A70" s="2" t="s">
        <v>166</v>
      </c>
      <c r="B70" s="3">
        <v>100</v>
      </c>
      <c r="C70" s="3">
        <v>109.3</v>
      </c>
      <c r="D70" s="3">
        <v>111.1</v>
      </c>
      <c r="E70" s="3">
        <v>112</v>
      </c>
      <c r="F70" s="3">
        <v>118.2</v>
      </c>
      <c r="G70" s="3">
        <v>128.30000000000001</v>
      </c>
      <c r="H70" s="3">
        <v>129.9</v>
      </c>
      <c r="I70" s="3">
        <v>132.1</v>
      </c>
      <c r="J70" s="3">
        <v>132.1</v>
      </c>
      <c r="K70" s="3">
        <v>135.1</v>
      </c>
      <c r="L70" s="3">
        <v>135.69999999999999</v>
      </c>
      <c r="M70" s="3">
        <v>136.69999999999999</v>
      </c>
      <c r="N70" s="3">
        <v>137.1</v>
      </c>
      <c r="O70" s="3">
        <v>142.19999999999999</v>
      </c>
      <c r="P70" s="3">
        <v>150.6</v>
      </c>
      <c r="Q70" s="3">
        <v>152.80000000000001</v>
      </c>
      <c r="R70" s="3">
        <v>153</v>
      </c>
      <c r="S70" s="3">
        <v>171</v>
      </c>
      <c r="T70" s="3">
        <v>172.1</v>
      </c>
      <c r="U70" s="3">
        <v>174</v>
      </c>
      <c r="V70" s="3">
        <v>185.2</v>
      </c>
      <c r="W70" s="3">
        <v>219.3</v>
      </c>
      <c r="X70" s="3">
        <v>220.2</v>
      </c>
      <c r="Y70" s="3">
        <v>234.4</v>
      </c>
      <c r="Z70" s="3">
        <v>227.3</v>
      </c>
      <c r="AA70" s="3">
        <v>235.3</v>
      </c>
      <c r="AB70" s="3">
        <v>236.3</v>
      </c>
      <c r="AC70" s="3">
        <v>250.6</v>
      </c>
      <c r="AD70" s="3">
        <v>252.6</v>
      </c>
      <c r="AE70" s="3">
        <v>260.7</v>
      </c>
      <c r="AF70" s="3">
        <v>261.7</v>
      </c>
      <c r="AG70" s="3">
        <v>263.2</v>
      </c>
      <c r="AH70" s="3">
        <v>267</v>
      </c>
      <c r="AI70" s="3">
        <v>302.89999999999998</v>
      </c>
      <c r="AJ70" s="3">
        <v>305.89999999999998</v>
      </c>
      <c r="AK70" s="3">
        <v>316.7</v>
      </c>
      <c r="AL70" s="3">
        <v>327</v>
      </c>
      <c r="AM70" s="3">
        <v>375.8</v>
      </c>
      <c r="AN70" s="3">
        <v>408.1</v>
      </c>
      <c r="AO70" s="3">
        <v>489</v>
      </c>
      <c r="AP70" s="3">
        <v>494.4</v>
      </c>
      <c r="AQ70" s="3">
        <v>524.9</v>
      </c>
      <c r="AR70" s="3">
        <v>528.1</v>
      </c>
      <c r="AS70" s="3">
        <v>535.1</v>
      </c>
      <c r="AT70" s="3">
        <v>541.4</v>
      </c>
      <c r="AU70" s="3">
        <v>584.9</v>
      </c>
      <c r="AV70" s="3">
        <v>564.6</v>
      </c>
      <c r="AW70" s="3">
        <v>560.1</v>
      </c>
      <c r="AX70" s="3">
        <v>563.79999999999995</v>
      </c>
      <c r="AY70" s="3">
        <v>589.5</v>
      </c>
      <c r="AZ70" s="3">
        <v>592</v>
      </c>
      <c r="BA70" s="3">
        <v>587.9</v>
      </c>
      <c r="BB70" s="3">
        <v>590.20000000000005</v>
      </c>
      <c r="BC70" s="3">
        <v>614.29999999999995</v>
      </c>
      <c r="BD70" s="3">
        <v>617</v>
      </c>
      <c r="BE70" s="3">
        <v>671.4</v>
      </c>
      <c r="BF70" s="3">
        <v>697.7</v>
      </c>
      <c r="BG70" s="3">
        <v>736.6</v>
      </c>
      <c r="BH70" s="3">
        <v>775.1</v>
      </c>
      <c r="BI70" s="3">
        <v>795.1</v>
      </c>
      <c r="BJ70" s="3">
        <v>821.4</v>
      </c>
      <c r="BK70" s="3">
        <v>873.7</v>
      </c>
      <c r="BL70" s="3">
        <v>1228</v>
      </c>
      <c r="BM70" s="3">
        <v>902</v>
      </c>
      <c r="BN70" s="3">
        <v>1216.5999999999999</v>
      </c>
      <c r="BO70" s="3">
        <v>1077.4000000000001</v>
      </c>
      <c r="BP70" s="3">
        <v>1205.3</v>
      </c>
      <c r="BQ70" s="3">
        <v>1268.5999999999999</v>
      </c>
      <c r="BR70" s="3">
        <v>1262.8</v>
      </c>
      <c r="BS70" s="3">
        <v>1373.7</v>
      </c>
      <c r="BT70" s="3">
        <v>1435.8</v>
      </c>
      <c r="BU70" s="3">
        <v>1810.3</v>
      </c>
      <c r="BV70" s="3">
        <v>2369.5</v>
      </c>
      <c r="BW70" s="3">
        <v>2101.4</v>
      </c>
      <c r="BX70" s="3">
        <v>2662.6</v>
      </c>
      <c r="BY70" s="3">
        <v>2236.6999999999998</v>
      </c>
      <c r="BZ70" s="3">
        <v>2361.1999999999998</v>
      </c>
      <c r="CA70" s="3">
        <v>3208.3</v>
      </c>
      <c r="CB70" s="3">
        <v>3294.7</v>
      </c>
      <c r="CC70" s="3">
        <v>3399.8</v>
      </c>
      <c r="CD70" s="3">
        <v>3322.4</v>
      </c>
      <c r="CE70" s="3">
        <v>3847.9</v>
      </c>
      <c r="CF70" s="3">
        <v>3899.5</v>
      </c>
      <c r="CG70" s="3">
        <v>4076.8</v>
      </c>
      <c r="CH70" s="3">
        <v>4326.8999999999996</v>
      </c>
      <c r="CI70" s="3">
        <v>4680.8999999999996</v>
      </c>
      <c r="CJ70" s="3">
        <v>4837.8</v>
      </c>
      <c r="CK70" s="3">
        <v>5369.9</v>
      </c>
      <c r="CL70" s="3">
        <v>5441.8</v>
      </c>
      <c r="CM70" s="3">
        <v>5889.1</v>
      </c>
      <c r="CN70" s="3">
        <v>5943.1</v>
      </c>
      <c r="CO70" s="3">
        <v>6836.9</v>
      </c>
      <c r="CP70" s="3">
        <v>6967.6</v>
      </c>
      <c r="CQ70" s="3">
        <v>7225.3</v>
      </c>
      <c r="CR70" s="3">
        <v>7573.6</v>
      </c>
      <c r="CS70" s="3">
        <v>7670.9</v>
      </c>
      <c r="CT70" s="3">
        <v>7769.3</v>
      </c>
    </row>
    <row r="71" spans="1:98">
      <c r="A71" s="4" t="s">
        <v>167</v>
      </c>
      <c r="B71" s="5">
        <v>100</v>
      </c>
      <c r="C71" s="5">
        <v>112.2</v>
      </c>
      <c r="D71" s="5">
        <v>115.2</v>
      </c>
      <c r="E71" s="5">
        <v>116.7</v>
      </c>
      <c r="F71" s="5">
        <v>119.6</v>
      </c>
      <c r="G71" s="5">
        <v>130.19999999999999</v>
      </c>
      <c r="H71" s="5">
        <v>144.9</v>
      </c>
      <c r="I71" s="5">
        <v>146.6</v>
      </c>
      <c r="J71" s="5">
        <v>146.6</v>
      </c>
      <c r="K71" s="5">
        <v>151.6</v>
      </c>
      <c r="L71" s="5">
        <v>152.6</v>
      </c>
      <c r="M71" s="5">
        <v>160</v>
      </c>
      <c r="N71" s="5">
        <v>160.6</v>
      </c>
      <c r="O71" s="5">
        <v>169.7</v>
      </c>
      <c r="P71" s="5">
        <v>170.9</v>
      </c>
      <c r="Q71" s="5">
        <v>173.5</v>
      </c>
      <c r="R71" s="5">
        <v>173.7</v>
      </c>
      <c r="S71" s="5">
        <v>194.6</v>
      </c>
      <c r="T71" s="5">
        <v>196.4</v>
      </c>
      <c r="U71" s="5">
        <v>199.3</v>
      </c>
      <c r="V71" s="5">
        <v>211.7</v>
      </c>
      <c r="W71" s="5">
        <v>237.4</v>
      </c>
      <c r="X71" s="5">
        <v>238.8</v>
      </c>
      <c r="Y71" s="5">
        <v>238.6</v>
      </c>
      <c r="Z71" s="5">
        <v>240</v>
      </c>
      <c r="AA71" s="5">
        <v>253.3</v>
      </c>
      <c r="AB71" s="5">
        <v>261.7</v>
      </c>
      <c r="AC71" s="5">
        <v>266.7</v>
      </c>
      <c r="AD71" s="5">
        <v>270</v>
      </c>
      <c r="AE71" s="5">
        <v>286.10000000000002</v>
      </c>
      <c r="AF71" s="5">
        <v>288.7</v>
      </c>
      <c r="AG71" s="5">
        <v>291.7</v>
      </c>
      <c r="AH71" s="5">
        <v>300.89999999999998</v>
      </c>
      <c r="AI71" s="5">
        <v>322.10000000000002</v>
      </c>
      <c r="AJ71" s="5">
        <v>324.60000000000002</v>
      </c>
      <c r="AK71" s="5">
        <v>329.1</v>
      </c>
      <c r="AL71" s="5">
        <v>331.7</v>
      </c>
      <c r="AM71" s="5">
        <v>373.5</v>
      </c>
      <c r="AN71" s="5">
        <v>400.2</v>
      </c>
      <c r="AO71" s="5">
        <v>430</v>
      </c>
      <c r="AP71" s="5">
        <v>435.4</v>
      </c>
      <c r="AQ71" s="5">
        <v>474</v>
      </c>
      <c r="AR71" s="5">
        <v>480.4</v>
      </c>
      <c r="AS71" s="5">
        <v>498.4</v>
      </c>
      <c r="AT71" s="5">
        <v>510.9</v>
      </c>
      <c r="AU71" s="5">
        <v>579.1</v>
      </c>
      <c r="AV71" s="5">
        <v>587</v>
      </c>
      <c r="AW71" s="5">
        <v>607</v>
      </c>
      <c r="AX71" s="5">
        <v>614.5</v>
      </c>
      <c r="AY71" s="5">
        <v>665.8</v>
      </c>
      <c r="AZ71" s="5">
        <v>670.7</v>
      </c>
      <c r="BA71" s="5">
        <v>675.9</v>
      </c>
      <c r="BB71" s="5">
        <v>680.5</v>
      </c>
      <c r="BC71" s="5">
        <v>728.6</v>
      </c>
      <c r="BD71" s="5">
        <v>734.2</v>
      </c>
      <c r="BE71" s="5">
        <v>755.9</v>
      </c>
      <c r="BF71" s="5">
        <v>771</v>
      </c>
      <c r="BG71" s="5">
        <v>833.2</v>
      </c>
      <c r="BH71" s="5">
        <v>847.9</v>
      </c>
      <c r="BI71" s="5">
        <v>849</v>
      </c>
      <c r="BJ71" s="5">
        <v>876.4</v>
      </c>
      <c r="BK71" s="5">
        <v>1000.9</v>
      </c>
      <c r="BL71" s="5">
        <v>1198.7</v>
      </c>
      <c r="BM71" s="5">
        <v>1047.2</v>
      </c>
      <c r="BN71" s="5">
        <v>1213.7</v>
      </c>
      <c r="BO71" s="5">
        <v>1139.3</v>
      </c>
      <c r="BP71" s="5">
        <v>1270.8</v>
      </c>
      <c r="BQ71" s="5">
        <v>1456</v>
      </c>
      <c r="BR71" s="5">
        <v>1509.1</v>
      </c>
      <c r="BS71" s="5">
        <v>1517.9</v>
      </c>
      <c r="BT71" s="5">
        <v>1542.6</v>
      </c>
      <c r="BU71" s="5">
        <v>1915.7</v>
      </c>
      <c r="BV71" s="5">
        <v>2498.8000000000002</v>
      </c>
      <c r="BW71" s="5">
        <v>2142.6</v>
      </c>
      <c r="BX71" s="5">
        <v>2672.4</v>
      </c>
      <c r="BY71" s="5">
        <v>2143.9</v>
      </c>
      <c r="BZ71" s="5">
        <v>2183.8000000000002</v>
      </c>
      <c r="CA71" s="5">
        <v>3287.2</v>
      </c>
      <c r="CB71" s="5">
        <v>3437.4</v>
      </c>
      <c r="CC71" s="5">
        <v>3523.5</v>
      </c>
      <c r="CD71" s="5">
        <v>3579.8</v>
      </c>
      <c r="CE71" s="5">
        <v>4385.2</v>
      </c>
      <c r="CF71" s="5">
        <v>4463</v>
      </c>
      <c r="CG71" s="5">
        <v>4555.8</v>
      </c>
      <c r="CH71" s="5">
        <v>4772.6000000000004</v>
      </c>
      <c r="CI71" s="5">
        <v>4773.3</v>
      </c>
      <c r="CJ71" s="5">
        <v>4816.6000000000004</v>
      </c>
      <c r="CK71" s="5">
        <v>5739.5</v>
      </c>
      <c r="CL71" s="5">
        <v>5935.4</v>
      </c>
      <c r="CM71" s="5">
        <v>6077.1</v>
      </c>
      <c r="CN71" s="5">
        <v>6189.9</v>
      </c>
      <c r="CO71" s="5">
        <v>7469.3</v>
      </c>
      <c r="CP71" s="5">
        <v>7755.2</v>
      </c>
      <c r="CQ71" s="5">
        <v>7783.8</v>
      </c>
      <c r="CR71" s="5">
        <v>8321.2999999999993</v>
      </c>
      <c r="CS71" s="5">
        <v>8373.9</v>
      </c>
      <c r="CT71" s="5">
        <v>8701.2999999999993</v>
      </c>
    </row>
    <row r="72" spans="1:98">
      <c r="A72" s="2" t="s">
        <v>168</v>
      </c>
      <c r="B72" s="3">
        <v>100</v>
      </c>
      <c r="C72" s="3">
        <v>105.3</v>
      </c>
      <c r="D72" s="3">
        <v>105.9</v>
      </c>
      <c r="E72" s="3">
        <v>106.1</v>
      </c>
      <c r="F72" s="3">
        <v>110.3</v>
      </c>
      <c r="G72" s="3">
        <v>136.9</v>
      </c>
      <c r="H72" s="3">
        <v>150</v>
      </c>
      <c r="I72" s="3">
        <v>150.30000000000001</v>
      </c>
      <c r="J72" s="3">
        <v>150.30000000000001</v>
      </c>
      <c r="K72" s="3">
        <v>151.69999999999999</v>
      </c>
      <c r="L72" s="3">
        <v>151.9</v>
      </c>
      <c r="M72" s="3">
        <v>170.4</v>
      </c>
      <c r="N72" s="3">
        <v>170.5</v>
      </c>
      <c r="O72" s="3">
        <v>198.6</v>
      </c>
      <c r="P72" s="3">
        <v>198.6</v>
      </c>
      <c r="Q72" s="3">
        <v>201.2</v>
      </c>
      <c r="R72" s="3">
        <v>201.2</v>
      </c>
      <c r="S72" s="3">
        <v>225.3</v>
      </c>
      <c r="T72" s="3">
        <v>225.7</v>
      </c>
      <c r="U72" s="3">
        <v>226.2</v>
      </c>
      <c r="V72" s="3">
        <v>230.5</v>
      </c>
      <c r="W72" s="3">
        <v>252.3</v>
      </c>
      <c r="X72" s="3">
        <v>252.2</v>
      </c>
      <c r="Y72" s="3">
        <v>262.39999999999998</v>
      </c>
      <c r="Z72" s="3">
        <v>263.5</v>
      </c>
      <c r="AA72" s="3">
        <v>265.5</v>
      </c>
      <c r="AB72" s="3">
        <v>268.2</v>
      </c>
      <c r="AC72" s="3">
        <v>269.2</v>
      </c>
      <c r="AD72" s="3">
        <v>271.5</v>
      </c>
      <c r="AE72" s="3">
        <v>293.5</v>
      </c>
      <c r="AF72" s="3">
        <v>293.8</v>
      </c>
      <c r="AG72" s="3">
        <v>296.5</v>
      </c>
      <c r="AH72" s="3">
        <v>321.60000000000002</v>
      </c>
      <c r="AI72" s="3">
        <v>330.6</v>
      </c>
      <c r="AJ72" s="3">
        <v>331.3</v>
      </c>
      <c r="AK72" s="3">
        <v>332.2</v>
      </c>
      <c r="AL72" s="3">
        <v>378.5</v>
      </c>
      <c r="AM72" s="3">
        <v>450.5</v>
      </c>
      <c r="AN72" s="3">
        <v>531.20000000000005</v>
      </c>
      <c r="AO72" s="3">
        <v>627.5</v>
      </c>
      <c r="AP72" s="3">
        <v>625.79999999999995</v>
      </c>
      <c r="AQ72" s="3">
        <v>635.70000000000005</v>
      </c>
      <c r="AR72" s="3">
        <v>631.9</v>
      </c>
      <c r="AS72" s="3">
        <v>633.1</v>
      </c>
      <c r="AT72" s="3">
        <v>635.6</v>
      </c>
      <c r="AU72" s="3">
        <v>688.7</v>
      </c>
      <c r="AV72" s="3">
        <v>690.6</v>
      </c>
      <c r="AW72" s="3">
        <v>665.9</v>
      </c>
      <c r="AX72" s="3">
        <v>667.1</v>
      </c>
      <c r="AY72" s="3">
        <v>674</v>
      </c>
      <c r="AZ72" s="3">
        <v>675.4</v>
      </c>
      <c r="BA72" s="3">
        <v>680</v>
      </c>
      <c r="BB72" s="3">
        <v>680.9</v>
      </c>
      <c r="BC72" s="3">
        <v>745.7</v>
      </c>
      <c r="BD72" s="3">
        <v>747.1</v>
      </c>
      <c r="BE72" s="3">
        <v>799.9</v>
      </c>
      <c r="BF72" s="3">
        <v>843.3</v>
      </c>
      <c r="BG72" s="3">
        <v>865.2</v>
      </c>
      <c r="BH72" s="3">
        <v>925.3</v>
      </c>
      <c r="BI72" s="3">
        <v>961</v>
      </c>
      <c r="BJ72" s="3">
        <v>1035.5999999999999</v>
      </c>
      <c r="BK72" s="3">
        <v>1218.7</v>
      </c>
      <c r="BL72" s="3">
        <v>1849.7</v>
      </c>
      <c r="BM72" s="3">
        <v>1388.6</v>
      </c>
      <c r="BN72" s="3">
        <v>1946.2</v>
      </c>
      <c r="BO72" s="3">
        <v>1678.3</v>
      </c>
      <c r="BP72" s="3">
        <v>1831.5</v>
      </c>
      <c r="BQ72" s="3">
        <v>2311.1</v>
      </c>
      <c r="BR72" s="3">
        <v>2212.6999999999998</v>
      </c>
      <c r="BS72" s="3">
        <v>2348.8000000000002</v>
      </c>
      <c r="BT72" s="3">
        <v>2449.6999999999998</v>
      </c>
      <c r="BU72" s="3">
        <v>2867.6</v>
      </c>
      <c r="BV72" s="3">
        <v>4457.8</v>
      </c>
      <c r="BW72" s="3">
        <v>3455.9</v>
      </c>
      <c r="BX72" s="3">
        <v>4356.3999999999996</v>
      </c>
      <c r="BY72" s="3">
        <v>3967.6</v>
      </c>
      <c r="BZ72" s="3">
        <v>4376.1000000000004</v>
      </c>
      <c r="CA72" s="3">
        <v>4871.3</v>
      </c>
      <c r="CB72" s="3">
        <v>5274.5</v>
      </c>
      <c r="CC72" s="3">
        <v>5407.9</v>
      </c>
      <c r="CD72" s="3">
        <v>5701.9</v>
      </c>
      <c r="CE72" s="3">
        <v>6501.2</v>
      </c>
      <c r="CF72" s="3">
        <v>6628.1</v>
      </c>
      <c r="CG72" s="3">
        <v>6917.5</v>
      </c>
      <c r="CH72" s="3">
        <v>8187.7</v>
      </c>
      <c r="CI72" s="3">
        <v>8516.9</v>
      </c>
      <c r="CJ72" s="3">
        <v>8517.9</v>
      </c>
      <c r="CK72" s="3">
        <v>9148</v>
      </c>
      <c r="CL72" s="3">
        <v>9169.1</v>
      </c>
      <c r="CM72" s="3">
        <v>9463.1</v>
      </c>
      <c r="CN72" s="3">
        <v>10421.299999999999</v>
      </c>
      <c r="CO72" s="3">
        <v>11526.9</v>
      </c>
      <c r="CP72" s="3">
        <v>12213.7</v>
      </c>
      <c r="CQ72" s="3">
        <v>12236.6</v>
      </c>
      <c r="CR72" s="3">
        <v>12715.6</v>
      </c>
      <c r="CS72" s="3">
        <v>12740.6</v>
      </c>
      <c r="CT72" s="3">
        <v>14553.2</v>
      </c>
    </row>
    <row r="73" spans="1:98">
      <c r="A73" s="4" t="s">
        <v>169</v>
      </c>
      <c r="B73" s="5">
        <v>100</v>
      </c>
      <c r="C73" s="5">
        <v>107.2</v>
      </c>
      <c r="D73" s="5">
        <v>108.5</v>
      </c>
      <c r="E73" s="5">
        <v>109.1</v>
      </c>
      <c r="F73" s="5">
        <v>109.6</v>
      </c>
      <c r="G73" s="5">
        <v>123.4</v>
      </c>
      <c r="H73" s="5">
        <v>124.5</v>
      </c>
      <c r="I73" s="5">
        <v>125.1</v>
      </c>
      <c r="J73" s="5">
        <v>125.1</v>
      </c>
      <c r="K73" s="5">
        <v>129.6</v>
      </c>
      <c r="L73" s="5">
        <v>129.9</v>
      </c>
      <c r="M73" s="5">
        <v>136.9</v>
      </c>
      <c r="N73" s="5">
        <v>137.1</v>
      </c>
      <c r="O73" s="5">
        <v>157.1</v>
      </c>
      <c r="P73" s="5">
        <v>157.19999999999999</v>
      </c>
      <c r="Q73" s="5">
        <v>159.69999999999999</v>
      </c>
      <c r="R73" s="5">
        <v>159.80000000000001</v>
      </c>
      <c r="S73" s="5">
        <v>171.2</v>
      </c>
      <c r="T73" s="5">
        <v>172</v>
      </c>
      <c r="U73" s="5">
        <v>177.6</v>
      </c>
      <c r="V73" s="5">
        <v>178.6</v>
      </c>
      <c r="W73" s="5">
        <v>198.2</v>
      </c>
      <c r="X73" s="5">
        <v>198.8</v>
      </c>
      <c r="Y73" s="5">
        <v>199.4</v>
      </c>
      <c r="Z73" s="5">
        <v>195.4</v>
      </c>
      <c r="AA73" s="5">
        <v>198.9</v>
      </c>
      <c r="AB73" s="5">
        <v>199.5</v>
      </c>
      <c r="AC73" s="5">
        <v>200.9</v>
      </c>
      <c r="AD73" s="5">
        <v>201.8</v>
      </c>
      <c r="AE73" s="5">
        <v>216.7</v>
      </c>
      <c r="AF73" s="5">
        <v>224.3</v>
      </c>
      <c r="AG73" s="5">
        <v>224.6</v>
      </c>
      <c r="AH73" s="5">
        <v>233.4</v>
      </c>
      <c r="AI73" s="5">
        <v>248.6</v>
      </c>
      <c r="AJ73" s="5">
        <v>249.2</v>
      </c>
      <c r="AK73" s="5">
        <v>249.9</v>
      </c>
      <c r="AL73" s="5">
        <v>265.2</v>
      </c>
      <c r="AM73" s="5">
        <v>320.5</v>
      </c>
      <c r="AN73" s="5">
        <v>331.4</v>
      </c>
      <c r="AO73" s="5">
        <v>376.6</v>
      </c>
      <c r="AP73" s="5">
        <v>401.6</v>
      </c>
      <c r="AQ73" s="5">
        <v>405.9</v>
      </c>
      <c r="AR73" s="5">
        <v>407</v>
      </c>
      <c r="AS73" s="5">
        <v>422.4</v>
      </c>
      <c r="AT73" s="5">
        <v>424.2</v>
      </c>
      <c r="AU73" s="5">
        <v>563.5</v>
      </c>
      <c r="AV73" s="5">
        <v>564.9</v>
      </c>
      <c r="AW73" s="5">
        <v>537</v>
      </c>
      <c r="AX73" s="5">
        <v>537.79999999999995</v>
      </c>
      <c r="AY73" s="5">
        <v>549.29999999999995</v>
      </c>
      <c r="AZ73" s="5">
        <v>550.29999999999995</v>
      </c>
      <c r="BA73" s="5">
        <v>532.1</v>
      </c>
      <c r="BB73" s="5">
        <v>532.70000000000005</v>
      </c>
      <c r="BC73" s="5">
        <v>565.79999999999995</v>
      </c>
      <c r="BD73" s="5">
        <v>566.9</v>
      </c>
      <c r="BE73" s="5">
        <v>605.79999999999995</v>
      </c>
      <c r="BF73" s="5">
        <v>606.5</v>
      </c>
      <c r="BG73" s="5">
        <v>706.8</v>
      </c>
      <c r="BH73" s="5">
        <v>708.4</v>
      </c>
      <c r="BI73" s="5">
        <v>709.4</v>
      </c>
      <c r="BJ73" s="5">
        <v>710.4</v>
      </c>
      <c r="BK73" s="5">
        <v>833.1</v>
      </c>
      <c r="BL73" s="5">
        <v>1346.4</v>
      </c>
      <c r="BM73" s="5">
        <v>1013.4</v>
      </c>
      <c r="BN73" s="5">
        <v>1363.4</v>
      </c>
      <c r="BO73" s="5">
        <v>1240.8</v>
      </c>
      <c r="BP73" s="5">
        <v>1534.9</v>
      </c>
      <c r="BQ73" s="5">
        <v>1515.5</v>
      </c>
      <c r="BR73" s="5">
        <v>1502.4</v>
      </c>
      <c r="BS73" s="5">
        <v>1649.7</v>
      </c>
      <c r="BT73" s="5">
        <v>1714.4</v>
      </c>
      <c r="BU73" s="5">
        <v>2053.4</v>
      </c>
      <c r="BV73" s="5">
        <v>2990.6</v>
      </c>
      <c r="BW73" s="5">
        <v>2454.5</v>
      </c>
      <c r="BX73" s="5">
        <v>3589.9</v>
      </c>
      <c r="BY73" s="5">
        <v>2624.7</v>
      </c>
      <c r="BZ73" s="5">
        <v>3089.4</v>
      </c>
      <c r="CA73" s="5">
        <v>3837.6</v>
      </c>
      <c r="CB73" s="5">
        <v>3931.6</v>
      </c>
      <c r="CC73" s="5">
        <v>4167.5</v>
      </c>
      <c r="CD73" s="5">
        <v>4175.6000000000004</v>
      </c>
      <c r="CE73" s="5">
        <v>4877.8</v>
      </c>
      <c r="CF73" s="5">
        <v>5010.8999999999996</v>
      </c>
      <c r="CG73" s="5">
        <v>5275.3</v>
      </c>
      <c r="CH73" s="5">
        <v>5546.7</v>
      </c>
      <c r="CI73" s="5">
        <v>5680.2</v>
      </c>
      <c r="CJ73" s="5">
        <v>5681</v>
      </c>
      <c r="CK73" s="5">
        <v>6365.9</v>
      </c>
      <c r="CL73" s="5">
        <v>6400.7</v>
      </c>
      <c r="CM73" s="5">
        <v>6386.8</v>
      </c>
      <c r="CN73" s="5">
        <v>6764.2</v>
      </c>
      <c r="CO73" s="5">
        <v>7720.7</v>
      </c>
      <c r="CP73" s="5">
        <v>8066.7</v>
      </c>
      <c r="CQ73" s="5">
        <v>8347.9</v>
      </c>
      <c r="CR73" s="5">
        <v>8540.2000000000007</v>
      </c>
      <c r="CS73" s="5">
        <v>8559.7000000000007</v>
      </c>
      <c r="CT73" s="5">
        <v>9364.7000000000007</v>
      </c>
    </row>
    <row r="74" spans="1:98">
      <c r="A74" s="2" t="s">
        <v>170</v>
      </c>
      <c r="B74" s="3">
        <v>100</v>
      </c>
      <c r="C74" s="3">
        <v>106</v>
      </c>
      <c r="D74" s="3">
        <v>106.1</v>
      </c>
      <c r="E74" s="3">
        <v>106.1</v>
      </c>
      <c r="F74" s="3">
        <v>106.5</v>
      </c>
      <c r="G74" s="3">
        <v>112.7</v>
      </c>
      <c r="H74" s="3">
        <v>112.7</v>
      </c>
      <c r="I74" s="3">
        <v>122.9</v>
      </c>
      <c r="J74" s="3">
        <v>122.9</v>
      </c>
      <c r="K74" s="3">
        <v>128.9</v>
      </c>
      <c r="L74" s="3">
        <v>128.9</v>
      </c>
      <c r="M74" s="3">
        <v>129</v>
      </c>
      <c r="N74" s="3">
        <v>129</v>
      </c>
      <c r="O74" s="3">
        <v>144.19999999999999</v>
      </c>
      <c r="P74" s="3">
        <v>144.19999999999999</v>
      </c>
      <c r="Q74" s="3">
        <v>145.69999999999999</v>
      </c>
      <c r="R74" s="3">
        <v>145.69999999999999</v>
      </c>
      <c r="S74" s="3">
        <v>154.6</v>
      </c>
      <c r="T74" s="3">
        <v>154.69999999999999</v>
      </c>
      <c r="U74" s="3">
        <v>154.69999999999999</v>
      </c>
      <c r="V74" s="3">
        <v>161.19999999999999</v>
      </c>
      <c r="W74" s="3">
        <v>181.2</v>
      </c>
      <c r="X74" s="3">
        <v>181.2</v>
      </c>
      <c r="Y74" s="3">
        <v>181.2</v>
      </c>
      <c r="Z74" s="3">
        <v>191.8</v>
      </c>
      <c r="AA74" s="3">
        <v>192</v>
      </c>
      <c r="AB74" s="3">
        <v>192</v>
      </c>
      <c r="AC74" s="3">
        <v>192.1</v>
      </c>
      <c r="AD74" s="3">
        <v>192.1</v>
      </c>
      <c r="AE74" s="3">
        <v>203.9</v>
      </c>
      <c r="AF74" s="3">
        <v>204</v>
      </c>
      <c r="AG74" s="3">
        <v>204</v>
      </c>
      <c r="AH74" s="3">
        <v>204.6</v>
      </c>
      <c r="AI74" s="3">
        <v>210</v>
      </c>
      <c r="AJ74" s="3">
        <v>210.1</v>
      </c>
      <c r="AK74" s="3">
        <v>210.3</v>
      </c>
      <c r="AL74" s="3">
        <v>245.1</v>
      </c>
      <c r="AM74" s="3">
        <v>293.39999999999998</v>
      </c>
      <c r="AN74" s="3">
        <v>370.1</v>
      </c>
      <c r="AO74" s="3">
        <v>411.8</v>
      </c>
      <c r="AP74" s="3">
        <v>412</v>
      </c>
      <c r="AQ74" s="3">
        <v>413.3</v>
      </c>
      <c r="AR74" s="3">
        <v>373.4</v>
      </c>
      <c r="AS74" s="3">
        <v>413.9</v>
      </c>
      <c r="AT74" s="3">
        <v>414.2</v>
      </c>
      <c r="AU74" s="3">
        <v>410</v>
      </c>
      <c r="AV74" s="3">
        <v>410.3</v>
      </c>
      <c r="AW74" s="3">
        <v>432.2</v>
      </c>
      <c r="AX74" s="3">
        <v>432.4</v>
      </c>
      <c r="AY74" s="3">
        <v>433.6</v>
      </c>
      <c r="AZ74" s="3">
        <v>433.8</v>
      </c>
      <c r="BA74" s="3">
        <v>434</v>
      </c>
      <c r="BB74" s="3">
        <v>434.1</v>
      </c>
      <c r="BC74" s="3">
        <v>435.9</v>
      </c>
      <c r="BD74" s="3">
        <v>436.1</v>
      </c>
      <c r="BE74" s="3">
        <v>436.3</v>
      </c>
      <c r="BF74" s="3">
        <v>436.4</v>
      </c>
      <c r="BG74" s="3">
        <v>437.8</v>
      </c>
      <c r="BH74" s="3">
        <v>438.1</v>
      </c>
      <c r="BI74" s="3">
        <v>509.1</v>
      </c>
      <c r="BJ74" s="3">
        <v>538.79999999999995</v>
      </c>
      <c r="BK74" s="3">
        <v>607.5</v>
      </c>
      <c r="BL74" s="3">
        <v>1116.5</v>
      </c>
      <c r="BM74" s="3">
        <v>665.1</v>
      </c>
      <c r="BN74" s="3">
        <v>1118.3</v>
      </c>
      <c r="BO74" s="3">
        <v>940.6</v>
      </c>
      <c r="BP74" s="3">
        <v>1010.1</v>
      </c>
      <c r="BQ74" s="3">
        <v>1288.3</v>
      </c>
      <c r="BR74" s="3">
        <v>1284.3</v>
      </c>
      <c r="BS74" s="3">
        <v>1313.7</v>
      </c>
      <c r="BT74" s="3">
        <v>1345.4</v>
      </c>
      <c r="BU74" s="3">
        <v>1588.4</v>
      </c>
      <c r="BV74" s="3">
        <v>2508.3000000000002</v>
      </c>
      <c r="BW74" s="3">
        <v>1826.9</v>
      </c>
      <c r="BX74" s="3">
        <v>2631.8</v>
      </c>
      <c r="BY74" s="3">
        <v>2062.3000000000002</v>
      </c>
      <c r="BZ74" s="3">
        <v>2370</v>
      </c>
      <c r="CA74" s="3">
        <v>3008.5</v>
      </c>
      <c r="CB74" s="3">
        <v>3297.6</v>
      </c>
      <c r="CC74" s="3">
        <v>3041.6</v>
      </c>
      <c r="CD74" s="3">
        <v>3069.5</v>
      </c>
      <c r="CE74" s="3">
        <v>3298.1</v>
      </c>
      <c r="CF74" s="3">
        <v>3368.3</v>
      </c>
      <c r="CG74" s="3">
        <v>3758.5</v>
      </c>
      <c r="CH74" s="3">
        <v>4450.8999999999996</v>
      </c>
      <c r="CI74" s="3">
        <v>5107.3999999999996</v>
      </c>
      <c r="CJ74" s="3">
        <v>5197.1000000000004</v>
      </c>
      <c r="CK74" s="3">
        <v>5695.5</v>
      </c>
      <c r="CL74" s="3">
        <v>5703</v>
      </c>
      <c r="CM74" s="3">
        <v>6570.3</v>
      </c>
      <c r="CN74" s="3">
        <v>6769.5</v>
      </c>
      <c r="CO74" s="3">
        <v>7489.3</v>
      </c>
      <c r="CP74" s="3">
        <v>7766.3</v>
      </c>
      <c r="CQ74" s="3">
        <v>8733.7999999999993</v>
      </c>
      <c r="CR74" s="3">
        <v>9665.2000000000007</v>
      </c>
      <c r="CS74" s="3">
        <v>10131.299999999999</v>
      </c>
      <c r="CT74" s="3">
        <v>10793.8</v>
      </c>
    </row>
    <row r="75" spans="1:98">
      <c r="A75" s="4" t="s">
        <v>171</v>
      </c>
      <c r="B75" s="5">
        <v>100</v>
      </c>
      <c r="C75" s="5">
        <v>102.9</v>
      </c>
      <c r="D75" s="5">
        <v>103</v>
      </c>
      <c r="E75" s="5">
        <v>103</v>
      </c>
      <c r="F75" s="5">
        <v>103.1</v>
      </c>
      <c r="G75" s="5">
        <v>107.7</v>
      </c>
      <c r="H75" s="5">
        <v>107.8</v>
      </c>
      <c r="I75" s="5">
        <v>107.9</v>
      </c>
      <c r="J75" s="5">
        <v>107.9</v>
      </c>
      <c r="K75" s="5">
        <v>108.1</v>
      </c>
      <c r="L75" s="5">
        <v>108.2</v>
      </c>
      <c r="M75" s="5">
        <v>108.3</v>
      </c>
      <c r="N75" s="5">
        <v>108.3</v>
      </c>
      <c r="O75" s="5">
        <v>112.3</v>
      </c>
      <c r="P75" s="5">
        <v>112.3</v>
      </c>
      <c r="Q75" s="5">
        <v>113.6</v>
      </c>
      <c r="R75" s="5">
        <v>113.6</v>
      </c>
      <c r="S75" s="5">
        <v>121.5</v>
      </c>
      <c r="T75" s="5">
        <v>121.6</v>
      </c>
      <c r="U75" s="5">
        <v>121.8</v>
      </c>
      <c r="V75" s="5">
        <v>121.9</v>
      </c>
      <c r="W75" s="5">
        <v>136.4</v>
      </c>
      <c r="X75" s="5">
        <v>136.5</v>
      </c>
      <c r="Y75" s="5">
        <v>136.6</v>
      </c>
      <c r="Z75" s="5">
        <v>133.6</v>
      </c>
      <c r="AA75" s="5">
        <v>134</v>
      </c>
      <c r="AB75" s="5">
        <v>125.7</v>
      </c>
      <c r="AC75" s="5">
        <v>125.9</v>
      </c>
      <c r="AD75" s="5">
        <v>125.9</v>
      </c>
      <c r="AE75" s="5">
        <v>126.4</v>
      </c>
      <c r="AF75" s="5">
        <v>126.4</v>
      </c>
      <c r="AG75" s="5">
        <v>126.5</v>
      </c>
      <c r="AH75" s="5">
        <v>127.2</v>
      </c>
      <c r="AI75" s="5">
        <v>151.30000000000001</v>
      </c>
      <c r="AJ75" s="5">
        <v>153.5</v>
      </c>
      <c r="AK75" s="5">
        <v>153.80000000000001</v>
      </c>
      <c r="AL75" s="5">
        <v>158.80000000000001</v>
      </c>
      <c r="AM75" s="5">
        <v>210.5</v>
      </c>
      <c r="AN75" s="5">
        <v>306.8</v>
      </c>
      <c r="AO75" s="5">
        <v>318.8</v>
      </c>
      <c r="AP75" s="5">
        <v>339.6</v>
      </c>
      <c r="AQ75" s="5">
        <v>393.5</v>
      </c>
      <c r="AR75" s="5">
        <v>393.8</v>
      </c>
      <c r="AS75" s="5">
        <v>394.2</v>
      </c>
      <c r="AT75" s="5">
        <v>394.5</v>
      </c>
      <c r="AU75" s="5">
        <v>396.8</v>
      </c>
      <c r="AV75" s="5">
        <v>416.8</v>
      </c>
      <c r="AW75" s="5">
        <v>417.1</v>
      </c>
      <c r="AX75" s="5">
        <v>435.1</v>
      </c>
      <c r="AY75" s="5">
        <v>409.5</v>
      </c>
      <c r="AZ75" s="5">
        <v>424.9</v>
      </c>
      <c r="BA75" s="5">
        <v>418.5</v>
      </c>
      <c r="BB75" s="5">
        <v>418.6</v>
      </c>
      <c r="BC75" s="5">
        <v>479.4</v>
      </c>
      <c r="BD75" s="5">
        <v>479.6</v>
      </c>
      <c r="BE75" s="5">
        <v>515</v>
      </c>
      <c r="BF75" s="5">
        <v>515.1</v>
      </c>
      <c r="BG75" s="5">
        <v>548.4</v>
      </c>
      <c r="BH75" s="5">
        <v>560.9</v>
      </c>
      <c r="BI75" s="5">
        <v>568.9</v>
      </c>
      <c r="BJ75" s="5">
        <v>572.70000000000005</v>
      </c>
      <c r="BK75" s="5">
        <v>990</v>
      </c>
      <c r="BL75" s="5">
        <v>1564.2</v>
      </c>
      <c r="BM75" s="5">
        <v>1177</v>
      </c>
      <c r="BN75" s="5">
        <v>1565.2</v>
      </c>
      <c r="BO75" s="5">
        <v>1362.9</v>
      </c>
      <c r="BP75" s="5">
        <v>1578.7</v>
      </c>
      <c r="BQ75" s="5">
        <v>1572</v>
      </c>
      <c r="BR75" s="5">
        <v>1487.7</v>
      </c>
      <c r="BS75" s="5">
        <v>1712</v>
      </c>
      <c r="BT75" s="5">
        <v>1774.7</v>
      </c>
      <c r="BU75" s="5">
        <v>2148.6</v>
      </c>
      <c r="BV75" s="5">
        <v>3771</v>
      </c>
      <c r="BW75" s="5">
        <v>2597.9</v>
      </c>
      <c r="BX75" s="5">
        <v>3370</v>
      </c>
      <c r="BY75" s="5">
        <v>2952.6</v>
      </c>
      <c r="BZ75" s="5">
        <v>3411.7</v>
      </c>
      <c r="CA75" s="5">
        <v>3681.7</v>
      </c>
      <c r="CB75" s="5">
        <v>3687.3</v>
      </c>
      <c r="CC75" s="5">
        <v>4155.6000000000004</v>
      </c>
      <c r="CD75" s="5">
        <v>4091.2</v>
      </c>
      <c r="CE75" s="5">
        <v>4397.8999999999996</v>
      </c>
      <c r="CF75" s="5">
        <v>4680.8</v>
      </c>
      <c r="CG75" s="5">
        <v>5222.7</v>
      </c>
      <c r="CH75" s="5">
        <v>5649.9</v>
      </c>
      <c r="CI75" s="5">
        <v>6201.5</v>
      </c>
      <c r="CJ75" s="5">
        <v>6201.5</v>
      </c>
      <c r="CK75" s="5">
        <v>6231.1</v>
      </c>
      <c r="CL75" s="5">
        <v>6238</v>
      </c>
      <c r="CM75" s="5">
        <v>6854.6</v>
      </c>
      <c r="CN75" s="5">
        <v>7092.2</v>
      </c>
      <c r="CO75" s="5">
        <v>7735.3</v>
      </c>
      <c r="CP75" s="5">
        <v>8381.5</v>
      </c>
      <c r="CQ75" s="5">
        <v>9207.4</v>
      </c>
      <c r="CR75" s="5">
        <v>10084.4</v>
      </c>
      <c r="CS75" s="5">
        <v>10811.2</v>
      </c>
      <c r="CT75" s="5">
        <v>13037.6</v>
      </c>
    </row>
    <row r="76" spans="1:98">
      <c r="A76" s="2" t="s">
        <v>172</v>
      </c>
      <c r="B76" s="3">
        <v>100</v>
      </c>
      <c r="C76" s="3">
        <v>100.4</v>
      </c>
      <c r="D76" s="3">
        <v>100.6</v>
      </c>
      <c r="E76" s="3">
        <v>100.7</v>
      </c>
      <c r="F76" s="3">
        <v>105</v>
      </c>
      <c r="G76" s="3">
        <v>110.3</v>
      </c>
      <c r="H76" s="3">
        <v>110.5</v>
      </c>
      <c r="I76" s="3">
        <v>110.6</v>
      </c>
      <c r="J76" s="3">
        <v>110.6</v>
      </c>
      <c r="K76" s="3">
        <v>110.8</v>
      </c>
      <c r="L76" s="3">
        <v>110.9</v>
      </c>
      <c r="M76" s="3">
        <v>111.1</v>
      </c>
      <c r="N76" s="3">
        <v>111.2</v>
      </c>
      <c r="O76" s="3">
        <v>115.7</v>
      </c>
      <c r="P76" s="3">
        <v>115.7</v>
      </c>
      <c r="Q76" s="3">
        <v>117.5</v>
      </c>
      <c r="R76" s="3">
        <v>117.6</v>
      </c>
      <c r="S76" s="3">
        <v>130.30000000000001</v>
      </c>
      <c r="T76" s="3">
        <v>130.4</v>
      </c>
      <c r="U76" s="3">
        <v>131.5</v>
      </c>
      <c r="V76" s="3">
        <v>137.1</v>
      </c>
      <c r="W76" s="3">
        <v>158.19999999999999</v>
      </c>
      <c r="X76" s="3">
        <v>158.30000000000001</v>
      </c>
      <c r="Y76" s="3">
        <v>165.8</v>
      </c>
      <c r="Z76" s="3">
        <v>165.8</v>
      </c>
      <c r="AA76" s="3">
        <v>166.4</v>
      </c>
      <c r="AB76" s="3">
        <v>166.5</v>
      </c>
      <c r="AC76" s="3">
        <v>174.2</v>
      </c>
      <c r="AD76" s="3">
        <v>174.3</v>
      </c>
      <c r="AE76" s="3">
        <v>190.3</v>
      </c>
      <c r="AF76" s="3">
        <v>190.5</v>
      </c>
      <c r="AG76" s="3">
        <v>190.6</v>
      </c>
      <c r="AH76" s="3">
        <v>208.6</v>
      </c>
      <c r="AI76" s="3">
        <v>227.3</v>
      </c>
      <c r="AJ76" s="3">
        <v>227.9</v>
      </c>
      <c r="AK76" s="3">
        <v>228.2</v>
      </c>
      <c r="AL76" s="3">
        <v>276.8</v>
      </c>
      <c r="AM76" s="3">
        <v>279.8</v>
      </c>
      <c r="AN76" s="3">
        <v>280.8</v>
      </c>
      <c r="AO76" s="3">
        <v>282.2</v>
      </c>
      <c r="AP76" s="3">
        <v>364.3</v>
      </c>
      <c r="AQ76" s="3">
        <v>438.2</v>
      </c>
      <c r="AR76" s="3">
        <v>510.5</v>
      </c>
      <c r="AS76" s="3">
        <v>510.9</v>
      </c>
      <c r="AT76" s="3">
        <v>511.9</v>
      </c>
      <c r="AU76" s="3">
        <v>546.9</v>
      </c>
      <c r="AV76" s="3">
        <v>547.9</v>
      </c>
      <c r="AW76" s="3">
        <v>547.9</v>
      </c>
      <c r="AX76" s="3">
        <v>548.1</v>
      </c>
      <c r="AY76" s="3">
        <v>600.70000000000005</v>
      </c>
      <c r="AZ76" s="3">
        <v>601.5</v>
      </c>
      <c r="BA76" s="3">
        <v>603.6</v>
      </c>
      <c r="BB76" s="3">
        <v>603.9</v>
      </c>
      <c r="BC76" s="3">
        <v>602.9</v>
      </c>
      <c r="BD76" s="3">
        <v>603.70000000000005</v>
      </c>
      <c r="BE76" s="3">
        <v>623.1</v>
      </c>
      <c r="BF76" s="3">
        <v>623.4</v>
      </c>
      <c r="BG76" s="3">
        <v>626.70000000000005</v>
      </c>
      <c r="BH76" s="3">
        <v>628.1</v>
      </c>
      <c r="BI76" s="3">
        <v>631.5</v>
      </c>
      <c r="BJ76" s="3">
        <v>649.20000000000005</v>
      </c>
      <c r="BK76" s="3">
        <v>760.7</v>
      </c>
      <c r="BL76" s="3">
        <v>1153.7</v>
      </c>
      <c r="BM76" s="3">
        <v>827</v>
      </c>
      <c r="BN76" s="3">
        <v>1164.5</v>
      </c>
      <c r="BO76" s="3">
        <v>985.2</v>
      </c>
      <c r="BP76" s="3">
        <v>1090.4000000000001</v>
      </c>
      <c r="BQ76" s="3">
        <v>1421.9</v>
      </c>
      <c r="BR76" s="3">
        <v>1426.5</v>
      </c>
      <c r="BS76" s="3">
        <v>1539.2</v>
      </c>
      <c r="BT76" s="3">
        <v>1541.7</v>
      </c>
      <c r="BU76" s="3">
        <v>1852.3</v>
      </c>
      <c r="BV76" s="3">
        <v>2186.1999999999998</v>
      </c>
      <c r="BW76" s="3">
        <v>2024.4</v>
      </c>
      <c r="BX76" s="3">
        <v>2194.3000000000002</v>
      </c>
      <c r="BY76" s="3">
        <v>2408.1</v>
      </c>
      <c r="BZ76" s="3">
        <v>2739.5</v>
      </c>
      <c r="CA76" s="3">
        <v>2344.8000000000002</v>
      </c>
      <c r="CB76" s="3">
        <v>2449.1</v>
      </c>
      <c r="CC76" s="3">
        <v>2635.4</v>
      </c>
      <c r="CD76" s="3">
        <v>2585.4</v>
      </c>
      <c r="CE76" s="3">
        <v>2702.7</v>
      </c>
      <c r="CF76" s="3">
        <v>2850.7</v>
      </c>
      <c r="CG76" s="3">
        <v>3202.2</v>
      </c>
      <c r="CH76" s="3">
        <v>3772.6</v>
      </c>
      <c r="CI76" s="3">
        <v>3934.6</v>
      </c>
      <c r="CJ76" s="3">
        <v>4257.3999999999996</v>
      </c>
      <c r="CK76" s="3">
        <v>4843.8</v>
      </c>
      <c r="CL76" s="3">
        <v>4873</v>
      </c>
      <c r="CM76" s="3">
        <v>5150.8999999999996</v>
      </c>
      <c r="CN76" s="3">
        <v>5356.3</v>
      </c>
      <c r="CO76" s="3">
        <v>6065.3</v>
      </c>
      <c r="CP76" s="3">
        <v>6372.2</v>
      </c>
      <c r="CQ76" s="3">
        <v>6584.1</v>
      </c>
      <c r="CR76" s="3">
        <v>6887.8</v>
      </c>
      <c r="CS76" s="3">
        <v>7959.2</v>
      </c>
      <c r="CT76" s="3">
        <v>8207.5</v>
      </c>
    </row>
    <row r="77" spans="1:98">
      <c r="A77" s="4" t="s">
        <v>173</v>
      </c>
      <c r="B77" s="5">
        <v>100</v>
      </c>
      <c r="C77" s="5">
        <v>100.3</v>
      </c>
      <c r="D77" s="5">
        <v>100.4</v>
      </c>
      <c r="E77" s="5">
        <v>100.5</v>
      </c>
      <c r="F77" s="5">
        <v>100.6</v>
      </c>
      <c r="G77" s="5">
        <v>106.7</v>
      </c>
      <c r="H77" s="5">
        <v>106.9</v>
      </c>
      <c r="I77" s="5">
        <v>114</v>
      </c>
      <c r="J77" s="5">
        <v>114</v>
      </c>
      <c r="K77" s="5">
        <v>114.1</v>
      </c>
      <c r="L77" s="5">
        <v>125.1</v>
      </c>
      <c r="M77" s="5">
        <v>143.19999999999999</v>
      </c>
      <c r="N77" s="5">
        <v>165.3</v>
      </c>
      <c r="O77" s="5">
        <v>182.6</v>
      </c>
      <c r="P77" s="5">
        <v>193.4</v>
      </c>
      <c r="Q77" s="5">
        <v>209.3</v>
      </c>
      <c r="R77" s="5">
        <v>209.4</v>
      </c>
      <c r="S77" s="5">
        <v>210.9</v>
      </c>
      <c r="T77" s="5">
        <v>214.5</v>
      </c>
      <c r="U77" s="5">
        <v>216.5</v>
      </c>
      <c r="V77" s="5">
        <v>216.6</v>
      </c>
      <c r="W77" s="5">
        <v>234.5</v>
      </c>
      <c r="X77" s="5">
        <v>234.6</v>
      </c>
      <c r="Y77" s="5">
        <v>241.3</v>
      </c>
      <c r="Z77" s="5">
        <v>241.4</v>
      </c>
      <c r="AA77" s="5">
        <v>241.8</v>
      </c>
      <c r="AB77" s="5">
        <v>241.9</v>
      </c>
      <c r="AC77" s="5">
        <v>242.1</v>
      </c>
      <c r="AD77" s="5">
        <v>242.2</v>
      </c>
      <c r="AE77" s="5">
        <v>242.8</v>
      </c>
      <c r="AF77" s="5">
        <v>242.8</v>
      </c>
      <c r="AG77" s="5">
        <v>242.9</v>
      </c>
      <c r="AH77" s="5">
        <v>243.7</v>
      </c>
      <c r="AI77" s="5">
        <v>246.1</v>
      </c>
      <c r="AJ77" s="5">
        <v>246.3</v>
      </c>
      <c r="AK77" s="5">
        <v>247.7</v>
      </c>
      <c r="AL77" s="5">
        <v>291.5</v>
      </c>
      <c r="AM77" s="5">
        <v>309.3</v>
      </c>
      <c r="AN77" s="5">
        <v>424.4</v>
      </c>
      <c r="AO77" s="5">
        <v>551.70000000000005</v>
      </c>
      <c r="AP77" s="5">
        <v>612</v>
      </c>
      <c r="AQ77" s="5">
        <v>628.4</v>
      </c>
      <c r="AR77" s="5">
        <v>628.70000000000005</v>
      </c>
      <c r="AS77" s="5">
        <v>636.5</v>
      </c>
      <c r="AT77" s="5">
        <v>636.9</v>
      </c>
      <c r="AU77" s="5">
        <v>650.9</v>
      </c>
      <c r="AV77" s="5">
        <v>651.20000000000005</v>
      </c>
      <c r="AW77" s="5">
        <v>605.6</v>
      </c>
      <c r="AX77" s="5">
        <v>605.79999999999995</v>
      </c>
      <c r="AY77" s="5">
        <v>660.2</v>
      </c>
      <c r="AZ77" s="5">
        <v>660.4</v>
      </c>
      <c r="BA77" s="5">
        <v>660.7</v>
      </c>
      <c r="BB77" s="5">
        <v>660.9</v>
      </c>
      <c r="BC77" s="5">
        <v>619</v>
      </c>
      <c r="BD77" s="5">
        <v>619.29999999999995</v>
      </c>
      <c r="BE77" s="5">
        <v>610</v>
      </c>
      <c r="BF77" s="5">
        <v>610.20000000000005</v>
      </c>
      <c r="BG77" s="5">
        <v>698.1</v>
      </c>
      <c r="BH77" s="5">
        <v>698.4</v>
      </c>
      <c r="BI77" s="5">
        <v>700.6</v>
      </c>
      <c r="BJ77" s="5">
        <v>700.9</v>
      </c>
      <c r="BK77" s="5">
        <v>730</v>
      </c>
      <c r="BL77" s="5">
        <v>1556.6</v>
      </c>
      <c r="BM77" s="5">
        <v>857.8</v>
      </c>
      <c r="BN77" s="5">
        <v>1557.8</v>
      </c>
      <c r="BO77" s="5">
        <v>1205.5999999999999</v>
      </c>
      <c r="BP77" s="5">
        <v>1558.8</v>
      </c>
      <c r="BQ77" s="5">
        <v>1763.3</v>
      </c>
      <c r="BR77" s="5">
        <v>1765</v>
      </c>
      <c r="BS77" s="5">
        <v>1842.3</v>
      </c>
      <c r="BT77" s="5">
        <v>1843.3</v>
      </c>
      <c r="BU77" s="5">
        <v>2150.6999999999998</v>
      </c>
      <c r="BV77" s="5">
        <v>3532.4</v>
      </c>
      <c r="BW77" s="5">
        <v>2521.9</v>
      </c>
      <c r="BX77" s="5">
        <v>3535.7</v>
      </c>
      <c r="BY77" s="5">
        <v>2795.9</v>
      </c>
      <c r="BZ77" s="5">
        <v>3107.7</v>
      </c>
      <c r="CA77" s="5">
        <v>3729.5</v>
      </c>
      <c r="CB77" s="5">
        <v>3875.2</v>
      </c>
      <c r="CC77" s="5">
        <v>4776.7</v>
      </c>
      <c r="CD77" s="5">
        <v>4709.8</v>
      </c>
      <c r="CE77" s="5">
        <v>5429.6</v>
      </c>
      <c r="CF77" s="5">
        <v>5719.6</v>
      </c>
      <c r="CG77" s="5">
        <v>5716.9</v>
      </c>
      <c r="CH77" s="5">
        <v>6829.5</v>
      </c>
      <c r="CI77" s="5">
        <v>7842.8</v>
      </c>
      <c r="CJ77" s="5">
        <v>7981.2</v>
      </c>
      <c r="CK77" s="5">
        <v>8453.2000000000007</v>
      </c>
      <c r="CL77" s="5">
        <v>8751.7000000000007</v>
      </c>
      <c r="CM77" s="5">
        <v>9049.2000000000007</v>
      </c>
      <c r="CN77" s="5">
        <v>9758.2000000000007</v>
      </c>
      <c r="CO77" s="5">
        <v>12098.6</v>
      </c>
      <c r="CP77" s="5">
        <v>12014.7</v>
      </c>
      <c r="CQ77" s="5">
        <v>12017.1</v>
      </c>
      <c r="CR77" s="5">
        <v>12885.2</v>
      </c>
      <c r="CS77" s="5">
        <v>13558.6</v>
      </c>
      <c r="CT77" s="5">
        <v>13752.7</v>
      </c>
    </row>
    <row r="78" spans="1:98">
      <c r="A78" s="2" t="s">
        <v>174</v>
      </c>
      <c r="B78" s="3">
        <v>100</v>
      </c>
      <c r="C78" s="3">
        <v>104.4</v>
      </c>
      <c r="D78" s="3">
        <v>105.8</v>
      </c>
      <c r="E78" s="3">
        <v>106.5</v>
      </c>
      <c r="F78" s="3">
        <v>108.3</v>
      </c>
      <c r="G78" s="3">
        <v>118.5</v>
      </c>
      <c r="H78" s="3">
        <v>119.6</v>
      </c>
      <c r="I78" s="3">
        <v>131.80000000000001</v>
      </c>
      <c r="J78" s="3">
        <v>131.80000000000001</v>
      </c>
      <c r="K78" s="3">
        <v>134.9</v>
      </c>
      <c r="L78" s="3">
        <v>135.4</v>
      </c>
      <c r="M78" s="3">
        <v>138.80000000000001</v>
      </c>
      <c r="N78" s="3">
        <v>139</v>
      </c>
      <c r="O78" s="3">
        <v>143.4</v>
      </c>
      <c r="P78" s="3">
        <v>143.6</v>
      </c>
      <c r="Q78" s="3">
        <v>145.80000000000001</v>
      </c>
      <c r="R78" s="3">
        <v>145.9</v>
      </c>
      <c r="S78" s="3">
        <v>159.30000000000001</v>
      </c>
      <c r="T78" s="3">
        <v>160.19999999999999</v>
      </c>
      <c r="U78" s="3">
        <v>161.5</v>
      </c>
      <c r="V78" s="3">
        <v>171.4</v>
      </c>
      <c r="W78" s="3">
        <v>198.9</v>
      </c>
      <c r="X78" s="3">
        <v>199.5</v>
      </c>
      <c r="Y78" s="3">
        <v>201.4</v>
      </c>
      <c r="Z78" s="3">
        <v>204</v>
      </c>
      <c r="AA78" s="3">
        <v>209.9</v>
      </c>
      <c r="AB78" s="3">
        <v>210.7</v>
      </c>
      <c r="AC78" s="3">
        <v>212.9</v>
      </c>
      <c r="AD78" s="3">
        <v>214.4</v>
      </c>
      <c r="AE78" s="3">
        <v>237</v>
      </c>
      <c r="AF78" s="3">
        <v>237.8</v>
      </c>
      <c r="AG78" s="3">
        <v>238.9</v>
      </c>
      <c r="AH78" s="3">
        <v>246.1</v>
      </c>
      <c r="AI78" s="3">
        <v>268.3</v>
      </c>
      <c r="AJ78" s="3">
        <v>269.3</v>
      </c>
      <c r="AK78" s="3">
        <v>271.10000000000002</v>
      </c>
      <c r="AL78" s="3">
        <v>296.7</v>
      </c>
      <c r="AM78" s="3">
        <v>358.4</v>
      </c>
      <c r="AN78" s="3">
        <v>397.7</v>
      </c>
      <c r="AO78" s="3">
        <v>469.7</v>
      </c>
      <c r="AP78" s="3">
        <v>471.8</v>
      </c>
      <c r="AQ78" s="3">
        <v>522.1</v>
      </c>
      <c r="AR78" s="3">
        <v>524.70000000000005</v>
      </c>
      <c r="AS78" s="3">
        <v>530.20000000000005</v>
      </c>
      <c r="AT78" s="3">
        <v>535.1</v>
      </c>
      <c r="AU78" s="3">
        <v>597.70000000000005</v>
      </c>
      <c r="AV78" s="3">
        <v>600.79999999999995</v>
      </c>
      <c r="AW78" s="3">
        <v>604</v>
      </c>
      <c r="AX78" s="3">
        <v>606.9</v>
      </c>
      <c r="AY78" s="3">
        <v>642.20000000000005</v>
      </c>
      <c r="AZ78" s="3">
        <v>644.1</v>
      </c>
      <c r="BA78" s="3">
        <v>646.1</v>
      </c>
      <c r="BB78" s="3">
        <v>648</v>
      </c>
      <c r="BC78" s="3">
        <v>666.9</v>
      </c>
      <c r="BD78" s="3">
        <v>669.1</v>
      </c>
      <c r="BE78" s="3">
        <v>701.1</v>
      </c>
      <c r="BF78" s="3">
        <v>703.2</v>
      </c>
      <c r="BG78" s="3">
        <v>747.6</v>
      </c>
      <c r="BH78" s="3">
        <v>773.4</v>
      </c>
      <c r="BI78" s="3">
        <v>771.2</v>
      </c>
      <c r="BJ78" s="3">
        <v>787.5</v>
      </c>
      <c r="BK78" s="3">
        <v>948.3</v>
      </c>
      <c r="BL78" s="3">
        <v>1156.9000000000001</v>
      </c>
      <c r="BM78" s="3">
        <v>984.1</v>
      </c>
      <c r="BN78" s="3">
        <v>1214.8</v>
      </c>
      <c r="BO78" s="3">
        <v>1104.4000000000001</v>
      </c>
      <c r="BP78" s="3">
        <v>1140.9000000000001</v>
      </c>
      <c r="BQ78" s="3">
        <v>1366.1</v>
      </c>
      <c r="BR78" s="3">
        <v>1462.2</v>
      </c>
      <c r="BS78" s="3">
        <v>1467.1</v>
      </c>
      <c r="BT78" s="3">
        <v>1491.6</v>
      </c>
      <c r="BU78" s="3">
        <v>1731.9</v>
      </c>
      <c r="BV78" s="3">
        <v>2394.3000000000002</v>
      </c>
      <c r="BW78" s="3">
        <v>2002.5</v>
      </c>
      <c r="BX78" s="3">
        <v>2566</v>
      </c>
      <c r="BY78" s="3">
        <v>2159.5</v>
      </c>
      <c r="BZ78" s="3">
        <v>2338.4</v>
      </c>
      <c r="CA78" s="3">
        <v>2995.4</v>
      </c>
      <c r="CB78" s="3">
        <v>3132.9</v>
      </c>
      <c r="CC78" s="3">
        <v>3153.4</v>
      </c>
      <c r="CD78" s="3">
        <v>3232.1</v>
      </c>
      <c r="CE78" s="3">
        <v>3630.9</v>
      </c>
      <c r="CF78" s="3">
        <v>3729.3</v>
      </c>
      <c r="CG78" s="3">
        <v>4188.3</v>
      </c>
      <c r="CH78" s="3">
        <v>4468.8</v>
      </c>
      <c r="CI78" s="3">
        <v>4695.8</v>
      </c>
      <c r="CJ78" s="3">
        <v>4908.3</v>
      </c>
      <c r="CK78" s="3">
        <v>5461</v>
      </c>
      <c r="CL78" s="3">
        <v>5516.7</v>
      </c>
      <c r="CM78" s="3">
        <v>5669.3</v>
      </c>
      <c r="CN78" s="3">
        <v>5713.6</v>
      </c>
      <c r="CO78" s="3">
        <v>6525.5</v>
      </c>
      <c r="CP78" s="3">
        <v>6614.7</v>
      </c>
      <c r="CQ78" s="3">
        <v>7036.6</v>
      </c>
      <c r="CR78" s="3">
        <v>7615.9</v>
      </c>
      <c r="CS78" s="3">
        <v>7636.4</v>
      </c>
      <c r="CT78" s="3">
        <v>8325</v>
      </c>
    </row>
    <row r="79" spans="1:98">
      <c r="A79" s="4" t="s">
        <v>175</v>
      </c>
      <c r="B79" s="5">
        <v>100</v>
      </c>
      <c r="C79" s="5">
        <v>115</v>
      </c>
      <c r="D79" s="5">
        <v>115.6</v>
      </c>
      <c r="E79" s="5">
        <v>115.9</v>
      </c>
      <c r="F79" s="5">
        <v>121.2</v>
      </c>
      <c r="G79" s="5">
        <v>150.4</v>
      </c>
      <c r="H79" s="5">
        <v>150.9</v>
      </c>
      <c r="I79" s="5">
        <v>151.30000000000001</v>
      </c>
      <c r="J79" s="5">
        <v>151.30000000000001</v>
      </c>
      <c r="K79" s="5">
        <v>164.6</v>
      </c>
      <c r="L79" s="5">
        <v>164.8</v>
      </c>
      <c r="M79" s="5">
        <v>224.5</v>
      </c>
      <c r="N79" s="5">
        <v>224.6</v>
      </c>
      <c r="O79" s="5">
        <v>371.1</v>
      </c>
      <c r="P79" s="5">
        <v>393</v>
      </c>
      <c r="Q79" s="5">
        <v>347.4</v>
      </c>
      <c r="R79" s="5">
        <v>362.7</v>
      </c>
      <c r="S79" s="5">
        <v>447.8</v>
      </c>
      <c r="T79" s="5">
        <v>448.2</v>
      </c>
      <c r="U79" s="5">
        <v>448.9</v>
      </c>
      <c r="V79" s="5">
        <v>454.6</v>
      </c>
      <c r="W79" s="5">
        <v>508.5</v>
      </c>
      <c r="X79" s="5">
        <v>501.9</v>
      </c>
      <c r="Y79" s="5">
        <v>335.7</v>
      </c>
      <c r="Z79" s="5">
        <v>281.5</v>
      </c>
      <c r="AA79" s="5">
        <v>304.7</v>
      </c>
      <c r="AB79" s="5">
        <v>352.7</v>
      </c>
      <c r="AC79" s="5">
        <v>388.7</v>
      </c>
      <c r="AD79" s="5">
        <v>416.3</v>
      </c>
      <c r="AE79" s="5">
        <v>436.4</v>
      </c>
      <c r="AF79" s="5">
        <v>434</v>
      </c>
      <c r="AG79" s="5">
        <v>463</v>
      </c>
      <c r="AH79" s="5">
        <v>505.2</v>
      </c>
      <c r="AI79" s="5">
        <v>525.1</v>
      </c>
      <c r="AJ79" s="5">
        <v>532.70000000000005</v>
      </c>
      <c r="AK79" s="5">
        <v>536.20000000000005</v>
      </c>
      <c r="AL79" s="5">
        <v>589.20000000000005</v>
      </c>
      <c r="AM79" s="5">
        <v>656.7</v>
      </c>
      <c r="AN79" s="5">
        <v>723.3</v>
      </c>
      <c r="AO79" s="5">
        <v>932.1</v>
      </c>
      <c r="AP79" s="5">
        <v>951.8</v>
      </c>
      <c r="AQ79" s="5">
        <v>963</v>
      </c>
      <c r="AR79" s="5">
        <v>930.5</v>
      </c>
      <c r="AS79" s="5">
        <v>960.7</v>
      </c>
      <c r="AT79" s="5">
        <v>967.2</v>
      </c>
      <c r="AU79" s="5">
        <v>1075.3</v>
      </c>
      <c r="AV79" s="5">
        <v>1081.4000000000001</v>
      </c>
      <c r="AW79" s="5">
        <v>1128.7</v>
      </c>
      <c r="AX79" s="5">
        <v>1133.4000000000001</v>
      </c>
      <c r="AY79" s="5">
        <v>1127.8</v>
      </c>
      <c r="AZ79" s="5">
        <v>1121.5</v>
      </c>
      <c r="BA79" s="5">
        <v>1169.0999999999999</v>
      </c>
      <c r="BB79" s="5">
        <v>1172</v>
      </c>
      <c r="BC79" s="5">
        <v>1203.7</v>
      </c>
      <c r="BD79" s="5">
        <v>1208</v>
      </c>
      <c r="BE79" s="5">
        <v>1327.1</v>
      </c>
      <c r="BF79" s="5">
        <v>1386.6</v>
      </c>
      <c r="BG79" s="5">
        <v>1497.8</v>
      </c>
      <c r="BH79" s="5">
        <v>1527.5</v>
      </c>
      <c r="BI79" s="5">
        <v>1644.3</v>
      </c>
      <c r="BJ79" s="5">
        <v>1742.7</v>
      </c>
      <c r="BK79" s="5">
        <v>1875.4</v>
      </c>
      <c r="BL79" s="5">
        <v>2793.7</v>
      </c>
      <c r="BM79" s="5">
        <v>2059.9</v>
      </c>
      <c r="BN79" s="5">
        <v>2586.1</v>
      </c>
      <c r="BO79" s="5">
        <v>2232</v>
      </c>
      <c r="BP79" s="5">
        <v>2368.9</v>
      </c>
      <c r="BQ79" s="5">
        <v>3247.6</v>
      </c>
      <c r="BR79" s="5">
        <v>3193.7</v>
      </c>
      <c r="BS79" s="5">
        <v>3206.7</v>
      </c>
      <c r="BT79" s="5">
        <v>3298.4</v>
      </c>
      <c r="BU79" s="5">
        <v>3574.4</v>
      </c>
      <c r="BV79" s="5">
        <v>6333.7</v>
      </c>
      <c r="BW79" s="5">
        <v>4621.5</v>
      </c>
      <c r="BX79" s="5">
        <v>7127.5</v>
      </c>
      <c r="BY79" s="5">
        <v>5035.3</v>
      </c>
      <c r="BZ79" s="5">
        <v>5579</v>
      </c>
      <c r="CA79" s="5">
        <v>7817.8</v>
      </c>
      <c r="CB79" s="5">
        <v>7974.6</v>
      </c>
      <c r="CC79" s="5">
        <v>8513.9</v>
      </c>
      <c r="CD79" s="5">
        <v>8847.4</v>
      </c>
      <c r="CE79" s="5">
        <v>9594.7000000000007</v>
      </c>
      <c r="CF79" s="5">
        <v>9498.2999999999993</v>
      </c>
      <c r="CG79" s="5">
        <v>10416</v>
      </c>
      <c r="CH79" s="5">
        <v>11378.1</v>
      </c>
      <c r="CI79" s="5">
        <v>13408.4</v>
      </c>
      <c r="CJ79" s="5">
        <v>14599.1</v>
      </c>
      <c r="CK79" s="5">
        <v>14956.3</v>
      </c>
      <c r="CL79" s="5">
        <v>14806</v>
      </c>
      <c r="CM79" s="5">
        <v>16447</v>
      </c>
      <c r="CN79" s="5">
        <v>17593.400000000001</v>
      </c>
      <c r="CO79" s="5">
        <v>22075.599999999999</v>
      </c>
      <c r="CP79" s="5">
        <v>22236</v>
      </c>
      <c r="CQ79" s="5">
        <v>22515.9</v>
      </c>
      <c r="CR79" s="5">
        <v>24651</v>
      </c>
      <c r="CS79" s="5">
        <v>25736.400000000001</v>
      </c>
      <c r="CT79" s="5">
        <v>27924.2</v>
      </c>
    </row>
    <row r="80" spans="1:98">
      <c r="A80" s="2" t="s">
        <v>176</v>
      </c>
      <c r="B80" s="3">
        <v>100</v>
      </c>
      <c r="C80" s="3">
        <v>102.3</v>
      </c>
      <c r="D80" s="3">
        <v>103.5</v>
      </c>
      <c r="E80" s="3">
        <v>104.1</v>
      </c>
      <c r="F80" s="3">
        <v>104.8</v>
      </c>
      <c r="G80" s="3">
        <v>109.5</v>
      </c>
      <c r="H80" s="3">
        <v>110.6</v>
      </c>
      <c r="I80" s="3">
        <v>127.9</v>
      </c>
      <c r="J80" s="3">
        <v>127.9</v>
      </c>
      <c r="K80" s="3">
        <v>129.9</v>
      </c>
      <c r="L80" s="3">
        <v>130.4</v>
      </c>
      <c r="M80" s="3">
        <v>145.6</v>
      </c>
      <c r="N80" s="3">
        <v>145.80000000000001</v>
      </c>
      <c r="O80" s="3">
        <v>148.6</v>
      </c>
      <c r="P80" s="3">
        <v>148.69999999999999</v>
      </c>
      <c r="Q80" s="3">
        <v>151</v>
      </c>
      <c r="R80" s="3">
        <v>151.1</v>
      </c>
      <c r="S80" s="3">
        <v>164.4</v>
      </c>
      <c r="T80" s="3">
        <v>165.1</v>
      </c>
      <c r="U80" s="3">
        <v>166.5</v>
      </c>
      <c r="V80" s="3">
        <v>189.4</v>
      </c>
      <c r="W80" s="3">
        <v>205.2</v>
      </c>
      <c r="X80" s="3">
        <v>205.8</v>
      </c>
      <c r="Y80" s="3">
        <v>177.4</v>
      </c>
      <c r="Z80" s="3">
        <v>184.6</v>
      </c>
      <c r="AA80" s="3">
        <v>189.9</v>
      </c>
      <c r="AB80" s="3">
        <v>190.6</v>
      </c>
      <c r="AC80" s="3">
        <v>227.8</v>
      </c>
      <c r="AD80" s="3">
        <v>248.5</v>
      </c>
      <c r="AE80" s="3">
        <v>253.7</v>
      </c>
      <c r="AF80" s="3">
        <v>254.3</v>
      </c>
      <c r="AG80" s="3">
        <v>273.10000000000002</v>
      </c>
      <c r="AH80" s="3">
        <v>290</v>
      </c>
      <c r="AI80" s="3">
        <v>296.2</v>
      </c>
      <c r="AJ80" s="3">
        <v>307.89999999999998</v>
      </c>
      <c r="AK80" s="3">
        <v>328.3</v>
      </c>
      <c r="AL80" s="3">
        <v>371.8</v>
      </c>
      <c r="AM80" s="3">
        <v>416</v>
      </c>
      <c r="AN80" s="3">
        <v>497</v>
      </c>
      <c r="AO80" s="3">
        <v>615.79999999999995</v>
      </c>
      <c r="AP80" s="3">
        <v>618.20000000000005</v>
      </c>
      <c r="AQ80" s="3">
        <v>589.20000000000005</v>
      </c>
      <c r="AR80" s="3">
        <v>634.4</v>
      </c>
      <c r="AS80" s="3">
        <v>596.5</v>
      </c>
      <c r="AT80" s="3">
        <v>600.5</v>
      </c>
      <c r="AU80" s="3">
        <v>659.7</v>
      </c>
      <c r="AV80" s="3">
        <v>662.5</v>
      </c>
      <c r="AW80" s="3">
        <v>666.2</v>
      </c>
      <c r="AX80" s="3">
        <v>668.5</v>
      </c>
      <c r="AY80" s="3">
        <v>653.6</v>
      </c>
      <c r="AZ80" s="3">
        <v>655.20000000000005</v>
      </c>
      <c r="BA80" s="3">
        <v>638.1</v>
      </c>
      <c r="BB80" s="3">
        <v>639.4</v>
      </c>
      <c r="BC80" s="3">
        <v>603</v>
      </c>
      <c r="BD80" s="3">
        <v>604.9</v>
      </c>
      <c r="BE80" s="3">
        <v>663</v>
      </c>
      <c r="BF80" s="3">
        <v>694.2</v>
      </c>
      <c r="BG80" s="3">
        <v>775.7</v>
      </c>
      <c r="BH80" s="3">
        <v>777.8</v>
      </c>
      <c r="BI80" s="3">
        <v>777.7</v>
      </c>
      <c r="BJ80" s="3">
        <v>831.2</v>
      </c>
      <c r="BK80" s="3">
        <v>978.6</v>
      </c>
      <c r="BL80" s="3">
        <v>1383.9</v>
      </c>
      <c r="BM80" s="3">
        <v>987.2</v>
      </c>
      <c r="BN80" s="3">
        <v>1236.2</v>
      </c>
      <c r="BO80" s="3">
        <v>1160.9000000000001</v>
      </c>
      <c r="BP80" s="3">
        <v>1319.4</v>
      </c>
      <c r="BQ80" s="3">
        <v>1558.5</v>
      </c>
      <c r="BR80" s="3">
        <v>1531.9</v>
      </c>
      <c r="BS80" s="3">
        <v>1520.6</v>
      </c>
      <c r="BT80" s="3">
        <v>1613.3</v>
      </c>
      <c r="BU80" s="3">
        <v>1877.3</v>
      </c>
      <c r="BV80" s="3">
        <v>3411.5</v>
      </c>
      <c r="BW80" s="3">
        <v>2254.9</v>
      </c>
      <c r="BX80" s="3">
        <v>3439.3</v>
      </c>
      <c r="BY80" s="3">
        <v>2392.8000000000002</v>
      </c>
      <c r="BZ80" s="3">
        <v>2532.9</v>
      </c>
      <c r="CA80" s="3">
        <v>3701</v>
      </c>
      <c r="CB80" s="3">
        <v>3717.1</v>
      </c>
      <c r="CC80" s="3">
        <v>4035.1</v>
      </c>
      <c r="CD80" s="3">
        <v>4214.3999999999996</v>
      </c>
      <c r="CE80" s="3">
        <v>4539.8</v>
      </c>
      <c r="CF80" s="3">
        <v>4530.6000000000004</v>
      </c>
      <c r="CG80" s="3">
        <v>4862</v>
      </c>
      <c r="CH80" s="3">
        <v>5260.7</v>
      </c>
      <c r="CI80" s="3">
        <v>6284.5</v>
      </c>
      <c r="CJ80" s="3">
        <v>6284.9</v>
      </c>
      <c r="CK80" s="3">
        <v>6509.9</v>
      </c>
      <c r="CL80" s="3">
        <v>6465</v>
      </c>
      <c r="CM80" s="3">
        <v>6767</v>
      </c>
      <c r="CN80" s="3">
        <v>7375.7</v>
      </c>
      <c r="CO80" s="3">
        <v>8815.7999999999993</v>
      </c>
      <c r="CP80" s="3">
        <v>8901.7999999999993</v>
      </c>
      <c r="CQ80" s="3">
        <v>9154.2000000000007</v>
      </c>
      <c r="CR80" s="3">
        <v>10580.9</v>
      </c>
      <c r="CS80" s="3">
        <v>10604</v>
      </c>
      <c r="CT80" s="3">
        <v>11071.2</v>
      </c>
    </row>
    <row r="81" spans="1:98">
      <c r="A81" s="4" t="s">
        <v>177</v>
      </c>
      <c r="B81" s="5">
        <v>100</v>
      </c>
      <c r="C81" s="5">
        <v>100.3</v>
      </c>
      <c r="D81" s="5">
        <v>100.5</v>
      </c>
      <c r="E81" s="5">
        <v>100.6</v>
      </c>
      <c r="F81" s="5">
        <v>100.8</v>
      </c>
      <c r="G81" s="5">
        <v>101.8</v>
      </c>
      <c r="H81" s="5">
        <v>101.9</v>
      </c>
      <c r="I81" s="5">
        <v>102.2</v>
      </c>
      <c r="J81" s="5">
        <v>102.2</v>
      </c>
      <c r="K81" s="5">
        <v>102.4</v>
      </c>
      <c r="L81" s="5">
        <v>102.4</v>
      </c>
      <c r="M81" s="5">
        <v>102.6</v>
      </c>
      <c r="N81" s="5">
        <v>102.6</v>
      </c>
      <c r="O81" s="5">
        <v>102.6</v>
      </c>
      <c r="P81" s="5">
        <v>102.6</v>
      </c>
      <c r="Q81" s="5">
        <v>104.2</v>
      </c>
      <c r="R81" s="5">
        <v>104.2</v>
      </c>
      <c r="S81" s="5">
        <v>105.4</v>
      </c>
      <c r="T81" s="5">
        <v>105.5</v>
      </c>
      <c r="U81" s="5">
        <v>105.6</v>
      </c>
      <c r="V81" s="5">
        <v>106.3</v>
      </c>
      <c r="W81" s="5">
        <v>107.6</v>
      </c>
      <c r="X81" s="5">
        <v>107.7</v>
      </c>
      <c r="Y81" s="5">
        <v>108.3</v>
      </c>
      <c r="Z81" s="5">
        <v>108.4</v>
      </c>
      <c r="AA81" s="5">
        <v>109.2</v>
      </c>
      <c r="AB81" s="5">
        <v>109.3</v>
      </c>
      <c r="AC81" s="5">
        <v>109.5</v>
      </c>
      <c r="AD81" s="5">
        <v>109.7</v>
      </c>
      <c r="AE81" s="5">
        <v>111.9</v>
      </c>
      <c r="AF81" s="5">
        <v>112.1</v>
      </c>
      <c r="AG81" s="5">
        <v>112.5</v>
      </c>
      <c r="AH81" s="5">
        <v>117.4</v>
      </c>
      <c r="AI81" s="5">
        <v>122.4</v>
      </c>
      <c r="AJ81" s="5">
        <v>122.8</v>
      </c>
      <c r="AK81" s="5">
        <v>123.4</v>
      </c>
      <c r="AL81" s="5">
        <v>133.1</v>
      </c>
      <c r="AM81" s="5">
        <v>149.30000000000001</v>
      </c>
      <c r="AN81" s="5">
        <v>164.9</v>
      </c>
      <c r="AO81" s="5">
        <v>190.8</v>
      </c>
      <c r="AP81" s="5">
        <v>193.8</v>
      </c>
      <c r="AQ81" s="5">
        <v>200.2</v>
      </c>
      <c r="AR81" s="5">
        <v>205.4</v>
      </c>
      <c r="AS81" s="5">
        <v>202.9</v>
      </c>
      <c r="AT81" s="5">
        <v>208.9</v>
      </c>
      <c r="AU81" s="5">
        <v>217.2</v>
      </c>
      <c r="AV81" s="5">
        <v>218.3</v>
      </c>
      <c r="AW81" s="5">
        <v>222.4</v>
      </c>
      <c r="AX81" s="5">
        <v>223.3</v>
      </c>
      <c r="AY81" s="5">
        <v>229.8</v>
      </c>
      <c r="AZ81" s="5">
        <v>230.5</v>
      </c>
      <c r="BA81" s="5">
        <v>231.9</v>
      </c>
      <c r="BB81" s="5">
        <v>232.5</v>
      </c>
      <c r="BC81" s="5">
        <v>238.7</v>
      </c>
      <c r="BD81" s="5">
        <v>239.5</v>
      </c>
      <c r="BE81" s="5">
        <v>260.3</v>
      </c>
      <c r="BF81" s="5">
        <v>268.8</v>
      </c>
      <c r="BG81" s="5">
        <v>279.8</v>
      </c>
      <c r="BH81" s="5">
        <v>292.5</v>
      </c>
      <c r="BI81" s="5">
        <v>293.60000000000002</v>
      </c>
      <c r="BJ81" s="5">
        <v>308.60000000000002</v>
      </c>
      <c r="BK81" s="5">
        <v>353.5</v>
      </c>
      <c r="BL81" s="5">
        <v>483.6</v>
      </c>
      <c r="BM81" s="5">
        <v>370.4</v>
      </c>
      <c r="BN81" s="5">
        <v>484.2</v>
      </c>
      <c r="BO81" s="5">
        <v>418.4</v>
      </c>
      <c r="BP81" s="5">
        <v>443.9</v>
      </c>
      <c r="BQ81" s="5">
        <v>547.70000000000005</v>
      </c>
      <c r="BR81" s="5">
        <v>548.29999999999995</v>
      </c>
      <c r="BS81" s="5">
        <v>581.20000000000005</v>
      </c>
      <c r="BT81" s="5">
        <v>599.6</v>
      </c>
      <c r="BU81" s="5">
        <v>785.8</v>
      </c>
      <c r="BV81" s="5">
        <v>1047</v>
      </c>
      <c r="BW81" s="5">
        <v>865.4</v>
      </c>
      <c r="BX81" s="5">
        <v>1407.1</v>
      </c>
      <c r="BY81" s="5">
        <v>934.7</v>
      </c>
      <c r="BZ81" s="5">
        <v>1018.7</v>
      </c>
      <c r="CA81" s="5">
        <v>1682.3</v>
      </c>
      <c r="CB81" s="5">
        <v>1731.7</v>
      </c>
      <c r="CC81" s="5">
        <v>1792.2</v>
      </c>
      <c r="CD81" s="5">
        <v>1738.3</v>
      </c>
      <c r="CE81" s="5">
        <v>1890.7</v>
      </c>
      <c r="CF81" s="5">
        <v>1900.3</v>
      </c>
      <c r="CG81" s="5">
        <v>1942.7</v>
      </c>
      <c r="CH81" s="5">
        <v>2165.6999999999998</v>
      </c>
      <c r="CI81" s="5">
        <v>2591.1</v>
      </c>
      <c r="CJ81" s="5">
        <v>2697</v>
      </c>
      <c r="CK81" s="5">
        <v>2947.5</v>
      </c>
      <c r="CL81" s="5">
        <v>2969.7</v>
      </c>
      <c r="CM81" s="5">
        <v>3092.5</v>
      </c>
      <c r="CN81" s="5">
        <v>3210.7</v>
      </c>
      <c r="CO81" s="5">
        <v>3672</v>
      </c>
      <c r="CP81" s="5">
        <v>3705.1</v>
      </c>
      <c r="CQ81" s="5">
        <v>3677.6</v>
      </c>
      <c r="CR81" s="5">
        <v>3822.7</v>
      </c>
      <c r="CS81" s="5">
        <v>3832.7</v>
      </c>
      <c r="CT81" s="5">
        <v>3986.9</v>
      </c>
    </row>
    <row r="82" spans="1:98">
      <c r="A82" s="2" t="s">
        <v>178</v>
      </c>
      <c r="B82" s="3">
        <v>100</v>
      </c>
      <c r="C82" s="3">
        <v>105.5</v>
      </c>
      <c r="D82" s="3">
        <v>106.6</v>
      </c>
      <c r="E82" s="3">
        <v>107.2</v>
      </c>
      <c r="F82" s="3">
        <v>108.5</v>
      </c>
      <c r="G82" s="3">
        <v>119.1</v>
      </c>
      <c r="H82" s="3">
        <v>120.1</v>
      </c>
      <c r="I82" s="3">
        <v>123</v>
      </c>
      <c r="J82" s="3">
        <v>123</v>
      </c>
      <c r="K82" s="3">
        <v>127.9</v>
      </c>
      <c r="L82" s="3">
        <v>128.19999999999999</v>
      </c>
      <c r="M82" s="3">
        <v>128.9</v>
      </c>
      <c r="N82" s="3">
        <v>129.1</v>
      </c>
      <c r="O82" s="3">
        <v>134.9</v>
      </c>
      <c r="P82" s="3">
        <v>141.80000000000001</v>
      </c>
      <c r="Q82" s="3">
        <v>144</v>
      </c>
      <c r="R82" s="3">
        <v>144.1</v>
      </c>
      <c r="S82" s="3">
        <v>161.9</v>
      </c>
      <c r="T82" s="3">
        <v>162.6</v>
      </c>
      <c r="U82" s="3">
        <v>163.69999999999999</v>
      </c>
      <c r="V82" s="3">
        <v>171.2</v>
      </c>
      <c r="W82" s="3">
        <v>191.7</v>
      </c>
      <c r="X82" s="3">
        <v>192.2</v>
      </c>
      <c r="Y82" s="3">
        <v>193.7</v>
      </c>
      <c r="Z82" s="3">
        <v>194.2</v>
      </c>
      <c r="AA82" s="3">
        <v>193.7</v>
      </c>
      <c r="AB82" s="3">
        <v>194.3</v>
      </c>
      <c r="AC82" s="3">
        <v>187.7</v>
      </c>
      <c r="AD82" s="3">
        <v>189.6</v>
      </c>
      <c r="AE82" s="3">
        <v>208.5</v>
      </c>
      <c r="AF82" s="3">
        <v>209.2</v>
      </c>
      <c r="AG82" s="3">
        <v>209.7</v>
      </c>
      <c r="AH82" s="3">
        <v>230</v>
      </c>
      <c r="AI82" s="3">
        <v>252.4</v>
      </c>
      <c r="AJ82" s="3">
        <v>252.8</v>
      </c>
      <c r="AK82" s="3">
        <v>253.6</v>
      </c>
      <c r="AL82" s="3">
        <v>278.5</v>
      </c>
      <c r="AM82" s="3">
        <v>314.10000000000002</v>
      </c>
      <c r="AN82" s="3">
        <v>366.4</v>
      </c>
      <c r="AO82" s="3">
        <v>376.9</v>
      </c>
      <c r="AP82" s="3">
        <v>411.5</v>
      </c>
      <c r="AQ82" s="3">
        <v>418.7</v>
      </c>
      <c r="AR82" s="3">
        <v>419.9</v>
      </c>
      <c r="AS82" s="3">
        <v>423.7</v>
      </c>
      <c r="AT82" s="3">
        <v>425.8</v>
      </c>
      <c r="AU82" s="3">
        <v>436.4</v>
      </c>
      <c r="AV82" s="3">
        <v>437.7</v>
      </c>
      <c r="AW82" s="3">
        <v>459.7</v>
      </c>
      <c r="AX82" s="3">
        <v>461</v>
      </c>
      <c r="AY82" s="3">
        <v>505.1</v>
      </c>
      <c r="AZ82" s="3">
        <v>506</v>
      </c>
      <c r="BA82" s="3">
        <v>499.8</v>
      </c>
      <c r="BB82" s="3">
        <v>500.5</v>
      </c>
      <c r="BC82" s="3">
        <v>555.4</v>
      </c>
      <c r="BD82" s="3">
        <v>556.29999999999995</v>
      </c>
      <c r="BE82" s="3">
        <v>638</v>
      </c>
      <c r="BF82" s="3">
        <v>638.9</v>
      </c>
      <c r="BG82" s="3">
        <v>648</v>
      </c>
      <c r="BH82" s="3">
        <v>649.20000000000005</v>
      </c>
      <c r="BI82" s="3">
        <v>682.3</v>
      </c>
      <c r="BJ82" s="3">
        <v>706.7</v>
      </c>
      <c r="BK82" s="3">
        <v>1083.2</v>
      </c>
      <c r="BL82" s="3">
        <v>1168.2</v>
      </c>
      <c r="BM82" s="3">
        <v>1095.7</v>
      </c>
      <c r="BN82" s="3">
        <v>1170.8</v>
      </c>
      <c r="BO82" s="3">
        <v>1352.5</v>
      </c>
      <c r="BP82" s="3">
        <v>1361.6</v>
      </c>
      <c r="BQ82" s="3">
        <v>1425.8</v>
      </c>
      <c r="BR82" s="3">
        <v>1432.9</v>
      </c>
      <c r="BS82" s="3">
        <v>1438.1</v>
      </c>
      <c r="BT82" s="3">
        <v>1454.4</v>
      </c>
      <c r="BU82" s="3">
        <v>1737.1</v>
      </c>
      <c r="BV82" s="3">
        <v>2343.9</v>
      </c>
      <c r="BW82" s="3">
        <v>2024.2</v>
      </c>
      <c r="BX82" s="3">
        <v>2394.4</v>
      </c>
      <c r="BY82" s="3">
        <v>2176.1999999999998</v>
      </c>
      <c r="BZ82" s="3">
        <v>2497.8000000000002</v>
      </c>
      <c r="CA82" s="3">
        <v>2544</v>
      </c>
      <c r="CB82" s="3">
        <v>2604.6999999999998</v>
      </c>
      <c r="CC82" s="3">
        <v>2943.5</v>
      </c>
      <c r="CD82" s="3">
        <v>3092.5</v>
      </c>
      <c r="CE82" s="3">
        <v>3272.1</v>
      </c>
      <c r="CF82" s="3">
        <v>3309.2</v>
      </c>
      <c r="CG82" s="3">
        <v>3526.7</v>
      </c>
      <c r="CH82" s="3">
        <v>3858.3</v>
      </c>
      <c r="CI82" s="3">
        <v>4188</v>
      </c>
      <c r="CJ82" s="3">
        <v>4188.2</v>
      </c>
      <c r="CK82" s="3">
        <v>4527.3999999999996</v>
      </c>
      <c r="CL82" s="3">
        <v>4733.5</v>
      </c>
      <c r="CM82" s="3">
        <v>4718.1000000000004</v>
      </c>
      <c r="CN82" s="3">
        <v>4857.2</v>
      </c>
      <c r="CO82" s="3">
        <v>5339.6</v>
      </c>
      <c r="CP82" s="3">
        <v>5429.4</v>
      </c>
      <c r="CQ82" s="3">
        <v>5646</v>
      </c>
      <c r="CR82" s="3">
        <v>6946.1</v>
      </c>
      <c r="CS82" s="3">
        <v>6955.4</v>
      </c>
      <c r="CT82" s="3">
        <v>7386.2</v>
      </c>
    </row>
    <row r="83" spans="1:98">
      <c r="A83" s="4" t="s">
        <v>179</v>
      </c>
      <c r="B83" s="5">
        <v>100</v>
      </c>
      <c r="C83" s="5">
        <v>103</v>
      </c>
      <c r="D83" s="5">
        <v>104.5</v>
      </c>
      <c r="E83" s="5">
        <v>105.2</v>
      </c>
      <c r="F83" s="5">
        <v>116.3</v>
      </c>
      <c r="G83" s="5">
        <v>121.4</v>
      </c>
      <c r="H83" s="5">
        <v>122.6</v>
      </c>
      <c r="I83" s="5">
        <v>124.3</v>
      </c>
      <c r="J83" s="5">
        <v>124.3</v>
      </c>
      <c r="K83" s="5">
        <v>126.9</v>
      </c>
      <c r="L83" s="5">
        <v>127.4</v>
      </c>
      <c r="M83" s="5">
        <v>128.1</v>
      </c>
      <c r="N83" s="5">
        <v>128.4</v>
      </c>
      <c r="O83" s="5">
        <v>134.30000000000001</v>
      </c>
      <c r="P83" s="5">
        <v>134.6</v>
      </c>
      <c r="Q83" s="5">
        <v>136.69999999999999</v>
      </c>
      <c r="R83" s="5">
        <v>136.80000000000001</v>
      </c>
      <c r="S83" s="5">
        <v>143.69999999999999</v>
      </c>
      <c r="T83" s="5">
        <v>144.6</v>
      </c>
      <c r="U83" s="5">
        <v>146.1</v>
      </c>
      <c r="V83" s="5">
        <v>147.30000000000001</v>
      </c>
      <c r="W83" s="5">
        <v>167.1</v>
      </c>
      <c r="X83" s="5">
        <v>167.8</v>
      </c>
      <c r="Y83" s="5">
        <v>169.9</v>
      </c>
      <c r="Z83" s="5">
        <v>170.6</v>
      </c>
      <c r="AA83" s="5">
        <v>177.1</v>
      </c>
      <c r="AB83" s="5">
        <v>185.3</v>
      </c>
      <c r="AC83" s="5">
        <v>187.8</v>
      </c>
      <c r="AD83" s="5">
        <v>189.4</v>
      </c>
      <c r="AE83" s="5">
        <v>204.6</v>
      </c>
      <c r="AF83" s="5">
        <v>205.5</v>
      </c>
      <c r="AG83" s="5">
        <v>206.8</v>
      </c>
      <c r="AH83" s="5">
        <v>215.3</v>
      </c>
      <c r="AI83" s="5">
        <v>226.9</v>
      </c>
      <c r="AJ83" s="5">
        <v>227.9</v>
      </c>
      <c r="AK83" s="5">
        <v>229.9</v>
      </c>
      <c r="AL83" s="5">
        <v>248.1</v>
      </c>
      <c r="AM83" s="5">
        <v>281</v>
      </c>
      <c r="AN83" s="5">
        <v>320.7</v>
      </c>
      <c r="AO83" s="5">
        <v>363.2</v>
      </c>
      <c r="AP83" s="5">
        <v>365.4</v>
      </c>
      <c r="AQ83" s="5">
        <v>384.1</v>
      </c>
      <c r="AR83" s="5">
        <v>386.8</v>
      </c>
      <c r="AS83" s="5">
        <v>393</v>
      </c>
      <c r="AT83" s="5">
        <v>398.4</v>
      </c>
      <c r="AU83" s="5">
        <v>444.1</v>
      </c>
      <c r="AV83" s="5">
        <v>447.5</v>
      </c>
      <c r="AW83" s="5">
        <v>455</v>
      </c>
      <c r="AX83" s="5">
        <v>458.3</v>
      </c>
      <c r="AY83" s="5">
        <v>480.8</v>
      </c>
      <c r="AZ83" s="5">
        <v>482.9</v>
      </c>
      <c r="BA83" s="5">
        <v>466.7</v>
      </c>
      <c r="BB83" s="5">
        <v>468.8</v>
      </c>
      <c r="BC83" s="5">
        <v>497.4</v>
      </c>
      <c r="BD83" s="5">
        <v>499.7</v>
      </c>
      <c r="BE83" s="5">
        <v>518</v>
      </c>
      <c r="BF83" s="5">
        <v>520.29999999999995</v>
      </c>
      <c r="BG83" s="5">
        <v>543.79999999999995</v>
      </c>
      <c r="BH83" s="5">
        <v>572.29999999999995</v>
      </c>
      <c r="BI83" s="5">
        <v>574.9</v>
      </c>
      <c r="BJ83" s="5">
        <v>590.5</v>
      </c>
      <c r="BK83" s="5">
        <v>742.6</v>
      </c>
      <c r="BL83" s="5">
        <v>812.1</v>
      </c>
      <c r="BM83" s="5">
        <v>797.8</v>
      </c>
      <c r="BN83" s="5">
        <v>816.5</v>
      </c>
      <c r="BO83" s="5">
        <v>857.7</v>
      </c>
      <c r="BP83" s="5">
        <v>947.5</v>
      </c>
      <c r="BQ83" s="5">
        <v>968.8</v>
      </c>
      <c r="BR83" s="5">
        <v>984.5</v>
      </c>
      <c r="BS83" s="5">
        <v>1008.7</v>
      </c>
      <c r="BT83" s="5">
        <v>1038.7</v>
      </c>
      <c r="BU83" s="5">
        <v>1223.2</v>
      </c>
      <c r="BV83" s="5">
        <v>1905</v>
      </c>
      <c r="BW83" s="5">
        <v>1393.6</v>
      </c>
      <c r="BX83" s="5">
        <v>2044.8</v>
      </c>
      <c r="BY83" s="5">
        <v>1471.1</v>
      </c>
      <c r="BZ83" s="5">
        <v>1578.7</v>
      </c>
      <c r="CA83" s="5">
        <v>2332</v>
      </c>
      <c r="CB83" s="5">
        <v>2419.6</v>
      </c>
      <c r="CC83" s="5">
        <v>2506.6</v>
      </c>
      <c r="CD83" s="5">
        <v>2533.6</v>
      </c>
      <c r="CE83" s="5">
        <v>2920.7</v>
      </c>
      <c r="CF83" s="5">
        <v>2886.9</v>
      </c>
      <c r="CG83" s="5">
        <v>3214.5</v>
      </c>
      <c r="CH83" s="5">
        <v>3479.1</v>
      </c>
      <c r="CI83" s="5">
        <v>3861</v>
      </c>
      <c r="CJ83" s="5">
        <v>3974</v>
      </c>
      <c r="CK83" s="5">
        <v>4284.5</v>
      </c>
      <c r="CL83" s="5">
        <v>4342</v>
      </c>
      <c r="CM83" s="5">
        <v>4483.5</v>
      </c>
      <c r="CN83" s="5">
        <v>4793.6000000000004</v>
      </c>
      <c r="CO83" s="5">
        <v>5576.6</v>
      </c>
      <c r="CP83" s="5">
        <v>5671.7</v>
      </c>
      <c r="CQ83" s="5">
        <v>5857.9</v>
      </c>
      <c r="CR83" s="5">
        <v>6237</v>
      </c>
      <c r="CS83" s="5">
        <v>6256.3</v>
      </c>
      <c r="CT83" s="5">
        <v>6478.4</v>
      </c>
    </row>
    <row r="84" spans="1:98">
      <c r="A84" s="2" t="s">
        <v>180</v>
      </c>
      <c r="B84" s="3">
        <v>100</v>
      </c>
      <c r="C84" s="3">
        <v>106.3</v>
      </c>
      <c r="D84" s="3">
        <v>106.4</v>
      </c>
      <c r="E84" s="3">
        <v>106.4</v>
      </c>
      <c r="F84" s="3">
        <v>117.7</v>
      </c>
      <c r="G84" s="3">
        <v>130.1</v>
      </c>
      <c r="H84" s="3">
        <v>130.19999999999999</v>
      </c>
      <c r="I84" s="3">
        <v>131</v>
      </c>
      <c r="J84" s="3">
        <v>131</v>
      </c>
      <c r="K84" s="3">
        <v>131.1</v>
      </c>
      <c r="L84" s="3">
        <v>131.1</v>
      </c>
      <c r="M84" s="3">
        <v>152.4</v>
      </c>
      <c r="N84" s="3">
        <v>152.4</v>
      </c>
      <c r="O84" s="3">
        <v>161.5</v>
      </c>
      <c r="P84" s="3">
        <v>161.5</v>
      </c>
      <c r="Q84" s="3">
        <v>163.30000000000001</v>
      </c>
      <c r="R84" s="3">
        <v>163.30000000000001</v>
      </c>
      <c r="S84" s="3">
        <v>183.6</v>
      </c>
      <c r="T84" s="3">
        <v>183.7</v>
      </c>
      <c r="U84" s="3">
        <v>210.6</v>
      </c>
      <c r="V84" s="3">
        <v>210.7</v>
      </c>
      <c r="W84" s="3">
        <v>217.3</v>
      </c>
      <c r="X84" s="3">
        <v>217.3</v>
      </c>
      <c r="Y84" s="3">
        <v>217.4</v>
      </c>
      <c r="Z84" s="3">
        <v>217.5</v>
      </c>
      <c r="AA84" s="3">
        <v>217.8</v>
      </c>
      <c r="AB84" s="3">
        <v>217.8</v>
      </c>
      <c r="AC84" s="3">
        <v>231.6</v>
      </c>
      <c r="AD84" s="3">
        <v>231.7</v>
      </c>
      <c r="AE84" s="3">
        <v>271</v>
      </c>
      <c r="AF84" s="3">
        <v>271.10000000000002</v>
      </c>
      <c r="AG84" s="3">
        <v>271.10000000000002</v>
      </c>
      <c r="AH84" s="3">
        <v>299.89999999999998</v>
      </c>
      <c r="AI84" s="3">
        <v>343.6</v>
      </c>
      <c r="AJ84" s="3">
        <v>343.7</v>
      </c>
      <c r="AK84" s="3">
        <v>343.8</v>
      </c>
      <c r="AL84" s="3">
        <v>381.2</v>
      </c>
      <c r="AM84" s="3">
        <v>471.9</v>
      </c>
      <c r="AN84" s="3">
        <v>622.5</v>
      </c>
      <c r="AO84" s="3">
        <v>762.2</v>
      </c>
      <c r="AP84" s="3">
        <v>828</v>
      </c>
      <c r="AQ84" s="3">
        <v>971.2</v>
      </c>
      <c r="AR84" s="3">
        <v>866.9</v>
      </c>
      <c r="AS84" s="3">
        <v>914.9</v>
      </c>
      <c r="AT84" s="3">
        <v>959.8</v>
      </c>
      <c r="AU84" s="3">
        <v>1085.8</v>
      </c>
      <c r="AV84" s="3">
        <v>1086</v>
      </c>
      <c r="AW84" s="3">
        <v>1037.8</v>
      </c>
      <c r="AX84" s="3">
        <v>1037.9000000000001</v>
      </c>
      <c r="AY84" s="3">
        <v>1039</v>
      </c>
      <c r="AZ84" s="3">
        <v>1039.2</v>
      </c>
      <c r="BA84" s="3">
        <v>1039.3</v>
      </c>
      <c r="BB84" s="3">
        <v>1039.4000000000001</v>
      </c>
      <c r="BC84" s="3">
        <v>1040.5</v>
      </c>
      <c r="BD84" s="3">
        <v>1040.7</v>
      </c>
      <c r="BE84" s="3">
        <v>1174.2</v>
      </c>
      <c r="BF84" s="3">
        <v>1174.3</v>
      </c>
      <c r="BG84" s="3">
        <v>1175.5999999999999</v>
      </c>
      <c r="BH84" s="3">
        <v>1175.8</v>
      </c>
      <c r="BI84" s="3">
        <v>1349.8</v>
      </c>
      <c r="BJ84" s="3">
        <v>1408</v>
      </c>
      <c r="BK84" s="3">
        <v>2301</v>
      </c>
      <c r="BL84" s="3">
        <v>2803.4</v>
      </c>
      <c r="BM84" s="3">
        <v>2427</v>
      </c>
      <c r="BN84" s="3">
        <v>2803.9</v>
      </c>
      <c r="BO84" s="3">
        <v>2594.1999999999998</v>
      </c>
      <c r="BP84" s="3">
        <v>3401.3</v>
      </c>
      <c r="BQ84" s="3">
        <v>3253.4</v>
      </c>
      <c r="BR84" s="3">
        <v>3365.8</v>
      </c>
      <c r="BS84" s="3">
        <v>3283</v>
      </c>
      <c r="BT84" s="3">
        <v>3367</v>
      </c>
      <c r="BU84" s="3">
        <v>3809.9</v>
      </c>
      <c r="BV84" s="3">
        <v>6121.7</v>
      </c>
      <c r="BW84" s="3">
        <v>4677.3</v>
      </c>
      <c r="BX84" s="3">
        <v>6123.6</v>
      </c>
      <c r="BY84" s="3">
        <v>5285.6</v>
      </c>
      <c r="BZ84" s="3">
        <v>6150.3</v>
      </c>
      <c r="CA84" s="3">
        <v>6318.5</v>
      </c>
      <c r="CB84" s="3">
        <v>6443.6</v>
      </c>
      <c r="CC84" s="3">
        <v>6869.7</v>
      </c>
      <c r="CD84" s="3">
        <v>6566.4</v>
      </c>
      <c r="CE84" s="3">
        <v>6910.4</v>
      </c>
      <c r="CF84" s="3">
        <v>7055.5</v>
      </c>
      <c r="CG84" s="3">
        <v>7760</v>
      </c>
      <c r="CH84" s="3">
        <v>8024.7</v>
      </c>
      <c r="CI84" s="3">
        <v>8870.6</v>
      </c>
      <c r="CJ84" s="3">
        <v>9065.9</v>
      </c>
      <c r="CK84" s="3">
        <v>9983.7999999999993</v>
      </c>
      <c r="CL84" s="3">
        <v>9988.2999999999993</v>
      </c>
      <c r="CM84" s="3">
        <v>9992.6</v>
      </c>
      <c r="CN84" s="3">
        <v>10444.299999999999</v>
      </c>
      <c r="CO84" s="3"/>
      <c r="CP84" s="3"/>
      <c r="CQ84" s="3"/>
      <c r="CR84" s="3"/>
      <c r="CS84" s="3"/>
      <c r="CT84" s="3"/>
    </row>
    <row r="85" spans="1:98">
      <c r="A85" s="4" t="s">
        <v>181</v>
      </c>
      <c r="B85" s="5">
        <v>100</v>
      </c>
      <c r="C85" s="5">
        <v>104.7</v>
      </c>
      <c r="D85" s="5">
        <v>105.2</v>
      </c>
      <c r="E85" s="5">
        <v>105.5</v>
      </c>
      <c r="F85" s="5">
        <v>107.6</v>
      </c>
      <c r="G85" s="5">
        <v>117.6</v>
      </c>
      <c r="H85" s="5">
        <v>118.1</v>
      </c>
      <c r="I85" s="5">
        <v>127</v>
      </c>
      <c r="J85" s="5">
        <v>127</v>
      </c>
      <c r="K85" s="5">
        <v>129.30000000000001</v>
      </c>
      <c r="L85" s="5">
        <v>129.4</v>
      </c>
      <c r="M85" s="5">
        <v>140.30000000000001</v>
      </c>
      <c r="N85" s="5">
        <v>140.4</v>
      </c>
      <c r="O85" s="5">
        <v>149.30000000000001</v>
      </c>
      <c r="P85" s="5">
        <v>149.30000000000001</v>
      </c>
      <c r="Q85" s="5">
        <v>151.80000000000001</v>
      </c>
      <c r="R85" s="5">
        <v>151.9</v>
      </c>
      <c r="S85" s="5">
        <v>163.9</v>
      </c>
      <c r="T85" s="5">
        <v>164.3</v>
      </c>
      <c r="U85" s="5">
        <v>164.8</v>
      </c>
      <c r="V85" s="5">
        <v>175.2</v>
      </c>
      <c r="W85" s="5">
        <v>196.8</v>
      </c>
      <c r="X85" s="5">
        <v>197</v>
      </c>
      <c r="Y85" s="5">
        <v>197.7</v>
      </c>
      <c r="Z85" s="5">
        <v>197.9</v>
      </c>
      <c r="AA85" s="5">
        <v>200.1</v>
      </c>
      <c r="AB85" s="5">
        <v>200.4</v>
      </c>
      <c r="AC85" s="5">
        <v>215</v>
      </c>
      <c r="AD85" s="5">
        <v>215.5</v>
      </c>
      <c r="AE85" s="5">
        <v>235.6</v>
      </c>
      <c r="AF85" s="5">
        <v>236</v>
      </c>
      <c r="AG85" s="5">
        <v>236.5</v>
      </c>
      <c r="AH85" s="5">
        <v>238.6</v>
      </c>
      <c r="AI85" s="5">
        <v>270.39999999999998</v>
      </c>
      <c r="AJ85" s="5">
        <v>270.8</v>
      </c>
      <c r="AK85" s="5">
        <v>271.60000000000002</v>
      </c>
      <c r="AL85" s="5">
        <v>286.60000000000002</v>
      </c>
      <c r="AM85" s="5">
        <v>352.5</v>
      </c>
      <c r="AN85" s="5">
        <v>411.4</v>
      </c>
      <c r="AO85" s="5">
        <v>460.4</v>
      </c>
      <c r="AP85" s="5">
        <v>458.2</v>
      </c>
      <c r="AQ85" s="5">
        <v>478.3</v>
      </c>
      <c r="AR85" s="5">
        <v>503.7</v>
      </c>
      <c r="AS85" s="5">
        <v>484.2</v>
      </c>
      <c r="AT85" s="5">
        <v>533</v>
      </c>
      <c r="AU85" s="5">
        <v>477.9</v>
      </c>
      <c r="AV85" s="5">
        <v>479.3</v>
      </c>
      <c r="AW85" s="5">
        <v>524.5</v>
      </c>
      <c r="AX85" s="5">
        <v>525.79999999999995</v>
      </c>
      <c r="AY85" s="5">
        <v>541.1</v>
      </c>
      <c r="AZ85" s="5">
        <v>542</v>
      </c>
      <c r="BA85" s="5">
        <v>559.1</v>
      </c>
      <c r="BB85" s="5">
        <v>559.79999999999995</v>
      </c>
      <c r="BC85" s="5">
        <v>596</v>
      </c>
      <c r="BD85" s="5">
        <v>597</v>
      </c>
      <c r="BE85" s="5">
        <v>632.9</v>
      </c>
      <c r="BF85" s="5">
        <v>667.6</v>
      </c>
      <c r="BG85" s="5">
        <v>761.6</v>
      </c>
      <c r="BH85" s="5">
        <v>776.8</v>
      </c>
      <c r="BI85" s="5">
        <v>797.5</v>
      </c>
      <c r="BJ85" s="5">
        <v>801.8</v>
      </c>
      <c r="BK85" s="5">
        <v>935</v>
      </c>
      <c r="BL85" s="5">
        <v>1720.7</v>
      </c>
      <c r="BM85" s="5">
        <v>1432.5</v>
      </c>
      <c r="BN85" s="5">
        <v>1844.1</v>
      </c>
      <c r="BO85" s="5">
        <v>1511.1</v>
      </c>
      <c r="BP85" s="5">
        <v>1555.6</v>
      </c>
      <c r="BQ85" s="5">
        <v>2191.5</v>
      </c>
      <c r="BR85" s="5">
        <v>1935.2</v>
      </c>
      <c r="BS85" s="5">
        <v>2174.1</v>
      </c>
      <c r="BT85" s="5">
        <v>2287.3000000000002</v>
      </c>
      <c r="BU85" s="5">
        <v>2701.1</v>
      </c>
      <c r="BV85" s="5">
        <v>4260.8</v>
      </c>
      <c r="BW85" s="5">
        <v>3282.5</v>
      </c>
      <c r="BX85" s="5">
        <v>4273.8999999999996</v>
      </c>
      <c r="BY85" s="5">
        <v>3695.6</v>
      </c>
      <c r="BZ85" s="5">
        <v>4246.1000000000004</v>
      </c>
      <c r="CA85" s="5">
        <v>4480</v>
      </c>
      <c r="CB85" s="5">
        <v>4578.3999999999996</v>
      </c>
      <c r="CC85" s="5">
        <v>4738.8</v>
      </c>
      <c r="CD85" s="5">
        <v>4740</v>
      </c>
      <c r="CE85" s="5">
        <v>4935.8999999999996</v>
      </c>
      <c r="CF85" s="5">
        <v>4946.3</v>
      </c>
      <c r="CG85" s="5">
        <v>5620.8</v>
      </c>
      <c r="CH85" s="5">
        <v>6022.9</v>
      </c>
      <c r="CI85" s="5">
        <v>6395.3</v>
      </c>
      <c r="CJ85" s="5">
        <v>6395.4</v>
      </c>
      <c r="CK85" s="5">
        <v>6659.2</v>
      </c>
      <c r="CL85" s="5">
        <v>7109.8</v>
      </c>
      <c r="CM85" s="5">
        <v>7210.7</v>
      </c>
      <c r="CN85" s="5">
        <v>7487</v>
      </c>
      <c r="CO85" s="5">
        <v>8698.1</v>
      </c>
      <c r="CP85" s="5">
        <v>8470.7000000000007</v>
      </c>
      <c r="CQ85" s="5">
        <v>8665.2999999999993</v>
      </c>
      <c r="CR85" s="5">
        <v>9853</v>
      </c>
      <c r="CS85" s="5">
        <v>9862.2999999999993</v>
      </c>
      <c r="CT85" s="5">
        <v>11126.9</v>
      </c>
    </row>
    <row r="86" spans="1:98">
      <c r="A86" s="2" t="s">
        <v>182</v>
      </c>
      <c r="B86" s="3">
        <v>100</v>
      </c>
      <c r="C86" s="3">
        <v>100.5</v>
      </c>
      <c r="D86" s="3">
        <v>100.7</v>
      </c>
      <c r="E86" s="3">
        <v>100.8</v>
      </c>
      <c r="F86" s="3">
        <v>101</v>
      </c>
      <c r="G86" s="3">
        <v>107.4</v>
      </c>
      <c r="H86" s="3">
        <v>107.6</v>
      </c>
      <c r="I86" s="3">
        <v>109.3</v>
      </c>
      <c r="J86" s="3">
        <v>109.3</v>
      </c>
      <c r="K86" s="3">
        <v>109.7</v>
      </c>
      <c r="L86" s="3">
        <v>109.8</v>
      </c>
      <c r="M86" s="3">
        <v>109.9</v>
      </c>
      <c r="N86" s="3">
        <v>109.9</v>
      </c>
      <c r="O86" s="3">
        <v>112.4</v>
      </c>
      <c r="P86" s="3">
        <v>112.4</v>
      </c>
      <c r="Q86" s="3">
        <v>118.1</v>
      </c>
      <c r="R86" s="3">
        <v>118.1</v>
      </c>
      <c r="S86" s="3">
        <v>127.3</v>
      </c>
      <c r="T86" s="3">
        <v>127.4</v>
      </c>
      <c r="U86" s="3">
        <v>127.7</v>
      </c>
      <c r="V86" s="3">
        <v>144.30000000000001</v>
      </c>
      <c r="W86" s="3">
        <v>155.30000000000001</v>
      </c>
      <c r="X86" s="3">
        <v>155.4</v>
      </c>
      <c r="Y86" s="3">
        <v>155.80000000000001</v>
      </c>
      <c r="Z86" s="3">
        <v>155.9</v>
      </c>
      <c r="AA86" s="3">
        <v>156.9</v>
      </c>
      <c r="AB86" s="3">
        <v>157</v>
      </c>
      <c r="AC86" s="3">
        <v>157.4</v>
      </c>
      <c r="AD86" s="3">
        <v>157.69999999999999</v>
      </c>
      <c r="AE86" s="3">
        <v>169</v>
      </c>
      <c r="AF86" s="3">
        <v>169.1</v>
      </c>
      <c r="AG86" s="3">
        <v>169.3</v>
      </c>
      <c r="AH86" s="3">
        <v>173.7</v>
      </c>
      <c r="AI86" s="3">
        <v>199</v>
      </c>
      <c r="AJ86" s="3">
        <v>199.1</v>
      </c>
      <c r="AK86" s="3">
        <v>199.5</v>
      </c>
      <c r="AL86" s="3">
        <v>221.3</v>
      </c>
      <c r="AM86" s="3">
        <v>260.60000000000002</v>
      </c>
      <c r="AN86" s="3">
        <v>274.3</v>
      </c>
      <c r="AO86" s="3">
        <v>414.4</v>
      </c>
      <c r="AP86" s="3">
        <v>414.8</v>
      </c>
      <c r="AQ86" s="3">
        <v>490.6</v>
      </c>
      <c r="AR86" s="3">
        <v>491.1</v>
      </c>
      <c r="AS86" s="3">
        <v>460.9</v>
      </c>
      <c r="AT86" s="3">
        <v>509.9</v>
      </c>
      <c r="AU86" s="3">
        <v>509.9</v>
      </c>
      <c r="AV86" s="3">
        <v>510.4</v>
      </c>
      <c r="AW86" s="3">
        <v>515.79999999999995</v>
      </c>
      <c r="AX86" s="3">
        <v>516.29999999999995</v>
      </c>
      <c r="AY86" s="3">
        <v>534.1</v>
      </c>
      <c r="AZ86" s="3">
        <v>534.5</v>
      </c>
      <c r="BA86" s="3">
        <v>530.4</v>
      </c>
      <c r="BB86" s="3">
        <v>530.79999999999995</v>
      </c>
      <c r="BC86" s="3">
        <v>582.29999999999995</v>
      </c>
      <c r="BD86" s="3">
        <v>582.70000000000005</v>
      </c>
      <c r="BE86" s="3">
        <v>618.5</v>
      </c>
      <c r="BF86" s="3">
        <v>618.9</v>
      </c>
      <c r="BG86" s="3">
        <v>697.4</v>
      </c>
      <c r="BH86" s="3">
        <v>720.9</v>
      </c>
      <c r="BI86" s="3">
        <v>721.4</v>
      </c>
      <c r="BJ86" s="3">
        <v>750.5</v>
      </c>
      <c r="BK86" s="3">
        <v>872</v>
      </c>
      <c r="BL86" s="3">
        <v>1373.3</v>
      </c>
      <c r="BM86" s="3">
        <v>1134.0999999999999</v>
      </c>
      <c r="BN86" s="3">
        <v>1380</v>
      </c>
      <c r="BO86" s="3">
        <v>1444.1</v>
      </c>
      <c r="BP86" s="3">
        <v>1491.6</v>
      </c>
      <c r="BQ86" s="3">
        <v>1607.6</v>
      </c>
      <c r="BR86" s="3">
        <v>1618.8</v>
      </c>
      <c r="BS86" s="3">
        <v>1625.5</v>
      </c>
      <c r="BT86" s="3">
        <v>1656.7</v>
      </c>
      <c r="BU86" s="3">
        <v>1918.4</v>
      </c>
      <c r="BV86" s="3">
        <v>3084.8</v>
      </c>
      <c r="BW86" s="3">
        <v>2341.6</v>
      </c>
      <c r="BX86" s="3">
        <v>3124.9</v>
      </c>
      <c r="BY86" s="3">
        <v>2638.6</v>
      </c>
      <c r="BZ86" s="3">
        <v>3037.6</v>
      </c>
      <c r="CA86" s="3">
        <v>3355.4</v>
      </c>
      <c r="CB86" s="3">
        <v>3433.4</v>
      </c>
      <c r="CC86" s="3">
        <v>3531.5</v>
      </c>
      <c r="CD86" s="3">
        <v>3862.3</v>
      </c>
      <c r="CE86" s="3">
        <v>4319</v>
      </c>
      <c r="CF86" s="3">
        <v>4346.8</v>
      </c>
      <c r="CG86" s="3">
        <v>5165.3</v>
      </c>
      <c r="CH86" s="3">
        <v>5415.8</v>
      </c>
      <c r="CI86" s="3">
        <v>5735</v>
      </c>
      <c r="CJ86" s="3">
        <v>5739.8</v>
      </c>
      <c r="CK86" s="3">
        <v>6300.3</v>
      </c>
      <c r="CL86" s="3">
        <v>6738.8</v>
      </c>
      <c r="CM86" s="3">
        <v>6749.8</v>
      </c>
      <c r="CN86" s="3">
        <v>6917.7</v>
      </c>
      <c r="CO86" s="3">
        <v>7304.7</v>
      </c>
      <c r="CP86" s="3">
        <v>7612.2</v>
      </c>
      <c r="CQ86" s="3">
        <v>7584.2</v>
      </c>
      <c r="CR86" s="3">
        <v>9665.2000000000007</v>
      </c>
      <c r="CS86" s="3">
        <v>9669.6</v>
      </c>
      <c r="CT86" s="3">
        <v>10331.299999999999</v>
      </c>
    </row>
    <row r="87" spans="1:98">
      <c r="A87" s="4" t="s">
        <v>183</v>
      </c>
      <c r="B87" s="5">
        <v>100</v>
      </c>
      <c r="C87" s="5">
        <v>103.3</v>
      </c>
      <c r="D87" s="5">
        <v>104</v>
      </c>
      <c r="E87" s="5">
        <v>104.4</v>
      </c>
      <c r="F87" s="5">
        <v>114.2</v>
      </c>
      <c r="G87" s="5">
        <v>128.30000000000001</v>
      </c>
      <c r="H87" s="5">
        <v>128.9</v>
      </c>
      <c r="I87" s="5">
        <v>129.80000000000001</v>
      </c>
      <c r="J87" s="5">
        <v>129.80000000000001</v>
      </c>
      <c r="K87" s="5">
        <v>130.80000000000001</v>
      </c>
      <c r="L87" s="5">
        <v>131.1</v>
      </c>
      <c r="M87" s="5">
        <v>131.5</v>
      </c>
      <c r="N87" s="5">
        <v>131.69999999999999</v>
      </c>
      <c r="O87" s="5">
        <v>132.5</v>
      </c>
      <c r="P87" s="5">
        <v>146.1</v>
      </c>
      <c r="Q87" s="5">
        <v>148.9</v>
      </c>
      <c r="R87" s="5">
        <v>149</v>
      </c>
      <c r="S87" s="5">
        <v>158</v>
      </c>
      <c r="T87" s="5">
        <v>158.5</v>
      </c>
      <c r="U87" s="5">
        <v>159.1</v>
      </c>
      <c r="V87" s="5">
        <v>160.69999999999999</v>
      </c>
      <c r="W87" s="5">
        <v>178.2</v>
      </c>
      <c r="X87" s="5">
        <v>178.5</v>
      </c>
      <c r="Y87" s="5">
        <v>168.8</v>
      </c>
      <c r="Z87" s="5">
        <v>166.3</v>
      </c>
      <c r="AA87" s="5">
        <v>169</v>
      </c>
      <c r="AB87" s="5">
        <v>169.4</v>
      </c>
      <c r="AC87" s="5">
        <v>181.6</v>
      </c>
      <c r="AD87" s="5">
        <v>182.2</v>
      </c>
      <c r="AE87" s="5">
        <v>187.7</v>
      </c>
      <c r="AF87" s="5">
        <v>188.3</v>
      </c>
      <c r="AG87" s="5">
        <v>190.2</v>
      </c>
      <c r="AH87" s="5">
        <v>201.4</v>
      </c>
      <c r="AI87" s="5">
        <v>209.9</v>
      </c>
      <c r="AJ87" s="5">
        <v>216</v>
      </c>
      <c r="AK87" s="5">
        <v>217.4</v>
      </c>
      <c r="AL87" s="5">
        <v>241.8</v>
      </c>
      <c r="AM87" s="5">
        <v>268.5</v>
      </c>
      <c r="AN87" s="5">
        <v>302.8</v>
      </c>
      <c r="AO87" s="5">
        <v>333.2</v>
      </c>
      <c r="AP87" s="5">
        <v>334</v>
      </c>
      <c r="AQ87" s="5">
        <v>359.4</v>
      </c>
      <c r="AR87" s="5">
        <v>365.7</v>
      </c>
      <c r="AS87" s="5">
        <v>372.5</v>
      </c>
      <c r="AT87" s="5">
        <v>376.2</v>
      </c>
      <c r="AU87" s="5">
        <v>407.2</v>
      </c>
      <c r="AV87" s="5">
        <v>411.5</v>
      </c>
      <c r="AW87" s="5">
        <v>410.1</v>
      </c>
      <c r="AX87" s="5">
        <v>412.8</v>
      </c>
      <c r="AY87" s="5">
        <v>409.3</v>
      </c>
      <c r="AZ87" s="5">
        <v>417.5</v>
      </c>
      <c r="BA87" s="5">
        <v>411.2</v>
      </c>
      <c r="BB87" s="5">
        <v>412.9</v>
      </c>
      <c r="BC87" s="5">
        <v>431.7</v>
      </c>
      <c r="BD87" s="5">
        <v>433.9</v>
      </c>
      <c r="BE87" s="5">
        <v>460.3</v>
      </c>
      <c r="BF87" s="5">
        <v>477.1</v>
      </c>
      <c r="BG87" s="5">
        <v>521.5</v>
      </c>
      <c r="BH87" s="5">
        <v>538.29999999999995</v>
      </c>
      <c r="BI87" s="5">
        <v>548.5</v>
      </c>
      <c r="BJ87" s="5">
        <v>560.29999999999995</v>
      </c>
      <c r="BK87" s="5">
        <v>615.6</v>
      </c>
      <c r="BL87" s="5">
        <v>866</v>
      </c>
      <c r="BM87" s="5">
        <v>668.6</v>
      </c>
      <c r="BN87" s="5">
        <v>875.4</v>
      </c>
      <c r="BO87" s="5">
        <v>770.7</v>
      </c>
      <c r="BP87" s="5">
        <v>816.4</v>
      </c>
      <c r="BQ87" s="5">
        <v>992.8</v>
      </c>
      <c r="BR87" s="5">
        <v>988.3</v>
      </c>
      <c r="BS87" s="5">
        <v>1054</v>
      </c>
      <c r="BT87" s="5">
        <v>1084.8</v>
      </c>
      <c r="BU87" s="5">
        <v>1528.7</v>
      </c>
      <c r="BV87" s="5">
        <v>1983.9</v>
      </c>
      <c r="BW87" s="5">
        <v>1645.8</v>
      </c>
      <c r="BX87" s="5">
        <v>2165.3000000000002</v>
      </c>
      <c r="BY87" s="5">
        <v>1764.4</v>
      </c>
      <c r="BZ87" s="5">
        <v>1922.2</v>
      </c>
      <c r="CA87" s="5">
        <v>2673.8</v>
      </c>
      <c r="CB87" s="5">
        <v>2743.5</v>
      </c>
      <c r="CC87" s="5">
        <v>2821.2</v>
      </c>
      <c r="CD87" s="5">
        <v>2706.3</v>
      </c>
      <c r="CE87" s="5">
        <v>3045.5</v>
      </c>
      <c r="CF87" s="5">
        <v>3067.5</v>
      </c>
      <c r="CG87" s="5">
        <v>3325.6</v>
      </c>
      <c r="CH87" s="5">
        <v>3541.9</v>
      </c>
      <c r="CI87" s="5">
        <v>3760.8</v>
      </c>
      <c r="CJ87" s="5">
        <v>3809.3</v>
      </c>
      <c r="CK87" s="5">
        <v>4002</v>
      </c>
      <c r="CL87" s="5">
        <v>4059.4</v>
      </c>
      <c r="CM87" s="5">
        <v>4557.7</v>
      </c>
      <c r="CN87" s="5">
        <v>4599</v>
      </c>
      <c r="CO87" s="5">
        <v>5335.7</v>
      </c>
      <c r="CP87" s="5">
        <v>5284.9</v>
      </c>
      <c r="CQ87" s="5">
        <v>5237.3999999999996</v>
      </c>
      <c r="CR87" s="5">
        <v>5434.2</v>
      </c>
      <c r="CS87" s="5">
        <v>5542.5</v>
      </c>
      <c r="CT87" s="5">
        <v>5648.5</v>
      </c>
    </row>
    <row r="88" spans="1:98">
      <c r="A88" s="2" t="s">
        <v>184</v>
      </c>
      <c r="B88" s="3">
        <v>100</v>
      </c>
      <c r="C88" s="3"/>
      <c r="D88" s="3"/>
      <c r="E88" s="3"/>
      <c r="F88" s="3"/>
      <c r="G88" s="3"/>
      <c r="H88" s="3"/>
      <c r="I88" s="3"/>
      <c r="J88" s="3"/>
      <c r="K88" s="3"/>
      <c r="L88" s="3"/>
      <c r="M88" s="3"/>
      <c r="N88" s="3"/>
      <c r="O88" s="3"/>
      <c r="P88" s="3"/>
      <c r="Q88" s="3"/>
      <c r="R88" s="3"/>
      <c r="S88" s="3"/>
      <c r="T88" s="3"/>
      <c r="U88" s="3"/>
      <c r="V88" s="3"/>
      <c r="W88" s="3"/>
      <c r="X88" s="3">
        <v>209.5</v>
      </c>
      <c r="Y88" s="3">
        <v>210</v>
      </c>
      <c r="Z88" s="3">
        <v>210.2</v>
      </c>
      <c r="AA88" s="3">
        <v>211.8</v>
      </c>
      <c r="AB88" s="3">
        <v>212.1</v>
      </c>
      <c r="AC88" s="3">
        <v>237.7</v>
      </c>
      <c r="AD88" s="3">
        <v>238.1</v>
      </c>
      <c r="AE88" s="3">
        <v>261.2</v>
      </c>
      <c r="AF88" s="3">
        <v>261.5</v>
      </c>
      <c r="AG88" s="3">
        <v>264.5</v>
      </c>
      <c r="AH88" s="3">
        <v>270.5</v>
      </c>
      <c r="AI88" s="3">
        <v>294.10000000000002</v>
      </c>
      <c r="AJ88" s="3">
        <v>294.5</v>
      </c>
      <c r="AK88" s="3">
        <v>295.2</v>
      </c>
      <c r="AL88" s="3">
        <v>320.89999999999998</v>
      </c>
      <c r="AM88" s="3">
        <v>354.8</v>
      </c>
      <c r="AN88" s="3">
        <v>400.6</v>
      </c>
      <c r="AO88" s="3">
        <v>403</v>
      </c>
      <c r="AP88" s="3">
        <v>403.8</v>
      </c>
      <c r="AQ88" s="3">
        <v>410.3</v>
      </c>
      <c r="AR88" s="3">
        <v>411.2</v>
      </c>
      <c r="AS88" s="3">
        <v>537.4</v>
      </c>
      <c r="AT88" s="3">
        <v>539.29999999999995</v>
      </c>
      <c r="AU88" s="3">
        <v>596.70000000000005</v>
      </c>
      <c r="AV88" s="3">
        <v>597.9</v>
      </c>
      <c r="AW88" s="3">
        <v>600.70000000000005</v>
      </c>
      <c r="AX88" s="3">
        <v>601.79999999999995</v>
      </c>
      <c r="AY88" s="3">
        <v>609.5</v>
      </c>
      <c r="AZ88" s="3">
        <v>610.20000000000005</v>
      </c>
      <c r="BA88" s="3">
        <v>584.6</v>
      </c>
      <c r="BB88" s="3">
        <v>585.29999999999995</v>
      </c>
      <c r="BC88" s="3">
        <v>617.70000000000005</v>
      </c>
      <c r="BD88" s="3">
        <v>618.5</v>
      </c>
      <c r="BE88" s="3">
        <v>644.5</v>
      </c>
      <c r="BF88" s="3">
        <v>645.29999999999995</v>
      </c>
      <c r="BG88" s="3">
        <v>657.1</v>
      </c>
      <c r="BH88" s="3">
        <v>712.1</v>
      </c>
      <c r="BI88" s="3">
        <v>738.3</v>
      </c>
      <c r="BJ88" s="3">
        <v>766.8</v>
      </c>
      <c r="BK88" s="3">
        <v>849.1</v>
      </c>
      <c r="BL88" s="3">
        <v>1187.4000000000001</v>
      </c>
      <c r="BM88" s="3">
        <v>919.3</v>
      </c>
      <c r="BN88" s="3">
        <v>1189.8</v>
      </c>
      <c r="BO88" s="3">
        <v>986.1</v>
      </c>
      <c r="BP88" s="3">
        <v>1052.5</v>
      </c>
      <c r="BQ88" s="3">
        <v>1490.3</v>
      </c>
      <c r="BR88" s="3">
        <v>1462.5</v>
      </c>
      <c r="BS88" s="3">
        <v>1438.5</v>
      </c>
      <c r="BT88" s="3">
        <v>1473</v>
      </c>
      <c r="BU88" s="3">
        <v>1734.4</v>
      </c>
      <c r="BV88" s="3">
        <v>2913.3</v>
      </c>
      <c r="BW88" s="3">
        <v>2092</v>
      </c>
      <c r="BX88" s="3">
        <v>3293.6</v>
      </c>
      <c r="BY88" s="3">
        <v>2357</v>
      </c>
      <c r="BZ88" s="3">
        <v>2682.9</v>
      </c>
      <c r="CA88" s="3">
        <v>3516.7</v>
      </c>
      <c r="CB88" s="3">
        <v>3633</v>
      </c>
      <c r="CC88" s="3">
        <v>3732.8</v>
      </c>
      <c r="CD88" s="3">
        <v>3942.8</v>
      </c>
      <c r="CE88" s="3">
        <v>4195.3999999999996</v>
      </c>
      <c r="CF88" s="3">
        <v>4205</v>
      </c>
      <c r="CG88" s="3">
        <v>4526.3999999999996</v>
      </c>
      <c r="CH88" s="3">
        <v>4652.7</v>
      </c>
      <c r="CI88" s="3">
        <v>5335.4</v>
      </c>
      <c r="CJ88" s="3">
        <v>5550.1</v>
      </c>
      <c r="CK88" s="3">
        <v>5784.6</v>
      </c>
      <c r="CL88" s="3">
        <v>5922.1</v>
      </c>
      <c r="CM88" s="3">
        <v>6248.5</v>
      </c>
      <c r="CN88" s="3">
        <v>6462.6</v>
      </c>
      <c r="CO88" s="3">
        <v>7619.5</v>
      </c>
      <c r="CP88" s="3">
        <v>7654.9</v>
      </c>
      <c r="CQ88" s="3">
        <v>7987.1</v>
      </c>
      <c r="CR88" s="3">
        <v>8659.2999999999993</v>
      </c>
      <c r="CS88" s="3">
        <v>8713.2999999999993</v>
      </c>
      <c r="CT88" s="3">
        <v>9283.7000000000007</v>
      </c>
    </row>
    <row r="89" spans="1:98">
      <c r="A89" s="4" t="s">
        <v>185</v>
      </c>
      <c r="B89" s="5">
        <v>100</v>
      </c>
      <c r="C89" s="5">
        <v>108.3</v>
      </c>
      <c r="D89" s="5">
        <v>108.9</v>
      </c>
      <c r="E89" s="5">
        <v>109.1</v>
      </c>
      <c r="F89" s="5">
        <v>111.5</v>
      </c>
      <c r="G89" s="5">
        <v>121.5</v>
      </c>
      <c r="H89" s="5">
        <v>122</v>
      </c>
      <c r="I89" s="5">
        <v>132.6</v>
      </c>
      <c r="J89" s="5">
        <v>132.6</v>
      </c>
      <c r="K89" s="5">
        <v>137.19999999999999</v>
      </c>
      <c r="L89" s="5">
        <v>137.30000000000001</v>
      </c>
      <c r="M89" s="5">
        <v>137.69999999999999</v>
      </c>
      <c r="N89" s="5">
        <v>137.80000000000001</v>
      </c>
      <c r="O89" s="5">
        <v>158.69999999999999</v>
      </c>
      <c r="P89" s="5">
        <v>158.69999999999999</v>
      </c>
      <c r="Q89" s="5">
        <v>160.69999999999999</v>
      </c>
      <c r="R89" s="5">
        <v>160.80000000000001</v>
      </c>
      <c r="S89" s="5">
        <v>172.8</v>
      </c>
      <c r="T89" s="5">
        <v>173.2</v>
      </c>
      <c r="U89" s="5">
        <v>173.7</v>
      </c>
      <c r="V89" s="5">
        <v>188.5</v>
      </c>
      <c r="W89" s="5">
        <v>211.7</v>
      </c>
      <c r="X89" s="5">
        <v>212</v>
      </c>
      <c r="Y89" s="5">
        <v>212.5</v>
      </c>
      <c r="Z89" s="5">
        <v>212.7</v>
      </c>
      <c r="AA89" s="5">
        <v>214.7</v>
      </c>
      <c r="AB89" s="5">
        <v>215</v>
      </c>
      <c r="AC89" s="5">
        <v>215.8</v>
      </c>
      <c r="AD89" s="5">
        <v>216.3</v>
      </c>
      <c r="AE89" s="5">
        <v>226.6</v>
      </c>
      <c r="AF89" s="5">
        <v>226.9</v>
      </c>
      <c r="AG89" s="5">
        <v>227.3</v>
      </c>
      <c r="AH89" s="5">
        <v>231.9</v>
      </c>
      <c r="AI89" s="5">
        <v>253.6</v>
      </c>
      <c r="AJ89" s="5">
        <v>254.1</v>
      </c>
      <c r="AK89" s="5">
        <v>254.7</v>
      </c>
      <c r="AL89" s="5">
        <v>288.10000000000002</v>
      </c>
      <c r="AM89" s="5">
        <v>350</v>
      </c>
      <c r="AN89" s="5">
        <v>398.3</v>
      </c>
      <c r="AO89" s="5">
        <v>411.6</v>
      </c>
      <c r="AP89" s="5">
        <v>412.5</v>
      </c>
      <c r="AQ89" s="5">
        <v>455.3</v>
      </c>
      <c r="AR89" s="5">
        <v>456.4</v>
      </c>
      <c r="AS89" s="5">
        <v>458.4</v>
      </c>
      <c r="AT89" s="5">
        <v>460.3</v>
      </c>
      <c r="AU89" s="5">
        <v>525.1</v>
      </c>
      <c r="AV89" s="5">
        <v>526.4</v>
      </c>
      <c r="AW89" s="5">
        <v>512.20000000000005</v>
      </c>
      <c r="AX89" s="5">
        <v>513.20000000000005</v>
      </c>
      <c r="AY89" s="5">
        <v>536.6</v>
      </c>
      <c r="AZ89" s="5">
        <v>537.5</v>
      </c>
      <c r="BA89" s="5">
        <v>539.79999999999995</v>
      </c>
      <c r="BB89" s="5">
        <v>540.4</v>
      </c>
      <c r="BC89" s="5">
        <v>561</v>
      </c>
      <c r="BD89" s="5">
        <v>561.9</v>
      </c>
      <c r="BE89" s="5">
        <v>591.6</v>
      </c>
      <c r="BF89" s="5">
        <v>592.29999999999995</v>
      </c>
      <c r="BG89" s="5">
        <v>625.1</v>
      </c>
      <c r="BH89" s="5">
        <v>651.4</v>
      </c>
      <c r="BI89" s="5">
        <v>652.29999999999995</v>
      </c>
      <c r="BJ89" s="5">
        <v>678.2</v>
      </c>
      <c r="BK89" s="5">
        <v>849.3</v>
      </c>
      <c r="BL89" s="5">
        <v>1162.5999999999999</v>
      </c>
      <c r="BM89" s="5">
        <v>934.2</v>
      </c>
      <c r="BN89" s="5">
        <v>1280.8</v>
      </c>
      <c r="BO89" s="5">
        <v>1044.8</v>
      </c>
      <c r="BP89" s="5">
        <v>1091</v>
      </c>
      <c r="BQ89" s="5">
        <v>1376.6</v>
      </c>
      <c r="BR89" s="5">
        <v>1486.7</v>
      </c>
      <c r="BS89" s="5">
        <v>1490.6</v>
      </c>
      <c r="BT89" s="5">
        <v>1516.5</v>
      </c>
      <c r="BU89" s="5">
        <v>1753.4</v>
      </c>
      <c r="BV89" s="5">
        <v>2544.1999999999998</v>
      </c>
      <c r="BW89" s="5">
        <v>1965.9</v>
      </c>
      <c r="BX89" s="5">
        <v>2335.1999999999998</v>
      </c>
      <c r="BY89" s="5">
        <v>2044.2</v>
      </c>
      <c r="BZ89" s="5">
        <v>2304.9</v>
      </c>
      <c r="CA89" s="5">
        <v>2702.7</v>
      </c>
      <c r="CB89" s="5">
        <v>2826.5</v>
      </c>
      <c r="CC89" s="5">
        <v>2828.7</v>
      </c>
      <c r="CD89" s="5">
        <v>2977.4</v>
      </c>
      <c r="CE89" s="5">
        <v>3208.4</v>
      </c>
      <c r="CF89" s="5">
        <v>3377.1</v>
      </c>
      <c r="CG89" s="5">
        <v>3766.6</v>
      </c>
      <c r="CH89" s="5">
        <v>4055.2</v>
      </c>
      <c r="CI89" s="5">
        <v>4317.1000000000004</v>
      </c>
      <c r="CJ89" s="5">
        <v>4585.6000000000004</v>
      </c>
      <c r="CK89" s="5">
        <v>5155.7</v>
      </c>
      <c r="CL89" s="5">
        <v>5184.8</v>
      </c>
      <c r="CM89" s="5">
        <v>5368.5</v>
      </c>
      <c r="CN89" s="5">
        <v>5385.2</v>
      </c>
      <c r="CO89" s="5">
        <v>6001.3</v>
      </c>
      <c r="CP89" s="5">
        <v>6038.8</v>
      </c>
      <c r="CQ89" s="5">
        <v>6572.9</v>
      </c>
      <c r="CR89" s="5">
        <v>7116.3</v>
      </c>
      <c r="CS89" s="5">
        <v>7128.1</v>
      </c>
      <c r="CT89" s="5">
        <v>7981.6</v>
      </c>
    </row>
    <row r="90" spans="1:98">
      <c r="A90" s="2" t="s">
        <v>186</v>
      </c>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v>8320</v>
      </c>
      <c r="CP90" s="3">
        <v>9040</v>
      </c>
      <c r="CQ90" s="3">
        <v>9016</v>
      </c>
      <c r="CR90" s="3">
        <v>9064</v>
      </c>
      <c r="CS90" s="3">
        <v>9088</v>
      </c>
      <c r="CT90" s="3">
        <v>9232</v>
      </c>
    </row>
    <row r="91" spans="1:98">
      <c r="A91" s="4" t="s">
        <v>187</v>
      </c>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v>2000</v>
      </c>
      <c r="BU91" s="5">
        <v>2288</v>
      </c>
      <c r="BV91" s="5">
        <v>3800</v>
      </c>
      <c r="BW91" s="5">
        <v>2612</v>
      </c>
      <c r="BX91" s="5">
        <v>3560</v>
      </c>
      <c r="BY91" s="5">
        <v>2864</v>
      </c>
      <c r="BZ91" s="5">
        <v>3170</v>
      </c>
      <c r="CA91" s="5">
        <v>4343.2</v>
      </c>
      <c r="CB91" s="5">
        <v>4343.2</v>
      </c>
      <c r="CC91" s="5">
        <v>4378.8</v>
      </c>
      <c r="CD91" s="5">
        <v>5340</v>
      </c>
      <c r="CE91" s="5">
        <v>5425.4</v>
      </c>
      <c r="CF91" s="5">
        <v>5799.2</v>
      </c>
      <c r="CG91" s="5">
        <v>6675</v>
      </c>
      <c r="CH91" s="5">
        <v>8597.4</v>
      </c>
      <c r="CI91" s="5">
        <v>8650.7999999999993</v>
      </c>
      <c r="CJ91" s="5">
        <v>8490.6</v>
      </c>
      <c r="CK91" s="5">
        <v>9084.9</v>
      </c>
      <c r="CL91" s="5">
        <v>9254.7999999999993</v>
      </c>
      <c r="CM91" s="5">
        <v>10018.9</v>
      </c>
      <c r="CN91" s="5">
        <v>10443.4</v>
      </c>
      <c r="CO91" s="5">
        <v>122323.2</v>
      </c>
      <c r="CP91" s="5">
        <v>11487.7</v>
      </c>
      <c r="CQ91" s="5">
        <v>12595</v>
      </c>
      <c r="CR91" s="5">
        <v>12866</v>
      </c>
      <c r="CS91" s="5">
        <v>12981</v>
      </c>
      <c r="CT91" s="5">
        <v>13753</v>
      </c>
    </row>
    <row r="92" spans="1:98">
      <c r="A92" s="2" t="s">
        <v>188</v>
      </c>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v>2000</v>
      </c>
      <c r="BU92" s="3">
        <v>2270</v>
      </c>
      <c r="BV92" s="3">
        <v>3840</v>
      </c>
      <c r="BW92" s="3">
        <v>2600</v>
      </c>
      <c r="BX92" s="3">
        <v>3700</v>
      </c>
      <c r="BY92" s="3">
        <v>2860</v>
      </c>
      <c r="BZ92" s="3">
        <v>3160</v>
      </c>
      <c r="CA92" s="3">
        <v>3774</v>
      </c>
      <c r="CB92" s="3">
        <v>3811</v>
      </c>
      <c r="CC92" s="3">
        <v>3885</v>
      </c>
      <c r="CD92" s="3">
        <v>3885</v>
      </c>
      <c r="CE92" s="3">
        <v>3947.2</v>
      </c>
      <c r="CF92" s="3">
        <v>4219.1000000000004</v>
      </c>
      <c r="CG92" s="3">
        <v>4933.8999999999996</v>
      </c>
      <c r="CH92" s="3">
        <v>4895.1000000000004</v>
      </c>
      <c r="CI92" s="3">
        <v>4972.8</v>
      </c>
      <c r="CJ92" s="3">
        <v>6060.6</v>
      </c>
      <c r="CK92" s="3">
        <v>6484.8</v>
      </c>
      <c r="CL92" s="3">
        <v>6181.8</v>
      </c>
      <c r="CM92" s="3">
        <v>6181.8</v>
      </c>
      <c r="CN92" s="3">
        <v>6242.4</v>
      </c>
      <c r="CO92" s="3">
        <v>6367.2</v>
      </c>
      <c r="CP92" s="3">
        <v>6679.4</v>
      </c>
      <c r="CQ92" s="3">
        <v>7291.1</v>
      </c>
      <c r="CR92" s="3">
        <v>7440.9</v>
      </c>
      <c r="CS92" s="3">
        <v>7097.6</v>
      </c>
      <c r="CT92" s="3">
        <v>7166.2</v>
      </c>
    </row>
    <row r="93" spans="1:98">
      <c r="A93" s="4" t="s">
        <v>189</v>
      </c>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v>2000</v>
      </c>
      <c r="BU93" s="5">
        <v>2224</v>
      </c>
      <c r="BV93" s="5">
        <v>3960</v>
      </c>
      <c r="BW93" s="5">
        <v>3040</v>
      </c>
      <c r="BX93" s="5">
        <v>4100</v>
      </c>
      <c r="BY93" s="5">
        <v>3440</v>
      </c>
      <c r="BZ93" s="5">
        <v>3504</v>
      </c>
      <c r="CA93" s="5">
        <v>4756</v>
      </c>
      <c r="CB93" s="5">
        <v>5002</v>
      </c>
      <c r="CC93" s="5">
        <v>4797</v>
      </c>
      <c r="CD93" s="5">
        <v>4715</v>
      </c>
      <c r="CE93" s="5">
        <v>5092.2</v>
      </c>
      <c r="CF93" s="5">
        <v>5233.7</v>
      </c>
      <c r="CG93" s="5">
        <v>5469.4</v>
      </c>
      <c r="CH93" s="5">
        <v>6176.7</v>
      </c>
      <c r="CI93" s="5">
        <v>6789.6</v>
      </c>
      <c r="CJ93" s="5">
        <v>7355.4</v>
      </c>
      <c r="CK93" s="5">
        <v>7649.6</v>
      </c>
      <c r="CL93" s="5">
        <v>8164.5</v>
      </c>
      <c r="CM93" s="5">
        <v>9341.2999999999993</v>
      </c>
      <c r="CN93" s="5">
        <v>9341.2999999999993</v>
      </c>
      <c r="CO93" s="5">
        <v>10088.6</v>
      </c>
      <c r="CP93" s="5">
        <v>10462.299999999999</v>
      </c>
      <c r="CQ93" s="5">
        <v>12097</v>
      </c>
      <c r="CR93" s="5">
        <v>12564</v>
      </c>
      <c r="CS93" s="5">
        <v>12611</v>
      </c>
      <c r="CT93" s="5">
        <v>12704.1</v>
      </c>
    </row>
    <row r="94" spans="1:98">
      <c r="A94" s="2" t="s">
        <v>190</v>
      </c>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v>2000</v>
      </c>
      <c r="BU94" s="3">
        <v>2288</v>
      </c>
      <c r="BV94" s="3">
        <v>3600</v>
      </c>
      <c r="BW94" s="3">
        <v>2600</v>
      </c>
      <c r="BX94" s="3">
        <v>3480</v>
      </c>
      <c r="BY94" s="3">
        <v>2860</v>
      </c>
      <c r="BZ94" s="3">
        <v>3160</v>
      </c>
      <c r="CA94" s="3">
        <v>4245.6000000000004</v>
      </c>
      <c r="CB94" s="3">
        <v>4245.6000000000004</v>
      </c>
      <c r="CC94" s="3">
        <v>4350</v>
      </c>
      <c r="CD94" s="3">
        <v>4176</v>
      </c>
      <c r="CE94" s="3">
        <v>4259.5</v>
      </c>
      <c r="CF94" s="3">
        <v>4568.5</v>
      </c>
      <c r="CG94" s="3">
        <v>5470.6</v>
      </c>
      <c r="CH94" s="3">
        <v>5888.2</v>
      </c>
      <c r="CI94" s="3">
        <v>6013.4</v>
      </c>
      <c r="CJ94" s="3">
        <v>5888.2</v>
      </c>
      <c r="CK94" s="3">
        <v>6889.2</v>
      </c>
      <c r="CL94" s="3">
        <v>6948.1</v>
      </c>
      <c r="CM94" s="3">
        <v>6948</v>
      </c>
      <c r="CN94" s="3">
        <v>7274.4</v>
      </c>
      <c r="CO94" s="3">
        <v>8111.5</v>
      </c>
      <c r="CP94" s="3">
        <v>8256.4</v>
      </c>
      <c r="CQ94" s="3">
        <v>9400.6</v>
      </c>
      <c r="CR94" s="3">
        <v>9407.7999999999993</v>
      </c>
      <c r="CS94" s="3">
        <v>9777.2000000000007</v>
      </c>
      <c r="CT94" s="3">
        <v>9849.6</v>
      </c>
    </row>
    <row r="95" spans="1:98">
      <c r="A95" s="4" t="s">
        <v>191</v>
      </c>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v>2000</v>
      </c>
      <c r="BU95" s="5">
        <v>2198</v>
      </c>
      <c r="BV95" s="5">
        <v>3600</v>
      </c>
      <c r="BW95" s="5">
        <v>2720</v>
      </c>
      <c r="BX95" s="5">
        <v>3500</v>
      </c>
      <c r="BY95" s="5">
        <v>3026</v>
      </c>
      <c r="BZ95" s="5">
        <v>3422</v>
      </c>
      <c r="CA95" s="5">
        <v>4025</v>
      </c>
      <c r="CB95" s="5">
        <v>4270</v>
      </c>
      <c r="CC95" s="5">
        <v>4445</v>
      </c>
      <c r="CD95" s="5">
        <v>4235</v>
      </c>
      <c r="CE95" s="5">
        <v>4658.5</v>
      </c>
      <c r="CF95" s="5">
        <v>4870.3</v>
      </c>
      <c r="CG95" s="5">
        <v>5336.1</v>
      </c>
      <c r="CH95" s="5">
        <v>6733.6</v>
      </c>
      <c r="CI95" s="5">
        <v>6776</v>
      </c>
      <c r="CJ95" s="5">
        <v>6776</v>
      </c>
      <c r="CK95" s="5">
        <v>8266.7000000000007</v>
      </c>
      <c r="CL95" s="5">
        <v>8334.5</v>
      </c>
      <c r="CM95" s="5">
        <v>7995.6</v>
      </c>
      <c r="CN95" s="5">
        <v>8334.4</v>
      </c>
      <c r="CO95" s="5">
        <v>8751.1</v>
      </c>
      <c r="CP95" s="5">
        <v>9251.2000000000007</v>
      </c>
      <c r="CQ95" s="5">
        <v>10268</v>
      </c>
      <c r="CR95" s="5">
        <v>9704.7999999999993</v>
      </c>
      <c r="CS95" s="5">
        <v>12377</v>
      </c>
      <c r="CT95" s="5">
        <v>12668</v>
      </c>
    </row>
    <row r="96" spans="1:98">
      <c r="A96" s="2" t="s">
        <v>192</v>
      </c>
      <c r="B96" s="3">
        <v>100</v>
      </c>
      <c r="C96" s="3">
        <v>109</v>
      </c>
      <c r="D96" s="3">
        <v>112.8</v>
      </c>
      <c r="E96" s="3">
        <v>114.9</v>
      </c>
      <c r="F96" s="3">
        <v>117</v>
      </c>
      <c r="G96" s="3">
        <v>133.4</v>
      </c>
      <c r="H96" s="3">
        <v>137.1</v>
      </c>
      <c r="I96" s="3">
        <v>139.80000000000001</v>
      </c>
      <c r="J96" s="3">
        <v>139.80000000000001</v>
      </c>
      <c r="K96" s="3">
        <v>147.80000000000001</v>
      </c>
      <c r="L96" s="3">
        <v>149.9</v>
      </c>
      <c r="M96" s="3">
        <v>152.5</v>
      </c>
      <c r="N96" s="3">
        <v>153.30000000000001</v>
      </c>
      <c r="O96" s="3">
        <v>166.8</v>
      </c>
      <c r="P96" s="3">
        <v>170.5</v>
      </c>
      <c r="Q96" s="3">
        <v>171.4</v>
      </c>
      <c r="R96" s="3">
        <v>171.7</v>
      </c>
      <c r="S96" s="3">
        <v>189.7</v>
      </c>
      <c r="T96" s="3">
        <v>192.2</v>
      </c>
      <c r="U96" s="3">
        <v>198.6</v>
      </c>
      <c r="V96" s="3">
        <v>203</v>
      </c>
      <c r="W96" s="3">
        <v>226</v>
      </c>
      <c r="X96" s="3">
        <v>228.4</v>
      </c>
      <c r="Y96" s="3">
        <v>233.1</v>
      </c>
      <c r="Z96" s="3">
        <v>234.3</v>
      </c>
      <c r="AA96" s="3">
        <v>251.6</v>
      </c>
      <c r="AB96" s="3">
        <v>255.7</v>
      </c>
      <c r="AC96" s="3">
        <v>259.39999999999998</v>
      </c>
      <c r="AD96" s="3">
        <v>264.5</v>
      </c>
      <c r="AE96" s="3">
        <v>283.5</v>
      </c>
      <c r="AF96" s="3">
        <v>285.5</v>
      </c>
      <c r="AG96" s="3">
        <v>290.89999999999998</v>
      </c>
      <c r="AH96" s="3">
        <v>302.10000000000002</v>
      </c>
      <c r="AI96" s="3">
        <v>323.10000000000002</v>
      </c>
      <c r="AJ96" s="3">
        <v>329.7</v>
      </c>
      <c r="AK96" s="3">
        <v>337.1</v>
      </c>
      <c r="AL96" s="3">
        <v>342.6</v>
      </c>
      <c r="AM96" s="3">
        <v>380.3</v>
      </c>
      <c r="AN96" s="3">
        <v>399.9</v>
      </c>
      <c r="AO96" s="3">
        <v>420.3</v>
      </c>
      <c r="AP96" s="3">
        <v>429.7</v>
      </c>
      <c r="AQ96" s="3">
        <v>486.1</v>
      </c>
      <c r="AR96" s="3">
        <v>495.3</v>
      </c>
      <c r="AS96" s="3">
        <v>510.1</v>
      </c>
      <c r="AT96" s="3">
        <v>524.1</v>
      </c>
      <c r="AU96" s="3">
        <v>607.9</v>
      </c>
      <c r="AV96" s="3">
        <v>618.6</v>
      </c>
      <c r="AW96" s="3">
        <v>628.1</v>
      </c>
      <c r="AX96" s="3">
        <v>637.79999999999995</v>
      </c>
      <c r="AY96" s="3">
        <v>703.7</v>
      </c>
      <c r="AZ96" s="3">
        <v>709.7</v>
      </c>
      <c r="BA96" s="3">
        <v>715</v>
      </c>
      <c r="BB96" s="3">
        <v>720.4</v>
      </c>
      <c r="BC96" s="3">
        <v>778.8</v>
      </c>
      <c r="BD96" s="3">
        <v>786</v>
      </c>
      <c r="BE96" s="3">
        <v>793.2</v>
      </c>
      <c r="BF96" s="3">
        <v>800.4</v>
      </c>
      <c r="BG96" s="3">
        <v>871.2</v>
      </c>
      <c r="BH96" s="3">
        <v>875.6</v>
      </c>
      <c r="BI96" s="3">
        <v>888.4</v>
      </c>
      <c r="BJ96" s="3">
        <v>896.4</v>
      </c>
      <c r="BK96" s="3">
        <v>1029.0999999999999</v>
      </c>
      <c r="BL96" s="3">
        <v>1112.3</v>
      </c>
      <c r="BM96" s="3">
        <v>1075.7</v>
      </c>
      <c r="BN96" s="3">
        <v>1141</v>
      </c>
      <c r="BO96" s="3">
        <v>1085.5</v>
      </c>
      <c r="BP96" s="3">
        <v>1095</v>
      </c>
      <c r="BQ96" s="3">
        <v>1390.2</v>
      </c>
      <c r="BR96" s="3">
        <v>1452.4</v>
      </c>
      <c r="BS96" s="3">
        <v>1479.2</v>
      </c>
      <c r="BT96" s="3">
        <v>1514</v>
      </c>
      <c r="BU96" s="3">
        <v>1848.6</v>
      </c>
      <c r="BV96" s="3">
        <v>2266.5</v>
      </c>
      <c r="BW96" s="3">
        <v>2019.7</v>
      </c>
      <c r="BX96" s="3">
        <v>2380</v>
      </c>
      <c r="BY96" s="3">
        <v>2033.3</v>
      </c>
      <c r="BZ96" s="3">
        <v>2063.6</v>
      </c>
      <c r="CA96" s="3">
        <v>3124.9</v>
      </c>
      <c r="CB96" s="3">
        <v>3272.5</v>
      </c>
      <c r="CC96" s="3">
        <v>3279.6</v>
      </c>
      <c r="CD96" s="3">
        <v>3296.3</v>
      </c>
      <c r="CE96" s="3">
        <v>4285.2</v>
      </c>
      <c r="CF96" s="3">
        <v>4367.6000000000004</v>
      </c>
      <c r="CG96" s="3">
        <v>4641.2</v>
      </c>
      <c r="CH96" s="3">
        <v>4812.6000000000004</v>
      </c>
      <c r="CI96" s="3">
        <v>4812.6000000000004</v>
      </c>
      <c r="CJ96" s="3">
        <v>4812.6000000000004</v>
      </c>
      <c r="CK96" s="3">
        <v>5948.4</v>
      </c>
      <c r="CL96" s="3">
        <v>6150.5</v>
      </c>
      <c r="CM96" s="3">
        <v>6309.3</v>
      </c>
      <c r="CN96" s="3">
        <v>6472.9</v>
      </c>
      <c r="CO96" s="3">
        <v>8058.8</v>
      </c>
      <c r="CP96" s="3">
        <v>8375.9</v>
      </c>
      <c r="CQ96" s="3">
        <v>8388.9</v>
      </c>
      <c r="CR96" s="3">
        <v>8738.4</v>
      </c>
      <c r="CS96" s="3">
        <v>8816.1</v>
      </c>
      <c r="CT96" s="3">
        <v>8893.7999999999993</v>
      </c>
    </row>
    <row r="97" spans="1:98">
      <c r="A97" s="4" t="s">
        <v>193</v>
      </c>
      <c r="B97" s="5">
        <v>100</v>
      </c>
      <c r="C97" s="5">
        <v>100.9</v>
      </c>
      <c r="D97" s="5">
        <v>101.4</v>
      </c>
      <c r="E97" s="5">
        <v>101.7</v>
      </c>
      <c r="F97" s="5">
        <v>108.9</v>
      </c>
      <c r="G97" s="5">
        <v>114.8</v>
      </c>
      <c r="H97" s="5">
        <v>115.3</v>
      </c>
      <c r="I97" s="5">
        <v>117.4</v>
      </c>
      <c r="J97" s="5">
        <v>117.4</v>
      </c>
      <c r="K97" s="5">
        <v>119.8</v>
      </c>
      <c r="L97" s="5">
        <v>120</v>
      </c>
      <c r="M97" s="5">
        <v>129</v>
      </c>
      <c r="N97" s="5">
        <v>129.1</v>
      </c>
      <c r="O97" s="5">
        <v>142.80000000000001</v>
      </c>
      <c r="P97" s="5">
        <v>142.80000000000001</v>
      </c>
      <c r="Q97" s="5">
        <v>144.5</v>
      </c>
      <c r="R97" s="5">
        <v>144.5</v>
      </c>
      <c r="S97" s="5">
        <v>151</v>
      </c>
      <c r="T97" s="5">
        <v>151.19999999999999</v>
      </c>
      <c r="U97" s="5">
        <v>151.9</v>
      </c>
      <c r="V97" s="5">
        <v>169.5</v>
      </c>
      <c r="W97" s="5">
        <v>185.4</v>
      </c>
      <c r="X97" s="5">
        <v>185.7</v>
      </c>
      <c r="Y97" s="5">
        <v>186</v>
      </c>
      <c r="Z97" s="5">
        <v>186.1</v>
      </c>
      <c r="AA97" s="5">
        <v>187.4</v>
      </c>
      <c r="AB97" s="5">
        <v>187.8</v>
      </c>
      <c r="AC97" s="5">
        <v>188.2</v>
      </c>
      <c r="AD97" s="5">
        <v>188.5</v>
      </c>
      <c r="AE97" s="5">
        <v>210.5</v>
      </c>
      <c r="AF97" s="5">
        <v>210.8</v>
      </c>
      <c r="AG97" s="5">
        <v>211</v>
      </c>
      <c r="AH97" s="5">
        <v>216.3</v>
      </c>
      <c r="AI97" s="5">
        <v>230.8</v>
      </c>
      <c r="AJ97" s="5">
        <v>232.1</v>
      </c>
      <c r="AK97" s="5">
        <v>233.8</v>
      </c>
      <c r="AL97" s="5">
        <v>275</v>
      </c>
      <c r="AM97" s="5">
        <v>325.8</v>
      </c>
      <c r="AN97" s="5">
        <v>364.6</v>
      </c>
      <c r="AO97" s="5">
        <v>394.2</v>
      </c>
      <c r="AP97" s="5">
        <v>396.4</v>
      </c>
      <c r="AQ97" s="5">
        <v>436.3</v>
      </c>
      <c r="AR97" s="5">
        <v>437.9</v>
      </c>
      <c r="AS97" s="5">
        <v>439.7</v>
      </c>
      <c r="AT97" s="5">
        <v>441.3</v>
      </c>
      <c r="AU97" s="5">
        <v>505.7</v>
      </c>
      <c r="AV97" s="5">
        <v>507.4</v>
      </c>
      <c r="AW97" s="5">
        <v>490</v>
      </c>
      <c r="AX97" s="5">
        <v>490.8</v>
      </c>
      <c r="AY97" s="5">
        <v>512.20000000000005</v>
      </c>
      <c r="AZ97" s="5">
        <v>513</v>
      </c>
      <c r="BA97" s="5">
        <v>519</v>
      </c>
      <c r="BB97" s="5">
        <v>519.29999999999995</v>
      </c>
      <c r="BC97" s="5">
        <v>537.9</v>
      </c>
      <c r="BD97" s="5">
        <v>539</v>
      </c>
      <c r="BE97" s="5">
        <v>578.70000000000005</v>
      </c>
      <c r="BF97" s="5">
        <v>579.5</v>
      </c>
      <c r="BG97" s="5">
        <v>610.4</v>
      </c>
      <c r="BH97" s="5">
        <v>635.29999999999995</v>
      </c>
      <c r="BI97" s="5">
        <v>661.2</v>
      </c>
      <c r="BJ97" s="5">
        <v>700.5</v>
      </c>
      <c r="BK97" s="5">
        <v>862.2</v>
      </c>
      <c r="BL97" s="5">
        <v>1091.0999999999999</v>
      </c>
      <c r="BM97" s="5">
        <v>943.7</v>
      </c>
      <c r="BN97" s="5">
        <v>1157.7</v>
      </c>
      <c r="BO97" s="5">
        <v>1008</v>
      </c>
      <c r="BP97" s="5">
        <v>1076.5999999999999</v>
      </c>
      <c r="BQ97" s="5">
        <v>1254.4000000000001</v>
      </c>
      <c r="BR97" s="5">
        <v>1324.5</v>
      </c>
      <c r="BS97" s="5">
        <v>1334.6</v>
      </c>
      <c r="BT97" s="5">
        <v>1372.9</v>
      </c>
      <c r="BU97" s="5">
        <v>1554.9</v>
      </c>
      <c r="BV97" s="5">
        <v>2040.1</v>
      </c>
      <c r="BW97" s="5">
        <v>1748.3</v>
      </c>
      <c r="BX97" s="5">
        <v>2050.8000000000002</v>
      </c>
      <c r="BY97" s="5">
        <v>1857.3</v>
      </c>
      <c r="BZ97" s="5">
        <v>2077.1</v>
      </c>
      <c r="CA97" s="5">
        <v>2373.8000000000002</v>
      </c>
      <c r="CB97" s="5">
        <v>2496.3000000000002</v>
      </c>
      <c r="CC97" s="5">
        <v>2502.1999999999998</v>
      </c>
      <c r="CD97" s="5">
        <v>2635.2</v>
      </c>
      <c r="CE97" s="5">
        <v>2859.6</v>
      </c>
      <c r="CF97" s="5">
        <v>3028.9</v>
      </c>
      <c r="CG97" s="5">
        <v>3361.4</v>
      </c>
      <c r="CH97" s="5">
        <v>3620.2</v>
      </c>
      <c r="CI97" s="5">
        <v>3781.7</v>
      </c>
      <c r="CJ97" s="5">
        <v>4035.2</v>
      </c>
      <c r="CK97" s="5">
        <v>4448.8999999999996</v>
      </c>
      <c r="CL97" s="5">
        <v>4494.3</v>
      </c>
      <c r="CM97" s="5">
        <v>4646.8999999999996</v>
      </c>
      <c r="CN97" s="5">
        <v>4674.7</v>
      </c>
      <c r="CO97" s="5">
        <v>5280.4</v>
      </c>
      <c r="CP97" s="5">
        <v>5341.5</v>
      </c>
      <c r="CQ97" s="5">
        <v>5761.3</v>
      </c>
      <c r="CR97" s="5">
        <v>6248</v>
      </c>
      <c r="CS97" s="5">
        <v>6269.5</v>
      </c>
      <c r="CT97" s="5">
        <v>6731.1</v>
      </c>
    </row>
    <row r="98" spans="1:98">
      <c r="A98" s="2" t="s">
        <v>194</v>
      </c>
      <c r="B98" s="3">
        <v>100</v>
      </c>
      <c r="C98" s="3">
        <v>100.7</v>
      </c>
      <c r="D98" s="3">
        <v>101</v>
      </c>
      <c r="E98" s="3">
        <v>101.2</v>
      </c>
      <c r="F98" s="3">
        <v>110.5</v>
      </c>
      <c r="G98" s="3">
        <v>112</v>
      </c>
      <c r="H98" s="3">
        <v>112.3</v>
      </c>
      <c r="I98" s="3">
        <v>125.4</v>
      </c>
      <c r="J98" s="3">
        <v>125.4</v>
      </c>
      <c r="K98" s="3">
        <v>127.6</v>
      </c>
      <c r="L98" s="3">
        <v>127.7</v>
      </c>
      <c r="M98" s="3">
        <v>131.1</v>
      </c>
      <c r="N98" s="3">
        <v>131.19999999999999</v>
      </c>
      <c r="O98" s="3">
        <v>139.5</v>
      </c>
      <c r="P98" s="3">
        <v>139.5</v>
      </c>
      <c r="Q98" s="3">
        <v>141.30000000000001</v>
      </c>
      <c r="R98" s="3">
        <v>141.30000000000001</v>
      </c>
      <c r="S98" s="3">
        <v>149.80000000000001</v>
      </c>
      <c r="T98" s="3">
        <v>150.1</v>
      </c>
      <c r="U98" s="3">
        <v>150.4</v>
      </c>
      <c r="V98" s="3">
        <v>165.5</v>
      </c>
      <c r="W98" s="3">
        <v>180.1</v>
      </c>
      <c r="X98" s="3">
        <v>180.3</v>
      </c>
      <c r="Y98" s="3">
        <v>180.6</v>
      </c>
      <c r="Z98" s="3">
        <v>187.4</v>
      </c>
      <c r="AA98" s="3">
        <v>188.6</v>
      </c>
      <c r="AB98" s="3">
        <v>188.8</v>
      </c>
      <c r="AC98" s="3">
        <v>189.3</v>
      </c>
      <c r="AD98" s="3">
        <v>189.6</v>
      </c>
      <c r="AE98" s="3">
        <v>214.9</v>
      </c>
      <c r="AF98" s="3">
        <v>215</v>
      </c>
      <c r="AG98" s="3">
        <v>215.2</v>
      </c>
      <c r="AH98" s="3">
        <v>219.5</v>
      </c>
      <c r="AI98" s="3">
        <v>238.1</v>
      </c>
      <c r="AJ98" s="3">
        <v>238.6</v>
      </c>
      <c r="AK98" s="3">
        <v>239.1</v>
      </c>
      <c r="AL98" s="3">
        <v>275.60000000000002</v>
      </c>
      <c r="AM98" s="3">
        <v>330.8</v>
      </c>
      <c r="AN98" s="3">
        <v>391.8</v>
      </c>
      <c r="AO98" s="3">
        <v>396.3</v>
      </c>
      <c r="AP98" s="3">
        <v>409.8</v>
      </c>
      <c r="AQ98" s="3">
        <v>451.2</v>
      </c>
      <c r="AR98" s="3">
        <v>451.9</v>
      </c>
      <c r="AS98" s="3">
        <v>453.2</v>
      </c>
      <c r="AT98" s="3">
        <v>454.1</v>
      </c>
      <c r="AU98" s="3">
        <v>521.70000000000005</v>
      </c>
      <c r="AV98" s="3">
        <v>522.5</v>
      </c>
      <c r="AW98" s="3">
        <v>502.3</v>
      </c>
      <c r="AX98" s="3">
        <v>502.7</v>
      </c>
      <c r="AY98" s="3">
        <v>522.4</v>
      </c>
      <c r="AZ98" s="3">
        <v>522.9</v>
      </c>
      <c r="BA98" s="3">
        <v>525.70000000000005</v>
      </c>
      <c r="BB98" s="3">
        <v>526</v>
      </c>
      <c r="BC98" s="3">
        <v>553.29999999999995</v>
      </c>
      <c r="BD98" s="3">
        <v>553.9</v>
      </c>
      <c r="BE98" s="3">
        <v>556.70000000000005</v>
      </c>
      <c r="BF98" s="3">
        <v>557</v>
      </c>
      <c r="BG98" s="3">
        <v>586.20000000000005</v>
      </c>
      <c r="BH98" s="3">
        <v>612.20000000000005</v>
      </c>
      <c r="BI98" s="3">
        <v>643.20000000000005</v>
      </c>
      <c r="BJ98" s="3">
        <v>684.1</v>
      </c>
      <c r="BK98" s="3">
        <v>886.3</v>
      </c>
      <c r="BL98" s="3">
        <v>1201.4000000000001</v>
      </c>
      <c r="BM98" s="3">
        <v>965.4</v>
      </c>
      <c r="BN98" s="3">
        <v>1329.5</v>
      </c>
      <c r="BO98" s="3">
        <v>1042.5</v>
      </c>
      <c r="BP98" s="3">
        <v>1118.5</v>
      </c>
      <c r="BQ98" s="3">
        <v>1444</v>
      </c>
      <c r="BR98" s="3">
        <v>1548.5</v>
      </c>
      <c r="BS98" s="3">
        <v>1552.9</v>
      </c>
      <c r="BT98" s="3">
        <v>1593.4</v>
      </c>
      <c r="BU98" s="3">
        <v>1781.4</v>
      </c>
      <c r="BV98" s="3">
        <v>2452.1</v>
      </c>
      <c r="BW98" s="3">
        <v>2056.3000000000002</v>
      </c>
      <c r="BX98" s="3">
        <v>2513.3000000000002</v>
      </c>
      <c r="BY98" s="3">
        <v>2159.4</v>
      </c>
      <c r="BZ98" s="3">
        <v>2524.9</v>
      </c>
      <c r="CA98" s="3">
        <v>2866.3</v>
      </c>
      <c r="CB98" s="3">
        <v>2976.8</v>
      </c>
      <c r="CC98" s="3">
        <v>3143.7</v>
      </c>
      <c r="CD98" s="3">
        <v>3219.6</v>
      </c>
      <c r="CE98" s="3">
        <v>3492.2</v>
      </c>
      <c r="CF98" s="3">
        <v>3718.3</v>
      </c>
      <c r="CG98" s="3">
        <v>4055.4</v>
      </c>
      <c r="CH98" s="3">
        <v>4371.3</v>
      </c>
      <c r="CI98" s="3">
        <v>4580</v>
      </c>
      <c r="CJ98" s="3">
        <v>4967.2</v>
      </c>
      <c r="CK98" s="3">
        <v>5684.4</v>
      </c>
      <c r="CL98" s="3">
        <v>5705</v>
      </c>
      <c r="CM98" s="3">
        <v>5588.5</v>
      </c>
      <c r="CN98" s="3">
        <v>5599.9</v>
      </c>
      <c r="CO98" s="3">
        <v>6323.5</v>
      </c>
      <c r="CP98" s="3">
        <v>6351</v>
      </c>
      <c r="CQ98" s="3">
        <v>6765.4</v>
      </c>
      <c r="CR98" s="3">
        <v>7504.5</v>
      </c>
      <c r="CS98" s="3">
        <v>7515.2</v>
      </c>
      <c r="CT98" s="3">
        <v>8291.2000000000007</v>
      </c>
    </row>
    <row r="99" spans="1:98">
      <c r="A99" s="4" t="s">
        <v>195</v>
      </c>
      <c r="B99" s="5">
        <v>100</v>
      </c>
      <c r="C99" s="5">
        <v>102.8</v>
      </c>
      <c r="D99" s="5">
        <v>104.2</v>
      </c>
      <c r="E99" s="5">
        <v>104.9</v>
      </c>
      <c r="F99" s="5">
        <v>105.6</v>
      </c>
      <c r="G99" s="5">
        <v>132</v>
      </c>
      <c r="H99" s="5">
        <v>132.19999999999999</v>
      </c>
      <c r="I99" s="5">
        <v>150.1</v>
      </c>
      <c r="J99" s="5">
        <v>150.1</v>
      </c>
      <c r="K99" s="5">
        <v>156.19999999999999</v>
      </c>
      <c r="L99" s="5">
        <v>156.69999999999999</v>
      </c>
      <c r="M99" s="5">
        <v>185.9</v>
      </c>
      <c r="N99" s="5">
        <v>186.1</v>
      </c>
      <c r="O99" s="5">
        <v>253.4</v>
      </c>
      <c r="P99" s="5">
        <v>253.4</v>
      </c>
      <c r="Q99" s="5">
        <v>235.3</v>
      </c>
      <c r="R99" s="5">
        <v>235.4</v>
      </c>
      <c r="S99" s="5">
        <v>288.5</v>
      </c>
      <c r="T99" s="5">
        <v>289.39999999999998</v>
      </c>
      <c r="U99" s="5">
        <v>290.8</v>
      </c>
      <c r="V99" s="5">
        <v>292</v>
      </c>
      <c r="W99" s="5">
        <v>300.10000000000002</v>
      </c>
      <c r="X99" s="5">
        <v>300.8</v>
      </c>
      <c r="Y99" s="5">
        <v>178.4</v>
      </c>
      <c r="Z99" s="5">
        <v>209.3</v>
      </c>
      <c r="AA99" s="5">
        <v>225</v>
      </c>
      <c r="AB99" s="5">
        <v>248.5</v>
      </c>
      <c r="AC99" s="5">
        <v>260.60000000000002</v>
      </c>
      <c r="AD99" s="5">
        <v>282.2</v>
      </c>
      <c r="AE99" s="5">
        <v>303.2</v>
      </c>
      <c r="AF99" s="5">
        <v>304.10000000000002</v>
      </c>
      <c r="AG99" s="5">
        <v>328.2</v>
      </c>
      <c r="AH99" s="5">
        <v>352.6</v>
      </c>
      <c r="AI99" s="5">
        <v>362.8</v>
      </c>
      <c r="AJ99" s="5">
        <v>363.9</v>
      </c>
      <c r="AK99" s="5">
        <v>366</v>
      </c>
      <c r="AL99" s="5">
        <v>422.4</v>
      </c>
      <c r="AM99" s="5">
        <v>493.6</v>
      </c>
      <c r="AN99" s="5">
        <v>653.70000000000005</v>
      </c>
      <c r="AO99" s="5">
        <v>900.4</v>
      </c>
      <c r="AP99" s="5">
        <v>803.8</v>
      </c>
      <c r="AQ99" s="5">
        <v>888.2</v>
      </c>
      <c r="AR99" s="5">
        <v>850.3</v>
      </c>
      <c r="AS99" s="5">
        <v>767.5</v>
      </c>
      <c r="AT99" s="5">
        <v>773.2</v>
      </c>
      <c r="AU99" s="5">
        <v>868.4</v>
      </c>
      <c r="AV99" s="5">
        <v>921.6</v>
      </c>
      <c r="AW99" s="5">
        <v>832.6</v>
      </c>
      <c r="AX99" s="5">
        <v>836.1</v>
      </c>
      <c r="AY99" s="5">
        <v>776</v>
      </c>
      <c r="AZ99" s="5">
        <v>778.2</v>
      </c>
      <c r="BA99" s="5">
        <v>771.2</v>
      </c>
      <c r="BB99" s="5">
        <v>773.3</v>
      </c>
      <c r="BC99" s="5">
        <v>776.9</v>
      </c>
      <c r="BD99" s="5">
        <v>779.4</v>
      </c>
      <c r="BE99" s="5">
        <v>866.1</v>
      </c>
      <c r="BF99" s="5">
        <v>906.2</v>
      </c>
      <c r="BG99" s="5">
        <v>998.9</v>
      </c>
      <c r="BH99" s="5">
        <v>1050</v>
      </c>
      <c r="BI99" s="5">
        <v>1091.5999999999999</v>
      </c>
      <c r="BJ99" s="5">
        <v>1169.3</v>
      </c>
      <c r="BK99" s="5">
        <v>1388.9</v>
      </c>
      <c r="BL99" s="5">
        <v>1806</v>
      </c>
      <c r="BM99" s="5">
        <v>1424.9</v>
      </c>
      <c r="BN99" s="5">
        <v>1633.4</v>
      </c>
      <c r="BO99" s="5">
        <v>1656.3</v>
      </c>
      <c r="BP99" s="5">
        <v>1882.5</v>
      </c>
      <c r="BQ99" s="5">
        <v>2102.1999999999998</v>
      </c>
      <c r="BR99" s="5">
        <v>2084.1999999999998</v>
      </c>
      <c r="BS99" s="5">
        <v>2066.3000000000002</v>
      </c>
      <c r="BT99" s="5">
        <v>2142.6</v>
      </c>
      <c r="BU99" s="5">
        <v>2417.8000000000002</v>
      </c>
      <c r="BV99" s="5">
        <v>3991.8</v>
      </c>
      <c r="BW99" s="5">
        <v>2997</v>
      </c>
      <c r="BX99" s="5">
        <v>4526.2</v>
      </c>
      <c r="BY99" s="5">
        <v>3231.6</v>
      </c>
      <c r="BZ99" s="5">
        <v>3529.2</v>
      </c>
      <c r="CA99" s="5">
        <v>4946.8999999999996</v>
      </c>
      <c r="CB99" s="5">
        <v>4956.8</v>
      </c>
      <c r="CC99" s="5">
        <v>5485.9</v>
      </c>
      <c r="CD99" s="5">
        <v>5714.1</v>
      </c>
      <c r="CE99" s="5">
        <v>6135.1</v>
      </c>
      <c r="CF99" s="5">
        <v>6150.6</v>
      </c>
      <c r="CG99" s="5">
        <v>6752.8</v>
      </c>
      <c r="CH99" s="5">
        <v>7161.1</v>
      </c>
      <c r="CI99" s="5">
        <v>8384</v>
      </c>
      <c r="CJ99" s="5">
        <v>8749.2000000000007</v>
      </c>
      <c r="CK99" s="5">
        <v>9033.4</v>
      </c>
      <c r="CL99" s="5">
        <v>9006.2999999999993</v>
      </c>
      <c r="CM99" s="5">
        <v>9382.7000000000007</v>
      </c>
      <c r="CN99" s="5">
        <v>10038.200000000001</v>
      </c>
      <c r="CO99" s="5">
        <v>11925.1</v>
      </c>
      <c r="CP99" s="5">
        <v>12028.3</v>
      </c>
      <c r="CQ99" s="5">
        <v>12657.6</v>
      </c>
      <c r="CR99" s="5">
        <v>14259.7</v>
      </c>
      <c r="CS99" s="5">
        <v>14282.4</v>
      </c>
      <c r="CT99" s="5">
        <v>15445.1</v>
      </c>
    </row>
    <row r="100" spans="1:98">
      <c r="A100" s="2" t="s">
        <v>196</v>
      </c>
      <c r="B100" s="3">
        <v>100</v>
      </c>
      <c r="C100" s="3">
        <v>100.3</v>
      </c>
      <c r="D100" s="3">
        <v>100.5</v>
      </c>
      <c r="E100" s="3">
        <v>100.5</v>
      </c>
      <c r="F100" s="3">
        <v>100.7</v>
      </c>
      <c r="G100" s="3">
        <v>124.4</v>
      </c>
      <c r="H100" s="3">
        <v>124.6</v>
      </c>
      <c r="I100" s="3">
        <v>142.69999999999999</v>
      </c>
      <c r="J100" s="3">
        <v>142.69999999999999</v>
      </c>
      <c r="K100" s="3">
        <v>145.6</v>
      </c>
      <c r="L100" s="3">
        <v>145.69999999999999</v>
      </c>
      <c r="M100" s="3">
        <v>180.4</v>
      </c>
      <c r="N100" s="3">
        <v>180.4</v>
      </c>
      <c r="O100" s="3">
        <v>279.10000000000002</v>
      </c>
      <c r="P100" s="3">
        <v>279.10000000000002</v>
      </c>
      <c r="Q100" s="3">
        <v>242.1</v>
      </c>
      <c r="R100" s="3">
        <v>242.1</v>
      </c>
      <c r="S100" s="3">
        <v>309.8</v>
      </c>
      <c r="T100" s="3">
        <v>309.89999999999998</v>
      </c>
      <c r="U100" s="3">
        <v>310.2</v>
      </c>
      <c r="V100" s="3">
        <v>314.7</v>
      </c>
      <c r="W100" s="3">
        <v>319.7</v>
      </c>
      <c r="X100" s="3">
        <v>319.8</v>
      </c>
      <c r="Y100" s="3">
        <v>160.19999999999999</v>
      </c>
      <c r="Z100" s="3">
        <v>183.6</v>
      </c>
      <c r="AA100" s="3">
        <v>212.4</v>
      </c>
      <c r="AB100" s="3">
        <v>256.8</v>
      </c>
      <c r="AC100" s="3">
        <v>286.39999999999998</v>
      </c>
      <c r="AD100" s="3">
        <v>310.3</v>
      </c>
      <c r="AE100" s="3">
        <v>340</v>
      </c>
      <c r="AF100" s="3">
        <v>340.1</v>
      </c>
      <c r="AG100" s="3">
        <v>367.6</v>
      </c>
      <c r="AH100" s="3">
        <v>401.7</v>
      </c>
      <c r="AI100" s="3">
        <v>416.7</v>
      </c>
      <c r="AJ100" s="3">
        <v>424.3</v>
      </c>
      <c r="AK100" s="3">
        <v>424.8</v>
      </c>
      <c r="AL100" s="3">
        <v>490.9</v>
      </c>
      <c r="AM100" s="3">
        <v>569</v>
      </c>
      <c r="AN100" s="3">
        <v>704.5</v>
      </c>
      <c r="AO100" s="3">
        <v>897.2</v>
      </c>
      <c r="AP100" s="3">
        <v>866</v>
      </c>
      <c r="AQ100" s="3">
        <v>860</v>
      </c>
      <c r="AR100" s="3">
        <v>791.1</v>
      </c>
      <c r="AS100" s="3">
        <v>756.2</v>
      </c>
      <c r="AT100" s="3">
        <v>775.6</v>
      </c>
      <c r="AU100" s="3">
        <v>798.7</v>
      </c>
      <c r="AV100" s="3">
        <v>865.1</v>
      </c>
      <c r="AW100" s="3">
        <v>868.1</v>
      </c>
      <c r="AX100" s="3">
        <v>868.5</v>
      </c>
      <c r="AY100" s="3">
        <v>880.7</v>
      </c>
      <c r="AZ100" s="3">
        <v>881.1</v>
      </c>
      <c r="BA100" s="3">
        <v>740.9</v>
      </c>
      <c r="BB100" s="3">
        <v>741.2</v>
      </c>
      <c r="BC100" s="3">
        <v>740.4</v>
      </c>
      <c r="BD100" s="3">
        <v>740.9</v>
      </c>
      <c r="BE100" s="3">
        <v>845.5</v>
      </c>
      <c r="BF100" s="3">
        <v>896</v>
      </c>
      <c r="BG100" s="3">
        <v>1009.5</v>
      </c>
      <c r="BH100" s="3">
        <v>1030.8</v>
      </c>
      <c r="BI100" s="3">
        <v>1108.2</v>
      </c>
      <c r="BJ100" s="3">
        <v>1218.3</v>
      </c>
      <c r="BK100" s="3">
        <v>1459.9</v>
      </c>
      <c r="BL100" s="3">
        <v>2313</v>
      </c>
      <c r="BM100" s="3">
        <v>1819</v>
      </c>
      <c r="BN100" s="3">
        <v>2058.6</v>
      </c>
      <c r="BO100" s="3">
        <v>1839.8</v>
      </c>
      <c r="BP100" s="3">
        <v>2206.6999999999998</v>
      </c>
      <c r="BQ100" s="3">
        <v>2568</v>
      </c>
      <c r="BR100" s="3">
        <v>2504.6</v>
      </c>
      <c r="BS100" s="3">
        <v>2480.9</v>
      </c>
      <c r="BT100" s="3">
        <v>2590.8000000000002</v>
      </c>
      <c r="BU100" s="3">
        <v>2853.4</v>
      </c>
      <c r="BV100" s="3">
        <v>6138.6</v>
      </c>
      <c r="BW100" s="3">
        <v>3690.8</v>
      </c>
      <c r="BX100" s="3">
        <v>6841</v>
      </c>
      <c r="BY100" s="3">
        <v>4041.5</v>
      </c>
      <c r="BZ100" s="3">
        <v>4545.5</v>
      </c>
      <c r="CA100" s="3">
        <v>7216</v>
      </c>
      <c r="CB100" s="3">
        <v>7227</v>
      </c>
      <c r="CC100" s="3">
        <v>7898.9</v>
      </c>
      <c r="CD100" s="3">
        <v>8505.4</v>
      </c>
      <c r="CE100" s="3">
        <v>8719.7000000000007</v>
      </c>
      <c r="CF100" s="3">
        <v>8773.4</v>
      </c>
      <c r="CG100" s="3">
        <v>9868.4</v>
      </c>
      <c r="CH100" s="3">
        <v>10109.9</v>
      </c>
      <c r="CI100" s="3">
        <v>12372.6</v>
      </c>
      <c r="CJ100" s="3">
        <v>12481.5</v>
      </c>
      <c r="CK100" s="3">
        <v>12297.7</v>
      </c>
      <c r="CL100" s="3">
        <v>12145.4</v>
      </c>
      <c r="CM100" s="3">
        <v>12811.7</v>
      </c>
      <c r="CN100" s="3">
        <v>13798</v>
      </c>
      <c r="CO100" s="3">
        <v>16391.099999999999</v>
      </c>
      <c r="CP100" s="3">
        <v>16412</v>
      </c>
      <c r="CQ100" s="3">
        <v>17094.599999999999</v>
      </c>
      <c r="CR100" s="3">
        <v>19595</v>
      </c>
      <c r="CS100" s="3">
        <v>19652.599999999999</v>
      </c>
      <c r="CT100" s="3">
        <v>21302.400000000001</v>
      </c>
    </row>
    <row r="101" spans="1:98">
      <c r="A101" s="4" t="s">
        <v>197</v>
      </c>
      <c r="B101" s="5">
        <v>100</v>
      </c>
      <c r="C101" s="5">
        <v>106.2</v>
      </c>
      <c r="D101" s="5">
        <v>109.4</v>
      </c>
      <c r="E101" s="5">
        <v>110.9</v>
      </c>
      <c r="F101" s="5">
        <v>115.2</v>
      </c>
      <c r="G101" s="5">
        <v>130.4</v>
      </c>
      <c r="H101" s="5">
        <v>132.19999999999999</v>
      </c>
      <c r="I101" s="5">
        <v>135</v>
      </c>
      <c r="J101" s="5">
        <v>135</v>
      </c>
      <c r="K101" s="5">
        <v>143.1</v>
      </c>
      <c r="L101" s="5">
        <v>144.1</v>
      </c>
      <c r="M101" s="5">
        <v>160.80000000000001</v>
      </c>
      <c r="N101" s="5">
        <v>161.30000000000001</v>
      </c>
      <c r="O101" s="5">
        <v>197</v>
      </c>
      <c r="P101" s="5">
        <v>198.2</v>
      </c>
      <c r="Q101" s="5">
        <v>192.1</v>
      </c>
      <c r="R101" s="5">
        <v>192.4</v>
      </c>
      <c r="S101" s="5">
        <v>210.4</v>
      </c>
      <c r="T101" s="5">
        <v>212.4</v>
      </c>
      <c r="U101" s="5">
        <v>215.5</v>
      </c>
      <c r="V101" s="5">
        <v>230.7</v>
      </c>
      <c r="W101" s="5">
        <v>254.3</v>
      </c>
      <c r="X101" s="5">
        <v>255.9</v>
      </c>
      <c r="Y101" s="5">
        <v>251.8</v>
      </c>
      <c r="Z101" s="5">
        <v>252.8</v>
      </c>
      <c r="AA101" s="5">
        <v>271.10000000000002</v>
      </c>
      <c r="AB101" s="5">
        <v>286</v>
      </c>
      <c r="AC101" s="5">
        <v>296.7</v>
      </c>
      <c r="AD101" s="5">
        <v>306.60000000000002</v>
      </c>
      <c r="AE101" s="5">
        <v>331.4</v>
      </c>
      <c r="AF101" s="5">
        <v>333.7</v>
      </c>
      <c r="AG101" s="5">
        <v>346</v>
      </c>
      <c r="AH101" s="5">
        <v>365</v>
      </c>
      <c r="AI101" s="5">
        <v>386.2</v>
      </c>
      <c r="AJ101" s="5">
        <v>389.2</v>
      </c>
      <c r="AK101" s="5">
        <v>394.3</v>
      </c>
      <c r="AL101" s="5">
        <v>426.9</v>
      </c>
      <c r="AM101" s="5">
        <v>474.7</v>
      </c>
      <c r="AN101" s="5">
        <v>510.1</v>
      </c>
      <c r="AO101" s="5">
        <v>587</v>
      </c>
      <c r="AP101" s="5">
        <v>593.4</v>
      </c>
      <c r="AQ101" s="5">
        <v>651.1</v>
      </c>
      <c r="AR101" s="5">
        <v>658.5</v>
      </c>
      <c r="AS101" s="5">
        <v>635.29999999999995</v>
      </c>
      <c r="AT101" s="5">
        <v>649.4</v>
      </c>
      <c r="AU101" s="5">
        <v>735.9</v>
      </c>
      <c r="AV101" s="5">
        <v>745.1</v>
      </c>
      <c r="AW101" s="5">
        <v>754.6</v>
      </c>
      <c r="AX101" s="5">
        <v>762.8</v>
      </c>
      <c r="AY101" s="5">
        <v>820.1</v>
      </c>
      <c r="AZ101" s="5">
        <v>826</v>
      </c>
      <c r="BA101" s="5">
        <v>832.3</v>
      </c>
      <c r="BB101" s="5">
        <v>837.5</v>
      </c>
      <c r="BC101" s="5">
        <v>862.4</v>
      </c>
      <c r="BD101" s="5">
        <v>868.9</v>
      </c>
      <c r="BE101" s="5">
        <v>914.8</v>
      </c>
      <c r="BF101" s="5">
        <v>920.7</v>
      </c>
      <c r="BG101" s="5">
        <v>1034.2</v>
      </c>
      <c r="BH101" s="5">
        <v>1042.0999999999999</v>
      </c>
      <c r="BI101" s="5">
        <v>1041.8</v>
      </c>
      <c r="BJ101" s="5">
        <v>1055.5999999999999</v>
      </c>
      <c r="BK101" s="5">
        <v>1202.8</v>
      </c>
      <c r="BL101" s="5">
        <v>1409.7</v>
      </c>
      <c r="BM101" s="5">
        <v>1286.3</v>
      </c>
      <c r="BN101" s="5">
        <v>1428.3</v>
      </c>
      <c r="BO101" s="5">
        <v>1347.1</v>
      </c>
      <c r="BP101" s="5">
        <v>1438.2</v>
      </c>
      <c r="BQ101" s="5">
        <v>1817.6</v>
      </c>
      <c r="BR101" s="5">
        <v>1865.2</v>
      </c>
      <c r="BS101" s="5">
        <v>1812.1</v>
      </c>
      <c r="BT101" s="5">
        <v>1876.5</v>
      </c>
      <c r="BU101" s="5">
        <v>2268.6999999999998</v>
      </c>
      <c r="BV101" s="5">
        <v>3255.2</v>
      </c>
      <c r="BW101" s="5">
        <v>2525.6999999999998</v>
      </c>
      <c r="BX101" s="5">
        <v>3385.8</v>
      </c>
      <c r="BY101" s="5">
        <v>2613.4</v>
      </c>
      <c r="BZ101" s="5">
        <v>2690</v>
      </c>
      <c r="CA101" s="5">
        <v>4025.1</v>
      </c>
      <c r="CB101" s="5">
        <v>4155.6000000000004</v>
      </c>
      <c r="CC101" s="5">
        <v>4413.8999999999996</v>
      </c>
      <c r="CD101" s="5">
        <v>4485.1000000000004</v>
      </c>
      <c r="CE101" s="5">
        <v>5416.2</v>
      </c>
      <c r="CF101" s="5">
        <v>5489.7</v>
      </c>
      <c r="CG101" s="5">
        <v>5784.8</v>
      </c>
      <c r="CH101" s="5">
        <v>6110.5</v>
      </c>
      <c r="CI101" s="5">
        <v>6249</v>
      </c>
      <c r="CJ101" s="5">
        <v>6441.7</v>
      </c>
      <c r="CK101" s="5">
        <v>7276.3</v>
      </c>
      <c r="CL101" s="5">
        <v>7396</v>
      </c>
      <c r="CM101" s="5">
        <v>8010.9</v>
      </c>
      <c r="CN101" s="5">
        <v>8347.6</v>
      </c>
      <c r="CO101" s="5">
        <v>10636.8</v>
      </c>
      <c r="CP101" s="5">
        <v>10716</v>
      </c>
      <c r="CQ101" s="5">
        <v>10824.8</v>
      </c>
      <c r="CR101" s="5">
        <v>11571.9</v>
      </c>
      <c r="CS101" s="5">
        <v>11766.4</v>
      </c>
      <c r="CT101" s="5">
        <v>12292.7</v>
      </c>
    </row>
    <row r="102" spans="1:98">
      <c r="A102" s="2" t="s">
        <v>198</v>
      </c>
      <c r="B102" s="3">
        <v>100</v>
      </c>
      <c r="C102" s="3">
        <v>100.4</v>
      </c>
      <c r="D102" s="3">
        <v>100.7</v>
      </c>
      <c r="E102" s="3">
        <v>100.8</v>
      </c>
      <c r="F102" s="3">
        <v>100.9</v>
      </c>
      <c r="G102" s="3">
        <v>101.7</v>
      </c>
      <c r="H102" s="3">
        <v>101.9</v>
      </c>
      <c r="I102" s="3">
        <v>129.30000000000001</v>
      </c>
      <c r="J102" s="3">
        <v>129.30000000000001</v>
      </c>
      <c r="K102" s="3">
        <v>132.30000000000001</v>
      </c>
      <c r="L102" s="3">
        <v>132.4</v>
      </c>
      <c r="M102" s="3">
        <v>151.30000000000001</v>
      </c>
      <c r="N102" s="3">
        <v>151.30000000000001</v>
      </c>
      <c r="O102" s="3">
        <v>191.9</v>
      </c>
      <c r="P102" s="3">
        <v>191.9</v>
      </c>
      <c r="Q102" s="3">
        <v>173.5</v>
      </c>
      <c r="R102" s="3">
        <v>173.5</v>
      </c>
      <c r="S102" s="3">
        <v>192.5</v>
      </c>
      <c r="T102" s="3">
        <v>192.6</v>
      </c>
      <c r="U102" s="3">
        <v>192.9</v>
      </c>
      <c r="V102" s="3">
        <v>204.5</v>
      </c>
      <c r="W102" s="3">
        <v>215.7</v>
      </c>
      <c r="X102" s="3">
        <v>215.8</v>
      </c>
      <c r="Y102" s="3">
        <v>137.5</v>
      </c>
      <c r="Z102" s="3">
        <v>148.1</v>
      </c>
      <c r="AA102" s="3">
        <v>164.1</v>
      </c>
      <c r="AB102" s="3">
        <v>192.8</v>
      </c>
      <c r="AC102" s="3">
        <v>214.5</v>
      </c>
      <c r="AD102" s="3">
        <v>231.3</v>
      </c>
      <c r="AE102" s="3">
        <v>233.4</v>
      </c>
      <c r="AF102" s="3">
        <v>233.7</v>
      </c>
      <c r="AG102" s="3">
        <v>256.10000000000002</v>
      </c>
      <c r="AH102" s="3">
        <v>272.3</v>
      </c>
      <c r="AI102" s="3">
        <v>278</v>
      </c>
      <c r="AJ102" s="3">
        <v>283.3</v>
      </c>
      <c r="AK102" s="3">
        <v>284</v>
      </c>
      <c r="AL102" s="3">
        <v>329.2</v>
      </c>
      <c r="AM102" s="3">
        <v>376.9</v>
      </c>
      <c r="AN102" s="3">
        <v>450.7</v>
      </c>
      <c r="AO102" s="3">
        <v>583.9</v>
      </c>
      <c r="AP102" s="3">
        <v>574.1</v>
      </c>
      <c r="AQ102" s="3">
        <v>563.9</v>
      </c>
      <c r="AR102" s="3">
        <v>527.6</v>
      </c>
      <c r="AS102" s="3">
        <v>570.20000000000005</v>
      </c>
      <c r="AT102" s="3">
        <v>571.79999999999995</v>
      </c>
      <c r="AU102" s="3">
        <v>585.20000000000005</v>
      </c>
      <c r="AV102" s="3">
        <v>586.29999999999995</v>
      </c>
      <c r="AW102" s="3">
        <v>634</v>
      </c>
      <c r="AX102" s="3">
        <v>635</v>
      </c>
      <c r="AY102" s="3">
        <v>641.79999999999995</v>
      </c>
      <c r="AZ102" s="3">
        <v>642.4</v>
      </c>
      <c r="BA102" s="3">
        <v>556.1</v>
      </c>
      <c r="BB102" s="3">
        <v>556.70000000000005</v>
      </c>
      <c r="BC102" s="3">
        <v>544.4</v>
      </c>
      <c r="BD102" s="3">
        <v>545.20000000000005</v>
      </c>
      <c r="BE102" s="3">
        <v>622.1</v>
      </c>
      <c r="BF102" s="3">
        <v>657.4</v>
      </c>
      <c r="BG102" s="3">
        <v>699</v>
      </c>
      <c r="BH102" s="3">
        <v>734.3</v>
      </c>
      <c r="BI102" s="3">
        <v>809.8</v>
      </c>
      <c r="BJ102" s="3">
        <v>879</v>
      </c>
      <c r="BK102" s="3">
        <v>1187.2</v>
      </c>
      <c r="BL102" s="3">
        <v>1498.6</v>
      </c>
      <c r="BM102" s="3">
        <v>1232.2</v>
      </c>
      <c r="BN102" s="3">
        <v>1338.7</v>
      </c>
      <c r="BO102" s="3">
        <v>1349.7</v>
      </c>
      <c r="BP102" s="3">
        <v>1582.5</v>
      </c>
      <c r="BQ102" s="3">
        <v>1614.9</v>
      </c>
      <c r="BR102" s="3">
        <v>1569.3</v>
      </c>
      <c r="BS102" s="3">
        <v>1597.6</v>
      </c>
      <c r="BT102" s="3">
        <v>1734.5</v>
      </c>
      <c r="BU102" s="3">
        <v>1868.3</v>
      </c>
      <c r="BV102" s="3">
        <v>3573.9</v>
      </c>
      <c r="BW102" s="3">
        <v>2425.6</v>
      </c>
      <c r="BX102" s="3">
        <v>3872.4</v>
      </c>
      <c r="BY102" s="3">
        <v>2708.1</v>
      </c>
      <c r="BZ102" s="3">
        <v>2923.7</v>
      </c>
      <c r="CA102" s="3">
        <v>4160.1000000000004</v>
      </c>
      <c r="CB102" s="3">
        <v>4363.2</v>
      </c>
      <c r="CC102" s="3">
        <v>4724.5</v>
      </c>
      <c r="CD102" s="3">
        <v>4835.6000000000004</v>
      </c>
      <c r="CE102" s="3">
        <v>5165.3</v>
      </c>
      <c r="CF102" s="3">
        <v>5031.3</v>
      </c>
      <c r="CG102" s="3">
        <v>5541.6</v>
      </c>
      <c r="CH102" s="3">
        <v>6424.4</v>
      </c>
      <c r="CI102" s="3">
        <v>7597.9</v>
      </c>
      <c r="CJ102" s="3">
        <v>8049.3</v>
      </c>
      <c r="CK102" s="3">
        <v>8083.7</v>
      </c>
      <c r="CL102" s="3">
        <v>8104.6</v>
      </c>
      <c r="CM102" s="3">
        <v>8881.1</v>
      </c>
      <c r="CN102" s="3">
        <v>9580</v>
      </c>
      <c r="CO102" s="3">
        <v>11826.9</v>
      </c>
      <c r="CP102" s="3">
        <v>12049.2</v>
      </c>
      <c r="CQ102" s="3">
        <v>12043.6</v>
      </c>
      <c r="CR102" s="3">
        <v>13645</v>
      </c>
      <c r="CS102" s="3">
        <v>14279</v>
      </c>
      <c r="CT102" s="3">
        <v>15181.1</v>
      </c>
    </row>
    <row r="103" spans="1:98" ht="25.5">
      <c r="A103" s="4" t="s">
        <v>199</v>
      </c>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v>1000</v>
      </c>
      <c r="BO103" s="5"/>
      <c r="BP103" s="5"/>
      <c r="BQ103" s="5">
        <v>1206</v>
      </c>
      <c r="BR103" s="5">
        <v>1268</v>
      </c>
      <c r="BS103" s="5">
        <v>1306</v>
      </c>
      <c r="BT103" s="5">
        <v>1353</v>
      </c>
      <c r="BU103" s="5">
        <v>1643</v>
      </c>
      <c r="BV103" s="5">
        <v>2267.6</v>
      </c>
      <c r="BW103" s="5">
        <v>1840</v>
      </c>
      <c r="BX103" s="5">
        <v>2382.6</v>
      </c>
      <c r="BY103" s="5">
        <v>1879</v>
      </c>
      <c r="BZ103" s="5">
        <v>1962</v>
      </c>
      <c r="CA103" s="5">
        <v>3111.7</v>
      </c>
      <c r="CB103" s="5">
        <v>3299.9</v>
      </c>
      <c r="CC103" s="5">
        <v>3323.7</v>
      </c>
      <c r="CD103" s="5">
        <v>3385.7</v>
      </c>
      <c r="CE103" s="5">
        <v>4283</v>
      </c>
      <c r="CF103" s="5">
        <v>4384.5</v>
      </c>
      <c r="CG103" s="5">
        <v>4676</v>
      </c>
      <c r="CH103" s="5">
        <v>4866.6000000000004</v>
      </c>
      <c r="CI103" s="5">
        <v>4866.6000000000004</v>
      </c>
      <c r="CJ103" s="5">
        <v>4866.6000000000004</v>
      </c>
      <c r="CK103" s="5">
        <v>5921.9</v>
      </c>
      <c r="CL103" s="5">
        <v>6172.3</v>
      </c>
      <c r="CM103" s="5">
        <v>6281.4</v>
      </c>
      <c r="CN103" s="5">
        <v>6469.6</v>
      </c>
      <c r="CO103" s="5">
        <v>7900.1</v>
      </c>
      <c r="CP103" s="5">
        <v>8265.6</v>
      </c>
      <c r="CQ103" s="5">
        <v>8269.6</v>
      </c>
      <c r="CR103" s="5">
        <v>8753.2000000000007</v>
      </c>
      <c r="CS103" s="5">
        <v>8851.2000000000007</v>
      </c>
      <c r="CT103" s="5">
        <v>8968.7999999999993</v>
      </c>
    </row>
    <row r="104" spans="1:98" ht="25.5">
      <c r="A104" s="2" t="s">
        <v>200</v>
      </c>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v>1000</v>
      </c>
      <c r="BO104" s="3"/>
      <c r="BP104" s="3"/>
      <c r="BQ104" s="3">
        <v>1189</v>
      </c>
      <c r="BR104" s="3">
        <v>1255</v>
      </c>
      <c r="BS104" s="3">
        <v>1291</v>
      </c>
      <c r="BT104" s="3">
        <v>1345</v>
      </c>
      <c r="BU104" s="3">
        <v>1610</v>
      </c>
      <c r="BV104" s="3">
        <v>2282.5</v>
      </c>
      <c r="BW104" s="3">
        <v>1848</v>
      </c>
      <c r="BX104" s="3">
        <v>2403.5</v>
      </c>
      <c r="BY104" s="3">
        <v>1922</v>
      </c>
      <c r="BZ104" s="3">
        <v>2062</v>
      </c>
      <c r="CA104" s="3">
        <v>3124.5</v>
      </c>
      <c r="CB104" s="3">
        <v>3352.9</v>
      </c>
      <c r="CC104" s="3">
        <v>3393.7</v>
      </c>
      <c r="CD104" s="3">
        <v>3489.9</v>
      </c>
      <c r="CE104" s="3">
        <v>4344.8999999999996</v>
      </c>
      <c r="CF104" s="3">
        <v>4484.5</v>
      </c>
      <c r="CG104" s="3">
        <v>4819.8999999999996</v>
      </c>
      <c r="CH104" s="3">
        <v>5016.3999999999996</v>
      </c>
      <c r="CI104" s="3">
        <v>5016.3999999999996</v>
      </c>
      <c r="CJ104" s="3">
        <v>5016.3999999999996</v>
      </c>
      <c r="CK104" s="3">
        <v>6091.4</v>
      </c>
      <c r="CL104" s="3">
        <v>6336.4</v>
      </c>
      <c r="CM104" s="3">
        <v>6449</v>
      </c>
      <c r="CN104" s="3">
        <v>6637.5</v>
      </c>
      <c r="CO104" s="3">
        <v>8122.5</v>
      </c>
      <c r="CP104" s="3">
        <v>8496</v>
      </c>
      <c r="CQ104" s="3">
        <v>8496</v>
      </c>
      <c r="CR104" s="3">
        <v>8992.5</v>
      </c>
      <c r="CS104" s="3">
        <v>9100.2999999999993</v>
      </c>
      <c r="CT104" s="3">
        <v>9228.7999999999993</v>
      </c>
    </row>
    <row r="105" spans="1:98" ht="25.5">
      <c r="A105" s="4" t="s">
        <v>201</v>
      </c>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v>1000</v>
      </c>
      <c r="BO105" s="5"/>
      <c r="BP105" s="5"/>
      <c r="BQ105" s="5">
        <v>1234</v>
      </c>
      <c r="BR105" s="5">
        <v>1290</v>
      </c>
      <c r="BS105" s="5">
        <v>1329</v>
      </c>
      <c r="BT105" s="5">
        <v>1369</v>
      </c>
      <c r="BU105" s="5">
        <v>1632</v>
      </c>
      <c r="BV105" s="5">
        <v>2521.6999999999998</v>
      </c>
      <c r="BW105" s="5">
        <v>1848</v>
      </c>
      <c r="BX105" s="5">
        <v>2660</v>
      </c>
      <c r="BY105" s="5">
        <v>1895</v>
      </c>
      <c r="BZ105" s="5">
        <v>1999</v>
      </c>
      <c r="CA105" s="5">
        <v>3157.4</v>
      </c>
      <c r="CB105" s="5">
        <v>3388.8</v>
      </c>
      <c r="CC105" s="5">
        <v>3734.6</v>
      </c>
      <c r="CD105" s="5">
        <v>3825.1</v>
      </c>
      <c r="CE105" s="5">
        <v>4463.8999999999996</v>
      </c>
      <c r="CF105" s="5">
        <v>4601.6000000000004</v>
      </c>
      <c r="CG105" s="5">
        <v>5282.8</v>
      </c>
      <c r="CH105" s="5">
        <v>5498.2</v>
      </c>
      <c r="CI105" s="5">
        <v>5498.2</v>
      </c>
      <c r="CJ105" s="5">
        <v>5498.2</v>
      </c>
      <c r="CK105" s="5">
        <v>6682.3</v>
      </c>
      <c r="CL105" s="5">
        <v>6966.2</v>
      </c>
      <c r="CM105" s="5">
        <v>7113.2</v>
      </c>
      <c r="CN105" s="5">
        <v>7317.7</v>
      </c>
      <c r="CO105" s="5">
        <v>8930.2999999999993</v>
      </c>
      <c r="CP105" s="5">
        <v>9337.4</v>
      </c>
      <c r="CQ105" s="5">
        <v>9355.5</v>
      </c>
      <c r="CR105" s="5">
        <v>9883.4</v>
      </c>
      <c r="CS105" s="5">
        <v>9994.7999999999993</v>
      </c>
      <c r="CT105" s="5">
        <v>10123.6</v>
      </c>
    </row>
    <row r="106" spans="1:98" ht="25.5">
      <c r="A106" s="2" t="s">
        <v>202</v>
      </c>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v>1000</v>
      </c>
      <c r="BO106" s="3"/>
      <c r="BP106" s="3"/>
      <c r="BQ106" s="3">
        <v>1211</v>
      </c>
      <c r="BR106" s="3">
        <v>1265</v>
      </c>
      <c r="BS106" s="3">
        <v>1284</v>
      </c>
      <c r="BT106" s="3">
        <v>1313</v>
      </c>
      <c r="BU106" s="3">
        <v>1584</v>
      </c>
      <c r="BV106" s="3">
        <v>2010.2</v>
      </c>
      <c r="BW106" s="3">
        <v>1731</v>
      </c>
      <c r="BX106" s="3">
        <v>2113.9</v>
      </c>
      <c r="BY106" s="3">
        <v>1748</v>
      </c>
      <c r="BZ106" s="3">
        <v>1780</v>
      </c>
      <c r="CA106" s="3">
        <v>2758.6</v>
      </c>
      <c r="CB106" s="3">
        <v>2904.5</v>
      </c>
      <c r="CC106" s="3">
        <v>2913</v>
      </c>
      <c r="CD106" s="3">
        <v>2932</v>
      </c>
      <c r="CE106" s="3">
        <v>3855.6</v>
      </c>
      <c r="CF106" s="3">
        <v>3940.6</v>
      </c>
      <c r="CG106" s="3">
        <v>4049.4</v>
      </c>
      <c r="CH106" s="3">
        <v>4214.5</v>
      </c>
      <c r="CI106" s="3">
        <v>4214.5</v>
      </c>
      <c r="CJ106" s="3">
        <v>4214.5</v>
      </c>
      <c r="CK106" s="3">
        <v>5228.6000000000004</v>
      </c>
      <c r="CL106" s="3">
        <v>5406.4</v>
      </c>
      <c r="CM106" s="3">
        <v>5568.5</v>
      </c>
      <c r="CN106" s="3">
        <v>5716.2</v>
      </c>
      <c r="CO106" s="3">
        <v>7127.6</v>
      </c>
      <c r="CP106" s="3">
        <v>7422.9</v>
      </c>
      <c r="CQ106" s="3">
        <v>7423.3</v>
      </c>
      <c r="CR106" s="3">
        <v>7690.3</v>
      </c>
      <c r="CS106" s="3">
        <v>7746.2</v>
      </c>
      <c r="CT106" s="3">
        <v>7817.4</v>
      </c>
    </row>
    <row r="107" spans="1:98" ht="25.5">
      <c r="A107" s="4" t="s">
        <v>203</v>
      </c>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v>1000</v>
      </c>
      <c r="BO107" s="5"/>
      <c r="BP107" s="5"/>
      <c r="BQ107" s="5">
        <v>1234</v>
      </c>
      <c r="BR107" s="5">
        <v>1163</v>
      </c>
      <c r="BS107" s="5">
        <v>1154</v>
      </c>
      <c r="BT107" s="5">
        <v>1277</v>
      </c>
      <c r="BU107" s="5">
        <v>1581</v>
      </c>
      <c r="BV107" s="5">
        <v>2137.6999999999998</v>
      </c>
      <c r="BW107" s="5">
        <v>2069</v>
      </c>
      <c r="BX107" s="5">
        <v>2219.4</v>
      </c>
      <c r="BY107" s="5">
        <v>2211</v>
      </c>
      <c r="BZ107" s="5">
        <v>2364</v>
      </c>
      <c r="CA107" s="5">
        <v>2423.6</v>
      </c>
      <c r="CB107" s="5">
        <v>2590</v>
      </c>
      <c r="CC107" s="5">
        <v>2761</v>
      </c>
      <c r="CD107" s="5">
        <v>2763.2</v>
      </c>
      <c r="CE107" s="5">
        <v>2937.3</v>
      </c>
      <c r="CF107" s="5">
        <v>2884.8</v>
      </c>
      <c r="CG107" s="5">
        <v>3622.6</v>
      </c>
      <c r="CH107" s="5">
        <v>3622.6</v>
      </c>
      <c r="CI107" s="5">
        <v>3754.6</v>
      </c>
      <c r="CJ107" s="5">
        <v>4196.7</v>
      </c>
      <c r="CK107" s="5">
        <v>4196.7</v>
      </c>
      <c r="CL107" s="5">
        <v>4196.7</v>
      </c>
      <c r="CM107" s="5">
        <v>4484.3</v>
      </c>
      <c r="CN107" s="5">
        <v>4606.8999999999996</v>
      </c>
      <c r="CO107" s="5">
        <v>4781.2</v>
      </c>
      <c r="CP107" s="5">
        <v>4800.3999999999996</v>
      </c>
      <c r="CQ107" s="5">
        <v>5251.9</v>
      </c>
      <c r="CR107" s="5">
        <v>5274.9</v>
      </c>
      <c r="CS107" s="5">
        <v>5786.3</v>
      </c>
      <c r="CT107" s="5">
        <v>5800.1</v>
      </c>
    </row>
    <row r="108" spans="1:98" ht="25.5">
      <c r="A108" s="2" t="s">
        <v>204</v>
      </c>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v>1000</v>
      </c>
      <c r="BO108" s="3"/>
      <c r="BP108" s="3"/>
      <c r="BQ108" s="3">
        <v>1250</v>
      </c>
      <c r="BR108" s="3">
        <v>1250</v>
      </c>
      <c r="BS108" s="3">
        <v>1750</v>
      </c>
      <c r="BT108" s="3">
        <v>1750</v>
      </c>
      <c r="BU108" s="3">
        <v>2149</v>
      </c>
      <c r="BV108" s="3">
        <v>2682.8</v>
      </c>
      <c r="BW108" s="3">
        <v>2377</v>
      </c>
      <c r="BX108" s="3">
        <v>2770.3</v>
      </c>
      <c r="BY108" s="3">
        <v>2429</v>
      </c>
      <c r="BZ108" s="3">
        <v>2611</v>
      </c>
      <c r="CA108" s="3">
        <v>3601.4</v>
      </c>
      <c r="CB108" s="3">
        <v>3878.4</v>
      </c>
      <c r="CC108" s="3">
        <v>4011.4</v>
      </c>
      <c r="CD108" s="3">
        <v>4152.7</v>
      </c>
      <c r="CE108" s="3"/>
      <c r="CF108" s="3"/>
      <c r="CG108" s="3"/>
      <c r="CH108" s="3"/>
      <c r="CI108" s="3"/>
      <c r="CJ108" s="3"/>
      <c r="CK108" s="3"/>
      <c r="CL108" s="3"/>
      <c r="CM108" s="3"/>
      <c r="CN108" s="3"/>
      <c r="CO108" s="3"/>
      <c r="CP108" s="3"/>
      <c r="CQ108" s="3"/>
      <c r="CR108" s="3"/>
      <c r="CS108" s="3"/>
      <c r="CT108" s="3"/>
    </row>
    <row r="109" spans="1:98" ht="25.5">
      <c r="A109" s="4" t="s">
        <v>205</v>
      </c>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v>2500</v>
      </c>
      <c r="BY109" s="5"/>
      <c r="BZ109" s="5"/>
      <c r="CA109" s="5">
        <v>3239</v>
      </c>
      <c r="CB109" s="5">
        <v>3478.5</v>
      </c>
      <c r="CC109" s="5">
        <v>3514.8</v>
      </c>
      <c r="CD109" s="5">
        <v>3604.5</v>
      </c>
      <c r="CE109" s="5">
        <v>4569.3999999999996</v>
      </c>
      <c r="CF109" s="5">
        <v>4699.5</v>
      </c>
      <c r="CG109" s="5">
        <v>4981.3999999999996</v>
      </c>
      <c r="CH109" s="5">
        <v>5183.3</v>
      </c>
      <c r="CI109" s="5">
        <v>5183.3</v>
      </c>
      <c r="CJ109" s="5">
        <v>5183.3</v>
      </c>
      <c r="CK109" s="5">
        <v>6283.7</v>
      </c>
      <c r="CL109" s="5">
        <v>6566.5</v>
      </c>
      <c r="CM109" s="5">
        <v>6678.6</v>
      </c>
      <c r="CN109" s="5">
        <v>6890.1</v>
      </c>
      <c r="CO109" s="5">
        <v>8363.6</v>
      </c>
      <c r="CP109" s="5">
        <v>8771.7000000000007</v>
      </c>
      <c r="CQ109" s="5">
        <v>8771.7000000000007</v>
      </c>
      <c r="CR109" s="5">
        <v>9312.9</v>
      </c>
      <c r="CS109" s="5">
        <v>9420.7000000000007</v>
      </c>
      <c r="CT109" s="5">
        <v>9553.2000000000007</v>
      </c>
    </row>
    <row r="110" spans="1:98" ht="25.5">
      <c r="A110" s="2" t="s">
        <v>206</v>
      </c>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v>2500</v>
      </c>
      <c r="BY110" s="3"/>
      <c r="BZ110" s="3"/>
      <c r="CA110" s="3">
        <v>3275</v>
      </c>
      <c r="CB110" s="3">
        <v>3425</v>
      </c>
      <c r="CC110" s="3">
        <v>3425</v>
      </c>
      <c r="CD110" s="3">
        <v>3425</v>
      </c>
      <c r="CE110" s="3">
        <v>4582.7</v>
      </c>
      <c r="CF110" s="3">
        <v>4668.3</v>
      </c>
      <c r="CG110" s="3">
        <v>4795</v>
      </c>
      <c r="CH110" s="3">
        <v>4966.3</v>
      </c>
      <c r="CI110" s="3">
        <v>4966.3</v>
      </c>
      <c r="CJ110" s="3">
        <v>4966.3</v>
      </c>
      <c r="CK110" s="3">
        <v>6176.6</v>
      </c>
      <c r="CL110" s="3">
        <v>6376.9</v>
      </c>
      <c r="CM110" s="3">
        <v>6581.5</v>
      </c>
      <c r="CN110" s="3">
        <v>6756.6</v>
      </c>
      <c r="CO110" s="3">
        <v>8441.7000000000007</v>
      </c>
      <c r="CP110" s="3">
        <v>8779.2999999999993</v>
      </c>
      <c r="CQ110" s="3">
        <v>8779.2999999999993</v>
      </c>
      <c r="CR110" s="3">
        <v>9070.9</v>
      </c>
      <c r="CS110" s="3">
        <v>9136.2999999999993</v>
      </c>
      <c r="CT110" s="3">
        <v>9201.1</v>
      </c>
    </row>
    <row r="111" spans="1:98" ht="25.5">
      <c r="A111" s="4" t="s">
        <v>207</v>
      </c>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v>3000</v>
      </c>
      <c r="CE111" s="5">
        <v>3843</v>
      </c>
      <c r="CF111" s="5">
        <v>4029.9</v>
      </c>
      <c r="CG111" s="5">
        <v>4146</v>
      </c>
      <c r="CH111" s="5">
        <v>4314</v>
      </c>
      <c r="CI111" s="5">
        <v>4314</v>
      </c>
      <c r="CJ111" s="5">
        <v>4314</v>
      </c>
      <c r="CK111" s="5">
        <v>5272.7</v>
      </c>
      <c r="CL111" s="5">
        <v>5489.1</v>
      </c>
      <c r="CM111" s="5">
        <v>5611.5</v>
      </c>
      <c r="CN111" s="5">
        <v>5778.5</v>
      </c>
      <c r="CO111" s="5">
        <v>7091.8</v>
      </c>
      <c r="CP111" s="5">
        <v>7418.6</v>
      </c>
      <c r="CQ111" s="5">
        <v>7418.6</v>
      </c>
      <c r="CR111" s="5">
        <v>7794</v>
      </c>
      <c r="CS111" s="5">
        <v>7871.8</v>
      </c>
      <c r="CT111" s="5">
        <v>7967.1</v>
      </c>
    </row>
    <row r="112" spans="1:98" ht="25.5">
      <c r="A112" s="2" t="s">
        <v>208</v>
      </c>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v>3000</v>
      </c>
      <c r="BY112" s="3"/>
      <c r="BZ112" s="3"/>
      <c r="CA112" s="3"/>
      <c r="CB112" s="3">
        <v>3977.9</v>
      </c>
      <c r="CC112" s="3">
        <v>4675.3</v>
      </c>
      <c r="CD112" s="3">
        <v>4649.3</v>
      </c>
      <c r="CE112" s="3">
        <v>6086</v>
      </c>
      <c r="CF112" s="3">
        <v>6095.3</v>
      </c>
      <c r="CG112" s="3">
        <v>6095.3</v>
      </c>
      <c r="CH112" s="3">
        <v>6095.3</v>
      </c>
      <c r="CI112" s="3">
        <v>6317.5</v>
      </c>
      <c r="CJ112" s="3">
        <v>7061.4</v>
      </c>
      <c r="CK112" s="3">
        <v>7683.9</v>
      </c>
      <c r="CL112" s="3">
        <v>7707</v>
      </c>
      <c r="CM112" s="3">
        <v>7700.9</v>
      </c>
      <c r="CN112" s="3">
        <v>7716.9</v>
      </c>
      <c r="CO112" s="3">
        <v>8933</v>
      </c>
      <c r="CP112" s="3">
        <v>8955.5</v>
      </c>
      <c r="CQ112" s="3">
        <v>9454.1</v>
      </c>
      <c r="CR112" s="3">
        <v>9543.9</v>
      </c>
      <c r="CS112" s="3">
        <v>9759.4</v>
      </c>
      <c r="CT112" s="3">
        <v>9768.7999999999993</v>
      </c>
    </row>
    <row r="113" spans="1:98" ht="25.5">
      <c r="A113" s="4" t="s">
        <v>209</v>
      </c>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v>3000</v>
      </c>
      <c r="BY113" s="5"/>
      <c r="BZ113" s="5"/>
      <c r="CA113" s="5"/>
      <c r="CB113" s="5">
        <v>3106.1</v>
      </c>
      <c r="CC113" s="5">
        <v>3935.1</v>
      </c>
      <c r="CD113" s="5">
        <v>4449.3999999999996</v>
      </c>
      <c r="CE113" s="5">
        <v>5259</v>
      </c>
      <c r="CF113" s="5">
        <v>4987.8</v>
      </c>
      <c r="CG113" s="5">
        <v>5262.7</v>
      </c>
      <c r="CH113" s="5">
        <v>5648.9</v>
      </c>
      <c r="CI113" s="5">
        <v>6182.9</v>
      </c>
      <c r="CJ113" s="5">
        <v>6894.8</v>
      </c>
      <c r="CK113" s="5">
        <v>7730.7</v>
      </c>
      <c r="CL113" s="5">
        <v>7765.9</v>
      </c>
      <c r="CM113" s="5">
        <v>8478.6</v>
      </c>
      <c r="CN113" s="5">
        <v>8508.2000000000007</v>
      </c>
      <c r="CO113" s="5">
        <v>9451.2999999999993</v>
      </c>
      <c r="CP113" s="5">
        <v>9491.1</v>
      </c>
      <c r="CQ113" s="5">
        <v>10970.3</v>
      </c>
      <c r="CR113" s="5">
        <v>12045.4</v>
      </c>
      <c r="CS113" s="5">
        <v>12304.9</v>
      </c>
      <c r="CT113" s="5">
        <v>12767.3</v>
      </c>
    </row>
    <row r="114" spans="1:98" ht="25.5">
      <c r="A114" s="2" t="s">
        <v>210</v>
      </c>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v>3000</v>
      </c>
      <c r="BY114" s="3"/>
      <c r="BZ114" s="3"/>
      <c r="CA114" s="3"/>
      <c r="CB114" s="3">
        <v>3307.7</v>
      </c>
      <c r="CC114" s="3">
        <v>3315.5</v>
      </c>
      <c r="CD114" s="3">
        <v>3438</v>
      </c>
      <c r="CE114" s="3">
        <v>3899</v>
      </c>
      <c r="CF114" s="3">
        <v>3915.9</v>
      </c>
      <c r="CG114" s="3">
        <v>4051.7</v>
      </c>
      <c r="CH114" s="3">
        <v>4287.2</v>
      </c>
      <c r="CI114" s="3">
        <v>4699.7</v>
      </c>
      <c r="CJ114" s="3">
        <v>5249.8</v>
      </c>
      <c r="CK114" s="3">
        <v>5483.8</v>
      </c>
      <c r="CL114" s="3">
        <v>5530.9</v>
      </c>
      <c r="CM114" s="3">
        <v>5567.5</v>
      </c>
      <c r="CN114" s="3">
        <v>6352.6</v>
      </c>
      <c r="CO114" s="3">
        <v>7546.9</v>
      </c>
      <c r="CP114" s="3">
        <v>7457.4</v>
      </c>
      <c r="CQ114" s="3">
        <v>8410</v>
      </c>
      <c r="CR114" s="3">
        <v>9593.2000000000007</v>
      </c>
      <c r="CS114" s="3">
        <v>9613.6</v>
      </c>
      <c r="CT114" s="3">
        <v>9633.5</v>
      </c>
    </row>
    <row r="115" spans="1:98" ht="25.5">
      <c r="A115" s="4" t="s">
        <v>211</v>
      </c>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v>3000</v>
      </c>
      <c r="BY115" s="5"/>
      <c r="BZ115" s="5"/>
      <c r="CA115" s="5"/>
      <c r="CB115" s="5">
        <v>3125.4</v>
      </c>
      <c r="CC115" s="5">
        <v>3185.8</v>
      </c>
      <c r="CD115" s="5">
        <v>3300.2</v>
      </c>
      <c r="CE115" s="5">
        <v>3772</v>
      </c>
      <c r="CF115" s="5">
        <v>3775.8</v>
      </c>
      <c r="CG115" s="5">
        <v>3992.1</v>
      </c>
      <c r="CH115" s="5">
        <v>4261.6000000000004</v>
      </c>
      <c r="CI115" s="5">
        <v>4657.6000000000004</v>
      </c>
      <c r="CJ115" s="5">
        <v>5185.6000000000004</v>
      </c>
      <c r="CK115" s="5">
        <v>5195.8999999999996</v>
      </c>
      <c r="CL115" s="5">
        <v>4890.7</v>
      </c>
      <c r="CM115" s="5">
        <v>5457.1</v>
      </c>
      <c r="CN115" s="5">
        <v>5458.6</v>
      </c>
      <c r="CO115" s="5">
        <v>6012.3</v>
      </c>
      <c r="CP115" s="5">
        <v>5853.6</v>
      </c>
      <c r="CQ115" s="5">
        <v>6609.9</v>
      </c>
      <c r="CR115" s="5">
        <v>7854.5</v>
      </c>
      <c r="CS115" s="5">
        <v>8449.2999999999993</v>
      </c>
      <c r="CT115" s="5">
        <v>8687.7000000000007</v>
      </c>
    </row>
    <row r="116" spans="1:98" ht="25.5">
      <c r="A116" s="2" t="s">
        <v>212</v>
      </c>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v>3000</v>
      </c>
      <c r="BY116" s="3"/>
      <c r="BZ116" s="3"/>
      <c r="CA116" s="3"/>
      <c r="CB116" s="3">
        <v>3016.5</v>
      </c>
      <c r="CC116" s="3">
        <v>3142</v>
      </c>
      <c r="CD116" s="3">
        <v>3142.2</v>
      </c>
      <c r="CE116" s="3">
        <v>3284</v>
      </c>
      <c r="CF116" s="3">
        <v>3283.6</v>
      </c>
      <c r="CG116" s="3">
        <v>3360.9</v>
      </c>
      <c r="CH116" s="3">
        <v>3466.5</v>
      </c>
      <c r="CI116" s="3">
        <v>3843.6</v>
      </c>
      <c r="CJ116" s="3">
        <v>4346.3</v>
      </c>
      <c r="CK116" s="3">
        <v>4368</v>
      </c>
      <c r="CL116" s="3">
        <v>4937.8</v>
      </c>
      <c r="CM116" s="3">
        <v>6354.3</v>
      </c>
      <c r="CN116" s="3">
        <v>6509.9</v>
      </c>
      <c r="CO116" s="3">
        <v>6906.3</v>
      </c>
      <c r="CP116" s="3">
        <v>6914.2</v>
      </c>
      <c r="CQ116" s="3">
        <v>8278.6</v>
      </c>
      <c r="CR116" s="3">
        <v>8329.7999999999993</v>
      </c>
      <c r="CS116" s="3">
        <v>8334.1</v>
      </c>
      <c r="CT116" s="3">
        <v>8478.7999999999993</v>
      </c>
    </row>
    <row r="117" spans="1:98" ht="25.5">
      <c r="A117" s="4" t="s">
        <v>213</v>
      </c>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v>3000</v>
      </c>
      <c r="BY117" s="5"/>
      <c r="BZ117" s="5"/>
      <c r="CA117" s="5"/>
      <c r="CB117" s="5">
        <v>3765</v>
      </c>
      <c r="CC117" s="5">
        <v>3837</v>
      </c>
      <c r="CD117" s="5">
        <v>3816</v>
      </c>
      <c r="CE117" s="5">
        <v>4789</v>
      </c>
      <c r="CF117" s="5">
        <v>4880.7</v>
      </c>
      <c r="CG117" s="5">
        <v>4695.6000000000004</v>
      </c>
      <c r="CH117" s="5">
        <v>4731.8</v>
      </c>
      <c r="CI117" s="5">
        <v>4752.1000000000004</v>
      </c>
      <c r="CJ117" s="5">
        <v>5362.6</v>
      </c>
      <c r="CK117" s="5">
        <v>6009.3</v>
      </c>
      <c r="CL117" s="5">
        <v>6010.5</v>
      </c>
      <c r="CM117" s="5">
        <v>6626.8</v>
      </c>
      <c r="CN117" s="5">
        <v>7239.7</v>
      </c>
      <c r="CO117" s="5">
        <v>8149.2</v>
      </c>
      <c r="CP117" s="5">
        <v>8151.2</v>
      </c>
      <c r="CQ117" s="5">
        <v>8763.2999999999993</v>
      </c>
      <c r="CR117" s="5">
        <v>10421</v>
      </c>
      <c r="CS117" s="5">
        <v>11213.5</v>
      </c>
      <c r="CT117" s="5">
        <v>11530.8</v>
      </c>
    </row>
    <row r="118" spans="1:98" ht="25.5">
      <c r="A118" s="2" t="s">
        <v>214</v>
      </c>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v>3000</v>
      </c>
      <c r="BY118" s="3"/>
      <c r="BZ118" s="3"/>
      <c r="CA118" s="3"/>
      <c r="CB118" s="3">
        <v>3656.9</v>
      </c>
      <c r="CC118" s="3">
        <v>3648.2</v>
      </c>
      <c r="CD118" s="3">
        <v>3492</v>
      </c>
      <c r="CE118" s="3">
        <v>3750</v>
      </c>
      <c r="CF118" s="3">
        <v>3851.7</v>
      </c>
      <c r="CG118" s="3">
        <v>4132.8</v>
      </c>
      <c r="CH118" s="3">
        <v>4600.7</v>
      </c>
      <c r="CI118" s="3">
        <v>4700.2</v>
      </c>
      <c r="CJ118" s="3">
        <v>5044.2</v>
      </c>
      <c r="CK118" s="3">
        <v>5478.1</v>
      </c>
      <c r="CL118" s="3">
        <v>5278.7</v>
      </c>
      <c r="CM118" s="3">
        <v>5621.4</v>
      </c>
      <c r="CN118" s="3">
        <v>5931.9</v>
      </c>
      <c r="CO118" s="3">
        <v>6262.3</v>
      </c>
      <c r="CP118" s="3">
        <v>6047.7</v>
      </c>
      <c r="CQ118" s="3">
        <v>5952.8</v>
      </c>
      <c r="CR118" s="3">
        <v>6154.8</v>
      </c>
      <c r="CS118" s="3">
        <v>6606.8</v>
      </c>
      <c r="CT118" s="3">
        <v>7027.2</v>
      </c>
    </row>
    <row r="119" spans="1:98" ht="25.5">
      <c r="A119" s="4" t="s">
        <v>215</v>
      </c>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v>3000</v>
      </c>
      <c r="BY119" s="5"/>
      <c r="BZ119" s="5"/>
      <c r="CA119" s="5"/>
      <c r="CB119" s="5">
        <v>3767.7</v>
      </c>
      <c r="CC119" s="5">
        <v>3958.1</v>
      </c>
      <c r="CD119" s="5">
        <v>4155.1000000000004</v>
      </c>
      <c r="CE119" s="5">
        <v>4409</v>
      </c>
      <c r="CF119" s="5">
        <v>4416.8999999999996</v>
      </c>
      <c r="CG119" s="5">
        <v>4926.1000000000004</v>
      </c>
      <c r="CH119" s="5">
        <v>5489.3</v>
      </c>
      <c r="CI119" s="5">
        <v>5987.9</v>
      </c>
      <c r="CJ119" s="5">
        <v>6652.7</v>
      </c>
      <c r="CK119" s="5">
        <v>6974</v>
      </c>
      <c r="CL119" s="5">
        <v>7021.1</v>
      </c>
      <c r="CM119" s="5">
        <v>7921</v>
      </c>
      <c r="CN119" s="5">
        <v>8633.5</v>
      </c>
      <c r="CO119" s="5">
        <v>9585.7999999999993</v>
      </c>
      <c r="CP119" s="5">
        <v>9131</v>
      </c>
      <c r="CQ119" s="5">
        <v>9265.4</v>
      </c>
      <c r="CR119" s="5">
        <v>9421.5</v>
      </c>
      <c r="CS119" s="5">
        <v>9614.1</v>
      </c>
      <c r="CT119" s="5">
        <v>9720.4</v>
      </c>
    </row>
    <row r="120" spans="1:98" ht="25.5">
      <c r="A120" s="2" t="s">
        <v>216</v>
      </c>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v>3000</v>
      </c>
      <c r="BY120" s="3"/>
      <c r="BZ120" s="3"/>
      <c r="CA120" s="3"/>
      <c r="CB120" s="3">
        <v>3650.5</v>
      </c>
      <c r="CC120" s="3">
        <v>4177.8999999999996</v>
      </c>
      <c r="CD120" s="3">
        <v>4137.3</v>
      </c>
      <c r="CE120" s="3">
        <v>4716</v>
      </c>
      <c r="CF120" s="3">
        <v>4737.2</v>
      </c>
      <c r="CG120" s="3">
        <v>5337.1</v>
      </c>
      <c r="CH120" s="3">
        <v>5461.2</v>
      </c>
      <c r="CI120" s="3">
        <v>5461.2</v>
      </c>
      <c r="CJ120" s="3">
        <v>5626.7</v>
      </c>
      <c r="CK120" s="3">
        <v>6161.2</v>
      </c>
      <c r="CL120" s="3">
        <v>6456.3</v>
      </c>
      <c r="CM120" s="3">
        <v>6574.7</v>
      </c>
      <c r="CN120" s="3">
        <v>6606.2</v>
      </c>
      <c r="CO120" s="3">
        <v>7437.1</v>
      </c>
      <c r="CP120" s="3">
        <v>7509.2</v>
      </c>
      <c r="CQ120" s="3">
        <v>7596.4</v>
      </c>
      <c r="CR120" s="3">
        <v>7665.8</v>
      </c>
      <c r="CS120" s="3">
        <v>7682.9</v>
      </c>
      <c r="CT120" s="3">
        <v>7699.9</v>
      </c>
    </row>
    <row r="121" spans="1:98" ht="25.5">
      <c r="A121" s="4" t="s">
        <v>217</v>
      </c>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v>3000</v>
      </c>
      <c r="BY121" s="5"/>
      <c r="BZ121" s="5"/>
      <c r="CA121" s="5"/>
      <c r="CB121" s="5">
        <v>3450.8</v>
      </c>
      <c r="CC121" s="5">
        <v>3501.3</v>
      </c>
      <c r="CD121" s="5">
        <v>3981.1</v>
      </c>
      <c r="CE121" s="5">
        <v>4941</v>
      </c>
      <c r="CF121" s="5">
        <v>4956.5</v>
      </c>
      <c r="CG121" s="5">
        <v>4920.7</v>
      </c>
      <c r="CH121" s="5">
        <v>4741.5</v>
      </c>
      <c r="CI121" s="5">
        <v>5271</v>
      </c>
      <c r="CJ121" s="5">
        <v>5796.5</v>
      </c>
      <c r="CK121" s="5">
        <v>5971.3</v>
      </c>
      <c r="CL121" s="5">
        <v>5807.8</v>
      </c>
      <c r="CM121" s="5">
        <v>6335</v>
      </c>
      <c r="CN121" s="5">
        <v>6462.7</v>
      </c>
      <c r="CO121" s="5">
        <v>6760.9</v>
      </c>
      <c r="CP121" s="5">
        <v>6862.3</v>
      </c>
      <c r="CQ121" s="5">
        <v>7716.5</v>
      </c>
      <c r="CR121" s="5">
        <v>8369.2000000000007</v>
      </c>
      <c r="CS121" s="5">
        <v>8957.2999999999993</v>
      </c>
      <c r="CT121" s="5">
        <v>8983.2000000000007</v>
      </c>
    </row>
    <row r="122" spans="1:98" ht="25.5">
      <c r="A122" s="2" t="s">
        <v>218</v>
      </c>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v>3000</v>
      </c>
      <c r="BY122" s="3"/>
      <c r="BZ122" s="3"/>
      <c r="CA122" s="3"/>
      <c r="CB122" s="3">
        <v>3650.1</v>
      </c>
      <c r="CC122" s="3">
        <v>3699.5</v>
      </c>
      <c r="CD122" s="3">
        <v>3732.4</v>
      </c>
      <c r="CE122" s="3">
        <v>4218</v>
      </c>
      <c r="CF122" s="3">
        <v>4728.8999999999996</v>
      </c>
      <c r="CG122" s="3">
        <v>4852.1000000000004</v>
      </c>
      <c r="CH122" s="3">
        <v>5221.6000000000004</v>
      </c>
      <c r="CI122" s="3">
        <v>6162.2</v>
      </c>
      <c r="CJ122" s="3">
        <v>6569</v>
      </c>
      <c r="CK122" s="3">
        <v>6603.3</v>
      </c>
      <c r="CL122" s="3">
        <v>6686.7</v>
      </c>
      <c r="CM122" s="3">
        <v>6725.7</v>
      </c>
      <c r="CN122" s="3">
        <v>6899.6</v>
      </c>
      <c r="CO122" s="3">
        <v>8307.1</v>
      </c>
      <c r="CP122" s="3">
        <v>9231.7000000000007</v>
      </c>
      <c r="CQ122" s="3">
        <v>8060.1</v>
      </c>
      <c r="CR122" s="3">
        <v>8147</v>
      </c>
      <c r="CS122" s="3">
        <v>8167.4</v>
      </c>
      <c r="CT122" s="3">
        <v>8188.7</v>
      </c>
    </row>
    <row r="123" spans="1:98" ht="25.5">
      <c r="A123" s="4" t="s">
        <v>219</v>
      </c>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v>3000</v>
      </c>
      <c r="BY123" s="5"/>
      <c r="BZ123" s="5"/>
      <c r="CA123" s="5"/>
      <c r="CB123" s="5">
        <v>3137.2</v>
      </c>
      <c r="CC123" s="5">
        <v>3138.3</v>
      </c>
      <c r="CD123" s="5">
        <v>3754.7</v>
      </c>
      <c r="CE123" s="5">
        <v>4509</v>
      </c>
      <c r="CF123" s="5">
        <v>4733.5</v>
      </c>
      <c r="CG123" s="5">
        <v>4969.6000000000004</v>
      </c>
      <c r="CH123" s="5">
        <v>5002.7</v>
      </c>
      <c r="CI123" s="5">
        <v>5453.3</v>
      </c>
      <c r="CJ123" s="5">
        <v>6054</v>
      </c>
      <c r="CK123" s="5">
        <v>6341.6</v>
      </c>
      <c r="CL123" s="5">
        <v>6344.8</v>
      </c>
      <c r="CM123" s="5">
        <v>8465.9</v>
      </c>
      <c r="CN123" s="5">
        <v>8468.2999999999993</v>
      </c>
      <c r="CO123" s="5">
        <v>11322.1</v>
      </c>
      <c r="CP123" s="5">
        <v>11806.6</v>
      </c>
      <c r="CQ123" s="5">
        <v>11806.6</v>
      </c>
      <c r="CR123" s="5">
        <v>11806.4</v>
      </c>
      <c r="CS123" s="5">
        <v>12185.9</v>
      </c>
      <c r="CT123" s="5">
        <v>12985.2</v>
      </c>
    </row>
    <row r="124" spans="1:98" ht="25.5">
      <c r="A124" s="2" t="s">
        <v>220</v>
      </c>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v>3000</v>
      </c>
      <c r="BY124" s="3"/>
      <c r="BZ124" s="3"/>
      <c r="CA124" s="3"/>
      <c r="CB124" s="3">
        <v>3668.2</v>
      </c>
      <c r="CC124" s="3">
        <v>3902</v>
      </c>
      <c r="CD124" s="3">
        <v>4028.5</v>
      </c>
      <c r="CE124" s="3">
        <v>4593</v>
      </c>
      <c r="CF124" s="3">
        <v>4395.1000000000004</v>
      </c>
      <c r="CG124" s="3">
        <v>4004.3</v>
      </c>
      <c r="CH124" s="3">
        <v>4375</v>
      </c>
      <c r="CI124" s="3">
        <v>4286.3</v>
      </c>
      <c r="CJ124" s="3">
        <v>4209.8</v>
      </c>
      <c r="CK124" s="3">
        <v>4657.7</v>
      </c>
      <c r="CL124" s="3">
        <v>4702.8</v>
      </c>
      <c r="CM124" s="3">
        <v>4803.8</v>
      </c>
      <c r="CN124" s="3">
        <v>4861.2</v>
      </c>
      <c r="CO124" s="3">
        <v>5605</v>
      </c>
      <c r="CP124" s="3">
        <v>5794.6</v>
      </c>
      <c r="CQ124" s="3">
        <v>5958.2</v>
      </c>
      <c r="CR124" s="3">
        <v>6407.2</v>
      </c>
      <c r="CS124" s="3">
        <v>6525.9</v>
      </c>
      <c r="CT124" s="3">
        <v>6840</v>
      </c>
    </row>
    <row r="125" spans="1:98" ht="25.5">
      <c r="A125" s="4" t="s">
        <v>221</v>
      </c>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v>3000</v>
      </c>
      <c r="BY125" s="5"/>
      <c r="BZ125" s="5"/>
      <c r="CA125" s="5"/>
      <c r="CB125" s="5">
        <v>3588.1</v>
      </c>
      <c r="CC125" s="5">
        <v>3683.7</v>
      </c>
      <c r="CD125" s="5">
        <v>3801.1</v>
      </c>
      <c r="CE125" s="5">
        <v>4386</v>
      </c>
      <c r="CF125" s="5">
        <v>4390.3</v>
      </c>
      <c r="CG125" s="5">
        <v>4995.2</v>
      </c>
      <c r="CH125" s="5">
        <v>4995.2</v>
      </c>
      <c r="CI125" s="5">
        <v>5396.1</v>
      </c>
      <c r="CJ125" s="5">
        <v>6004.2</v>
      </c>
      <c r="CK125" s="5">
        <v>5718.2</v>
      </c>
      <c r="CL125" s="5">
        <v>5732.7</v>
      </c>
      <c r="CM125" s="5">
        <v>8433.4</v>
      </c>
      <c r="CN125" s="5">
        <v>9027.2000000000007</v>
      </c>
      <c r="CO125" s="5">
        <v>11162.2</v>
      </c>
      <c r="CP125" s="5">
        <v>11186.1</v>
      </c>
      <c r="CQ125" s="5">
        <v>11318.8</v>
      </c>
      <c r="CR125" s="5">
        <v>12301.6</v>
      </c>
      <c r="CS125" s="5">
        <v>12313.1</v>
      </c>
      <c r="CT125" s="5">
        <v>12323.5</v>
      </c>
    </row>
    <row r="126" spans="1:98" ht="25.5">
      <c r="A126" s="2" t="s">
        <v>222</v>
      </c>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v>3000</v>
      </c>
      <c r="BY126" s="3"/>
      <c r="BZ126" s="3"/>
      <c r="CA126" s="3"/>
      <c r="CB126" s="3">
        <v>3405.2</v>
      </c>
      <c r="CC126" s="3">
        <v>4916.7</v>
      </c>
      <c r="CD126" s="3">
        <v>3641.8</v>
      </c>
      <c r="CE126" s="3">
        <v>4567</v>
      </c>
      <c r="CF126" s="3">
        <v>4585.1000000000004</v>
      </c>
      <c r="CG126" s="3">
        <v>4388.8999999999996</v>
      </c>
      <c r="CH126" s="3">
        <v>4389.5</v>
      </c>
      <c r="CI126" s="3">
        <v>4826.5</v>
      </c>
      <c r="CJ126" s="3">
        <v>5409.2</v>
      </c>
      <c r="CK126" s="3">
        <v>6180.8</v>
      </c>
      <c r="CL126" s="3">
        <v>6320.6</v>
      </c>
      <c r="CM126" s="3">
        <v>6616.2</v>
      </c>
      <c r="CN126" s="3">
        <v>6533.2</v>
      </c>
      <c r="CO126" s="3">
        <v>7537.6</v>
      </c>
      <c r="CP126" s="3">
        <v>7799.9</v>
      </c>
      <c r="CQ126" s="3">
        <v>7855.1</v>
      </c>
      <c r="CR126" s="3">
        <v>8565.2000000000007</v>
      </c>
      <c r="CS126" s="3">
        <v>8813.2999999999993</v>
      </c>
      <c r="CT126" s="3">
        <v>9303.2999999999993</v>
      </c>
    </row>
    <row r="127" spans="1:98" ht="25.5">
      <c r="A127" s="4" t="s">
        <v>223</v>
      </c>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v>3000</v>
      </c>
      <c r="BY127" s="5"/>
      <c r="BZ127" s="5"/>
      <c r="CA127" s="5"/>
      <c r="CB127" s="5">
        <v>3683.6</v>
      </c>
      <c r="CC127" s="5">
        <v>3842.4</v>
      </c>
      <c r="CD127" s="5">
        <v>4387.8999999999996</v>
      </c>
      <c r="CE127" s="5">
        <v>4835</v>
      </c>
      <c r="CF127" s="5">
        <v>4937.7</v>
      </c>
      <c r="CG127" s="5">
        <v>5221.6000000000004</v>
      </c>
      <c r="CH127" s="5">
        <v>5792</v>
      </c>
      <c r="CI127" s="5">
        <v>5923.7</v>
      </c>
      <c r="CJ127" s="5">
        <v>6366.8</v>
      </c>
      <c r="CK127" s="5">
        <v>6668.3</v>
      </c>
      <c r="CL127" s="5">
        <v>6652</v>
      </c>
      <c r="CM127" s="5">
        <v>6933.8</v>
      </c>
      <c r="CN127" s="5">
        <v>7595.9</v>
      </c>
      <c r="CO127" s="5">
        <v>9077.1</v>
      </c>
      <c r="CP127" s="5">
        <v>9418.7999999999993</v>
      </c>
      <c r="CQ127" s="5">
        <v>10728.6</v>
      </c>
      <c r="CR127" s="5">
        <v>10769</v>
      </c>
      <c r="CS127" s="5">
        <v>11277.6</v>
      </c>
      <c r="CT127" s="5">
        <v>11544.1</v>
      </c>
    </row>
    <row r="128" spans="1:98" ht="25.5">
      <c r="A128" s="2" t="s">
        <v>224</v>
      </c>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v>3000</v>
      </c>
      <c r="BY128" s="3"/>
      <c r="BZ128" s="3"/>
      <c r="CA128" s="3"/>
      <c r="CB128" s="3">
        <v>3161.7</v>
      </c>
      <c r="CC128" s="3">
        <v>3255.6</v>
      </c>
      <c r="CD128" s="3">
        <v>3321.3</v>
      </c>
      <c r="CE128" s="3">
        <v>3487</v>
      </c>
      <c r="CF128" s="3">
        <v>3487.4</v>
      </c>
      <c r="CG128" s="3">
        <v>3977.5</v>
      </c>
      <c r="CH128" s="3">
        <v>4500.7</v>
      </c>
      <c r="CI128" s="3">
        <v>4899.3</v>
      </c>
      <c r="CJ128" s="3">
        <v>5430.7</v>
      </c>
      <c r="CK128" s="3">
        <v>6378.8</v>
      </c>
      <c r="CL128" s="3">
        <v>6803.8</v>
      </c>
      <c r="CM128" s="3">
        <v>7338.9</v>
      </c>
      <c r="CN128" s="3">
        <v>7350.1</v>
      </c>
      <c r="CO128" s="3">
        <v>8783.2000000000007</v>
      </c>
      <c r="CP128" s="3">
        <v>9186.5</v>
      </c>
      <c r="CQ128" s="3">
        <v>9694.2999999999993</v>
      </c>
      <c r="CR128" s="3">
        <v>10002.200000000001</v>
      </c>
      <c r="CS128" s="3">
        <v>10284.4</v>
      </c>
      <c r="CT128" s="3">
        <v>10668.2</v>
      </c>
    </row>
    <row r="129" spans="1:98" ht="25.5">
      <c r="A129" s="4" t="s">
        <v>225</v>
      </c>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v>3000</v>
      </c>
      <c r="BY129" s="5"/>
      <c r="BZ129" s="5"/>
      <c r="CA129" s="5"/>
      <c r="CB129" s="5">
        <v>3155.1</v>
      </c>
      <c r="CC129" s="5">
        <v>3245.4</v>
      </c>
      <c r="CD129" s="5">
        <v>3304.8</v>
      </c>
      <c r="CE129" s="5">
        <v>3572</v>
      </c>
      <c r="CF129" s="5">
        <v>3572.5</v>
      </c>
      <c r="CG129" s="5">
        <v>3692.7</v>
      </c>
      <c r="CH129" s="5">
        <v>3869.2</v>
      </c>
      <c r="CI129" s="5">
        <v>4265.8</v>
      </c>
      <c r="CJ129" s="5">
        <v>4794.6000000000004</v>
      </c>
      <c r="CK129" s="5">
        <v>5151.8</v>
      </c>
      <c r="CL129" s="5">
        <v>4969.1000000000004</v>
      </c>
      <c r="CM129" s="5">
        <v>6090.8</v>
      </c>
      <c r="CN129" s="5">
        <v>6091.9</v>
      </c>
      <c r="CO129" s="5">
        <v>6707</v>
      </c>
      <c r="CP129" s="5">
        <v>6528</v>
      </c>
      <c r="CQ129" s="5">
        <v>7375</v>
      </c>
      <c r="CR129" s="5">
        <v>8767.7999999999993</v>
      </c>
      <c r="CS129" s="5">
        <v>9433.7000000000007</v>
      </c>
      <c r="CT129" s="5">
        <v>9700.4</v>
      </c>
    </row>
    <row r="130" spans="1:98" ht="25.5">
      <c r="A130" s="2" t="s">
        <v>226</v>
      </c>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v>3000</v>
      </c>
      <c r="BY130" s="3"/>
      <c r="BZ130" s="3"/>
      <c r="CA130" s="3"/>
      <c r="CB130" s="3"/>
      <c r="CC130" s="3"/>
      <c r="CD130" s="3">
        <v>3810.6</v>
      </c>
      <c r="CE130" s="3">
        <v>4192</v>
      </c>
      <c r="CF130" s="3">
        <v>4267.8999999999996</v>
      </c>
      <c r="CG130" s="3">
        <v>4757.5</v>
      </c>
      <c r="CH130" s="3">
        <v>5403.4</v>
      </c>
      <c r="CI130" s="3">
        <v>5860.7</v>
      </c>
      <c r="CJ130" s="3">
        <v>6470.4</v>
      </c>
      <c r="CK130" s="3">
        <v>6710.5</v>
      </c>
      <c r="CL130" s="3">
        <v>6295.5</v>
      </c>
      <c r="CM130" s="3">
        <v>6806.9</v>
      </c>
      <c r="CN130" s="3">
        <v>7065.7</v>
      </c>
      <c r="CO130" s="3">
        <v>7780.8</v>
      </c>
      <c r="CP130" s="3">
        <v>7574.8</v>
      </c>
      <c r="CQ130" s="3">
        <v>8554.4</v>
      </c>
      <c r="CR130" s="3">
        <v>10168.1</v>
      </c>
      <c r="CS130" s="3">
        <v>10938.5</v>
      </c>
      <c r="CT130" s="3">
        <v>11247.5</v>
      </c>
    </row>
    <row r="131" spans="1:98" ht="25.5">
      <c r="A131" s="4" t="s">
        <v>227</v>
      </c>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v>3000</v>
      </c>
      <c r="BY131" s="5"/>
      <c r="BZ131" s="5"/>
      <c r="CA131" s="5"/>
      <c r="CB131" s="5"/>
      <c r="CC131" s="5"/>
      <c r="CD131" s="5">
        <v>3810.6</v>
      </c>
      <c r="CE131" s="5">
        <v>4192</v>
      </c>
      <c r="CF131" s="5">
        <v>4267.8999999999996</v>
      </c>
      <c r="CG131" s="5">
        <v>4687.6000000000004</v>
      </c>
      <c r="CH131" s="5">
        <v>5278.8</v>
      </c>
      <c r="CI131" s="5">
        <v>5736.1</v>
      </c>
      <c r="CJ131" s="5">
        <v>6345.8</v>
      </c>
      <c r="CK131" s="5">
        <v>6713.6</v>
      </c>
      <c r="CL131" s="5">
        <v>6493.2</v>
      </c>
      <c r="CM131" s="5">
        <v>8030.3</v>
      </c>
      <c r="CN131" s="5">
        <v>8248.2999999999993</v>
      </c>
      <c r="CO131" s="5">
        <v>9285.1</v>
      </c>
      <c r="CP131" s="5">
        <v>9137.4</v>
      </c>
      <c r="CQ131" s="5">
        <v>9980.4</v>
      </c>
      <c r="CR131" s="5">
        <v>11258.4</v>
      </c>
      <c r="CS131" s="5">
        <v>12020.3</v>
      </c>
      <c r="CT131" s="5">
        <v>12300.2</v>
      </c>
    </row>
    <row r="132" spans="1:98" ht="25.5">
      <c r="A132" s="2" t="s">
        <v>228</v>
      </c>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v>3000</v>
      </c>
      <c r="BY132" s="3"/>
      <c r="BZ132" s="3"/>
      <c r="CA132" s="3"/>
      <c r="CB132" s="3"/>
      <c r="CC132" s="3"/>
      <c r="CD132" s="3">
        <v>3810.6</v>
      </c>
      <c r="CE132" s="3">
        <v>4192</v>
      </c>
      <c r="CF132" s="3">
        <v>4344.1000000000004</v>
      </c>
      <c r="CG132" s="3">
        <v>4709.8999999999996</v>
      </c>
      <c r="CH132" s="3">
        <v>4538.3999999999996</v>
      </c>
      <c r="CI132" s="3">
        <v>5045.2</v>
      </c>
      <c r="CJ132" s="3">
        <v>5548.2</v>
      </c>
      <c r="CK132" s="3">
        <v>6317.8</v>
      </c>
      <c r="CL132" s="3">
        <v>6246.2</v>
      </c>
      <c r="CM132" s="3">
        <v>6953.1</v>
      </c>
      <c r="CN132" s="3">
        <v>7042.6</v>
      </c>
      <c r="CO132" s="3">
        <v>8407.7000000000007</v>
      </c>
      <c r="CP132" s="3">
        <v>8597.6</v>
      </c>
      <c r="CQ132" s="3">
        <v>8859.7999999999993</v>
      </c>
      <c r="CR132" s="3">
        <v>9781.9</v>
      </c>
      <c r="CS132" s="3">
        <v>10188.700000000001</v>
      </c>
      <c r="CT132" s="3">
        <v>10369.5</v>
      </c>
    </row>
    <row r="133" spans="1:98" ht="25.5">
      <c r="A133" s="4" t="s">
        <v>229</v>
      </c>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v>3000</v>
      </c>
      <c r="BY133" s="5"/>
      <c r="BZ133" s="5"/>
      <c r="CA133" s="5"/>
      <c r="CB133" s="5">
        <v>3255.4</v>
      </c>
      <c r="CC133" s="5">
        <v>3350.4</v>
      </c>
      <c r="CD133" s="5">
        <v>4163.8</v>
      </c>
      <c r="CE133" s="5">
        <v>5459</v>
      </c>
      <c r="CF133" s="5">
        <v>5746</v>
      </c>
      <c r="CG133" s="5">
        <v>6139.7</v>
      </c>
      <c r="CH133" s="5">
        <v>6139.7</v>
      </c>
      <c r="CI133" s="5">
        <v>6403.5</v>
      </c>
      <c r="CJ133" s="5">
        <v>7069.7</v>
      </c>
      <c r="CK133" s="5">
        <v>6737.9</v>
      </c>
      <c r="CL133" s="5">
        <v>7096.6</v>
      </c>
      <c r="CM133" s="5">
        <v>8643.4</v>
      </c>
      <c r="CN133" s="5">
        <v>8649.6</v>
      </c>
      <c r="CO133" s="5">
        <v>9802.5</v>
      </c>
      <c r="CP133" s="5">
        <v>10302.9</v>
      </c>
      <c r="CQ133" s="5">
        <v>11719.3</v>
      </c>
      <c r="CR133" s="5">
        <v>11727.1</v>
      </c>
      <c r="CS133" s="5">
        <v>12087.2</v>
      </c>
      <c r="CT133" s="5">
        <v>12560</v>
      </c>
    </row>
    <row r="134" spans="1:98" ht="25.5">
      <c r="A134" s="2" t="s">
        <v>230</v>
      </c>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v>3000</v>
      </c>
      <c r="BY134" s="3"/>
      <c r="BZ134" s="3"/>
      <c r="CA134" s="3"/>
      <c r="CB134" s="3">
        <v>3245.3</v>
      </c>
      <c r="CC134" s="3">
        <v>3285.2</v>
      </c>
      <c r="CD134" s="3">
        <v>3288</v>
      </c>
      <c r="CE134" s="3">
        <v>3433</v>
      </c>
      <c r="CF134" s="3">
        <v>3432.6</v>
      </c>
      <c r="CG134" s="3">
        <v>3881.4</v>
      </c>
      <c r="CH134" s="3">
        <v>4359.8</v>
      </c>
      <c r="CI134" s="3">
        <v>4754.3999999999996</v>
      </c>
      <c r="CJ134" s="3">
        <v>5280.5</v>
      </c>
      <c r="CK134" s="3">
        <v>5568.3</v>
      </c>
      <c r="CL134" s="3">
        <v>5295.4</v>
      </c>
      <c r="CM134" s="3">
        <v>5702.5</v>
      </c>
      <c r="CN134" s="3">
        <v>5906.4</v>
      </c>
      <c r="CO134" s="3">
        <v>6577.1</v>
      </c>
      <c r="CP134" s="3">
        <v>6455.4</v>
      </c>
      <c r="CQ134" s="3">
        <v>7204.9</v>
      </c>
      <c r="CR134" s="3">
        <v>8438.7000000000007</v>
      </c>
      <c r="CS134" s="3">
        <v>9032.7000000000007</v>
      </c>
      <c r="CT134" s="3">
        <v>9273.9</v>
      </c>
    </row>
    <row r="135" spans="1:98" ht="25.5">
      <c r="A135" s="4" t="s">
        <v>231</v>
      </c>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v>3000</v>
      </c>
      <c r="BY135" s="5"/>
      <c r="BZ135" s="5"/>
      <c r="CA135" s="5"/>
      <c r="CB135" s="5">
        <v>3159.7</v>
      </c>
      <c r="CC135" s="5">
        <v>3184.4</v>
      </c>
      <c r="CD135" s="5">
        <v>3212.3</v>
      </c>
      <c r="CE135" s="5">
        <v>3376</v>
      </c>
      <c r="CF135" s="5">
        <v>3376.2</v>
      </c>
      <c r="CG135" s="5">
        <v>3340.9</v>
      </c>
      <c r="CH135" s="5">
        <v>3213.6</v>
      </c>
      <c r="CI135" s="5">
        <v>3213.6</v>
      </c>
      <c r="CJ135" s="5">
        <v>3213.6</v>
      </c>
      <c r="CK135" s="5">
        <v>3333.9</v>
      </c>
      <c r="CL135" s="5">
        <v>3128.9</v>
      </c>
      <c r="CM135" s="5">
        <v>3383.1</v>
      </c>
      <c r="CN135" s="5">
        <v>3513.6</v>
      </c>
      <c r="CO135" s="5">
        <v>3877.9</v>
      </c>
      <c r="CP135" s="5">
        <v>3782.9</v>
      </c>
      <c r="CQ135" s="5">
        <v>4256.3</v>
      </c>
      <c r="CR135" s="5">
        <v>5054</v>
      </c>
      <c r="CS135" s="5">
        <v>5435.9</v>
      </c>
      <c r="CT135" s="5">
        <v>5588.9</v>
      </c>
    </row>
    <row r="136" spans="1:98" ht="25.5">
      <c r="A136" s="2" t="s">
        <v>232</v>
      </c>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v>3000</v>
      </c>
      <c r="BY136" s="3"/>
      <c r="BZ136" s="3"/>
      <c r="CA136" s="3"/>
      <c r="CB136" s="3">
        <v>3162</v>
      </c>
      <c r="CC136" s="3">
        <v>3159</v>
      </c>
      <c r="CD136" s="3">
        <v>3159</v>
      </c>
      <c r="CE136" s="3">
        <v>3326</v>
      </c>
      <c r="CF136" s="3">
        <v>3326.4</v>
      </c>
      <c r="CG136" s="3">
        <v>3967.7</v>
      </c>
      <c r="CH136" s="3">
        <v>4643.7</v>
      </c>
      <c r="CI136" s="3">
        <v>5022.8</v>
      </c>
      <c r="CJ136" s="3">
        <v>5528.3</v>
      </c>
      <c r="CK136" s="3">
        <v>5735.2</v>
      </c>
      <c r="CL136" s="3">
        <v>5382.6</v>
      </c>
      <c r="CM136" s="3">
        <v>5819.9</v>
      </c>
      <c r="CN136" s="3">
        <v>6042.4</v>
      </c>
      <c r="CO136" s="3">
        <v>6668.9</v>
      </c>
      <c r="CP136" s="3">
        <v>6505.5</v>
      </c>
      <c r="CQ136" s="3">
        <v>7319.7</v>
      </c>
      <c r="CR136" s="3">
        <v>8691.5</v>
      </c>
      <c r="CS136" s="3">
        <v>9348.1</v>
      </c>
      <c r="CT136" s="3">
        <v>9611.2999999999993</v>
      </c>
    </row>
    <row r="137" spans="1:98" ht="25.5">
      <c r="A137" s="4" t="s">
        <v>233</v>
      </c>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v>3000</v>
      </c>
      <c r="BY137" s="5"/>
      <c r="BZ137" s="5"/>
      <c r="CA137" s="5"/>
      <c r="CB137" s="5">
        <v>4125</v>
      </c>
      <c r="CC137" s="5">
        <v>4248</v>
      </c>
      <c r="CD137" s="5">
        <v>4374</v>
      </c>
      <c r="CE137" s="5">
        <v>5152</v>
      </c>
      <c r="CF137" s="5">
        <v>5231.2</v>
      </c>
      <c r="CG137" s="5">
        <v>5548.2</v>
      </c>
      <c r="CH137" s="5">
        <v>5758.2</v>
      </c>
      <c r="CI137" s="5">
        <v>5758.2</v>
      </c>
      <c r="CJ137" s="5">
        <v>5758.2</v>
      </c>
      <c r="CK137" s="5">
        <v>7157.4</v>
      </c>
      <c r="CL137" s="5">
        <v>7393.5</v>
      </c>
      <c r="CM137" s="5">
        <v>7646.9</v>
      </c>
      <c r="CN137" s="5">
        <v>7820.8</v>
      </c>
      <c r="CO137" s="5">
        <v>9822.9</v>
      </c>
      <c r="CP137" s="5">
        <v>10182.700000000001</v>
      </c>
      <c r="CQ137" s="5">
        <v>10198.299999999999</v>
      </c>
      <c r="CR137" s="5">
        <v>10573.7</v>
      </c>
      <c r="CS137" s="5">
        <v>10655.8</v>
      </c>
      <c r="CT137" s="5">
        <v>10745.8</v>
      </c>
    </row>
    <row r="138" spans="1:98" ht="25.5">
      <c r="A138" s="2" t="s">
        <v>234</v>
      </c>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v>3000</v>
      </c>
      <c r="BY138" s="3"/>
      <c r="BZ138" s="3"/>
      <c r="CA138" s="3"/>
      <c r="CB138" s="3">
        <v>3161.8</v>
      </c>
      <c r="CC138" s="3">
        <v>3255.6</v>
      </c>
      <c r="CD138" s="3">
        <v>3321.3</v>
      </c>
      <c r="CE138" s="3">
        <v>3913</v>
      </c>
      <c r="CF138" s="3">
        <v>3905.9</v>
      </c>
      <c r="CG138" s="3">
        <v>4272.3999999999996</v>
      </c>
      <c r="CH138" s="3">
        <v>4272.3999999999996</v>
      </c>
      <c r="CI138" s="3">
        <v>4999.8999999999996</v>
      </c>
      <c r="CJ138" s="3">
        <v>5531.3</v>
      </c>
      <c r="CK138" s="3">
        <v>5731.8</v>
      </c>
      <c r="CL138" s="3">
        <v>5374</v>
      </c>
      <c r="CM138" s="3">
        <v>6919.3</v>
      </c>
      <c r="CN138" s="3">
        <v>6920.4</v>
      </c>
      <c r="CO138" s="3">
        <v>8537.2999999999993</v>
      </c>
      <c r="CP138" s="3">
        <v>8532.2000000000007</v>
      </c>
      <c r="CQ138" s="3">
        <v>9097.4</v>
      </c>
      <c r="CR138" s="3">
        <v>10625</v>
      </c>
      <c r="CS138" s="3">
        <v>11128</v>
      </c>
      <c r="CT138" s="3">
        <v>11823.5</v>
      </c>
    </row>
    <row r="139" spans="1:98" ht="25.5">
      <c r="A139" s="4" t="s">
        <v>235</v>
      </c>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v>3000</v>
      </c>
      <c r="BY139" s="5"/>
      <c r="BZ139" s="5"/>
      <c r="CA139" s="5"/>
      <c r="CB139" s="5">
        <v>3379.5</v>
      </c>
      <c r="CC139" s="5">
        <v>3413.4</v>
      </c>
      <c r="CD139" s="5">
        <v>3533.4</v>
      </c>
      <c r="CE139" s="5">
        <v>3703</v>
      </c>
      <c r="CF139" s="5">
        <v>3724.2</v>
      </c>
      <c r="CG139" s="5">
        <v>3840.4</v>
      </c>
      <c r="CH139" s="5">
        <v>3995.5</v>
      </c>
      <c r="CI139" s="5">
        <v>4419.5</v>
      </c>
      <c r="CJ139" s="5">
        <v>4984.8999999999996</v>
      </c>
      <c r="CK139" s="5">
        <v>5868.1</v>
      </c>
      <c r="CL139" s="5">
        <v>5886.4</v>
      </c>
      <c r="CM139" s="5">
        <v>5822.6</v>
      </c>
      <c r="CN139" s="5">
        <v>5851.3</v>
      </c>
      <c r="CO139" s="5">
        <v>6711.4</v>
      </c>
      <c r="CP139" s="5">
        <v>6734.6</v>
      </c>
      <c r="CQ139" s="5">
        <v>8347.2000000000007</v>
      </c>
      <c r="CR139" s="5">
        <v>8429.5</v>
      </c>
      <c r="CS139" s="5">
        <v>8999.2999999999993</v>
      </c>
      <c r="CT139" s="5">
        <v>9111.1</v>
      </c>
    </row>
    <row r="140" spans="1:98" ht="25.5">
      <c r="A140" s="2" t="s">
        <v>236</v>
      </c>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v>3000</v>
      </c>
      <c r="BY140" s="3"/>
      <c r="BZ140" s="3"/>
      <c r="CA140" s="3"/>
      <c r="CB140" s="3">
        <v>3152.9</v>
      </c>
      <c r="CC140" s="3">
        <v>3243</v>
      </c>
      <c r="CD140" s="3">
        <v>3302.5</v>
      </c>
      <c r="CE140" s="3">
        <v>3425</v>
      </c>
      <c r="CF140" s="3">
        <v>3492.4</v>
      </c>
      <c r="CG140" s="3">
        <v>3908.5</v>
      </c>
      <c r="CH140" s="3">
        <v>4351.1000000000004</v>
      </c>
      <c r="CI140" s="3">
        <v>4445.2</v>
      </c>
      <c r="CJ140" s="3">
        <v>4770.5</v>
      </c>
      <c r="CK140" s="3">
        <v>4996.3999999999996</v>
      </c>
      <c r="CL140" s="3">
        <v>4997.2</v>
      </c>
      <c r="CM140" s="3">
        <v>5068</v>
      </c>
      <c r="CN140" s="3">
        <v>5068.5</v>
      </c>
      <c r="CO140" s="3">
        <v>5729.5</v>
      </c>
      <c r="CP140" s="3">
        <v>5478.1</v>
      </c>
      <c r="CQ140" s="3">
        <v>6134.6</v>
      </c>
      <c r="CR140" s="3">
        <v>7296.6</v>
      </c>
      <c r="CS140" s="3">
        <v>7852.3</v>
      </c>
      <c r="CT140" s="3">
        <v>8074.7</v>
      </c>
    </row>
    <row r="141" spans="1:98" ht="25.5">
      <c r="A141" s="4" t="s">
        <v>237</v>
      </c>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v>3000</v>
      </c>
      <c r="BY141" s="5"/>
      <c r="BZ141" s="5"/>
      <c r="CA141" s="5"/>
      <c r="CB141" s="5">
        <v>3522</v>
      </c>
      <c r="CC141" s="5">
        <v>3846</v>
      </c>
      <c r="CD141" s="5">
        <v>3969</v>
      </c>
      <c r="CE141" s="5">
        <v>4929</v>
      </c>
      <c r="CF141" s="5">
        <v>5282.7</v>
      </c>
      <c r="CG141" s="5">
        <v>5100.2</v>
      </c>
      <c r="CH141" s="5">
        <v>5231.5</v>
      </c>
      <c r="CI141" s="5">
        <v>5707.8</v>
      </c>
      <c r="CJ141" s="5">
        <v>6342.9</v>
      </c>
      <c r="CK141" s="5">
        <v>7123.1</v>
      </c>
      <c r="CL141" s="5">
        <v>7130.2</v>
      </c>
      <c r="CM141" s="5">
        <v>7384.5</v>
      </c>
      <c r="CN141" s="5">
        <v>8680.5</v>
      </c>
      <c r="CO141" s="5">
        <v>10049</v>
      </c>
      <c r="CP141" s="5">
        <v>10543.2</v>
      </c>
      <c r="CQ141" s="5">
        <v>10546.8</v>
      </c>
      <c r="CR141" s="5">
        <v>12487.2</v>
      </c>
      <c r="CS141" s="5">
        <v>13411.7</v>
      </c>
      <c r="CT141" s="5">
        <v>13786.4</v>
      </c>
    </row>
    <row r="142" spans="1:98" ht="25.5">
      <c r="A142" s="2" t="s">
        <v>238</v>
      </c>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v>3000</v>
      </c>
      <c r="BY142" s="3"/>
      <c r="BZ142" s="3"/>
      <c r="CA142" s="3"/>
      <c r="CB142" s="3">
        <v>3600.4</v>
      </c>
      <c r="CC142" s="3">
        <v>4050.2</v>
      </c>
      <c r="CD142" s="3">
        <v>4199.3999999999996</v>
      </c>
      <c r="CE142" s="3">
        <v>4598</v>
      </c>
      <c r="CF142" s="3">
        <v>4472.3999999999996</v>
      </c>
      <c r="CG142" s="3">
        <v>4959.1000000000004</v>
      </c>
      <c r="CH142" s="3">
        <v>5504.6</v>
      </c>
      <c r="CI142" s="3">
        <v>6008.5</v>
      </c>
      <c r="CJ142" s="3">
        <v>6680.5</v>
      </c>
      <c r="CK142" s="3">
        <v>6681.7</v>
      </c>
      <c r="CL142" s="3">
        <v>6681.9</v>
      </c>
      <c r="CM142" s="3">
        <v>6682.6</v>
      </c>
      <c r="CN142" s="3">
        <v>7864.1</v>
      </c>
      <c r="CO142" s="3">
        <v>9217.4</v>
      </c>
      <c r="CP142" s="3">
        <v>8958.5</v>
      </c>
      <c r="CQ142" s="3">
        <v>9233.2000000000007</v>
      </c>
      <c r="CR142" s="3">
        <v>9233.5</v>
      </c>
      <c r="CS142" s="3">
        <v>9830.7999999999993</v>
      </c>
      <c r="CT142" s="3">
        <v>9970.7999999999993</v>
      </c>
    </row>
    <row r="143" spans="1:98" ht="25.5">
      <c r="A143" s="4" t="s">
        <v>239</v>
      </c>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v>3000</v>
      </c>
      <c r="BY143" s="5"/>
      <c r="BZ143" s="5"/>
      <c r="CA143" s="5"/>
      <c r="CB143" s="5">
        <v>3715.1</v>
      </c>
      <c r="CC143" s="5">
        <v>4050.5</v>
      </c>
      <c r="CD143" s="5">
        <v>4200.7</v>
      </c>
      <c r="CE143" s="5">
        <v>4604</v>
      </c>
      <c r="CF143" s="5">
        <v>4477.8999999999996</v>
      </c>
      <c r="CG143" s="5">
        <v>4982.3999999999996</v>
      </c>
      <c r="CH143" s="5">
        <v>5545.7</v>
      </c>
      <c r="CI143" s="5">
        <v>6049.8</v>
      </c>
      <c r="CJ143" s="5">
        <v>6721.9</v>
      </c>
      <c r="CK143" s="5">
        <v>7463.4</v>
      </c>
      <c r="CL143" s="5">
        <v>7464.3</v>
      </c>
      <c r="CM143" s="5">
        <v>7542</v>
      </c>
      <c r="CN143" s="5">
        <v>7914.5</v>
      </c>
      <c r="CO143" s="5">
        <v>8708.6</v>
      </c>
      <c r="CP143" s="5">
        <v>8709.7000000000007</v>
      </c>
      <c r="CQ143" s="5">
        <v>9294</v>
      </c>
      <c r="CR143" s="5">
        <v>9295.2000000000007</v>
      </c>
      <c r="CS143" s="5">
        <v>9895.4</v>
      </c>
      <c r="CT143" s="5">
        <v>10036.200000000001</v>
      </c>
    </row>
    <row r="144" spans="1:98">
      <c r="A144" s="2" t="s">
        <v>240</v>
      </c>
      <c r="B144" s="3"/>
      <c r="C144" s="3"/>
      <c r="D144" s="3"/>
      <c r="E144" s="3"/>
      <c r="F144" s="3">
        <v>117.5</v>
      </c>
      <c r="G144" s="3">
        <v>135.5</v>
      </c>
      <c r="H144" s="3">
        <v>139.6</v>
      </c>
      <c r="I144" s="3">
        <v>142.69999999999999</v>
      </c>
      <c r="J144" s="3">
        <v>142.4</v>
      </c>
      <c r="K144" s="3">
        <v>151</v>
      </c>
      <c r="L144" s="3">
        <v>153.30000000000001</v>
      </c>
      <c r="M144" s="3">
        <v>156.5</v>
      </c>
      <c r="N144" s="3">
        <v>157.5</v>
      </c>
      <c r="O144" s="3">
        <v>170.4</v>
      </c>
      <c r="P144" s="3">
        <v>172.3</v>
      </c>
      <c r="Q144" s="3">
        <v>173.4</v>
      </c>
      <c r="R144" s="3">
        <v>173.7</v>
      </c>
      <c r="S144" s="3">
        <v>191.1</v>
      </c>
      <c r="T144" s="3">
        <v>193.5</v>
      </c>
      <c r="U144" s="3">
        <v>201.4</v>
      </c>
      <c r="V144" s="3">
        <v>206.8</v>
      </c>
      <c r="W144" s="3">
        <v>228.9</v>
      </c>
      <c r="X144" s="3">
        <v>231.7</v>
      </c>
      <c r="Y144" s="3">
        <v>234.6</v>
      </c>
      <c r="Z144" s="3">
        <v>235.1</v>
      </c>
      <c r="AA144" s="3">
        <v>252.2</v>
      </c>
      <c r="AB144" s="3">
        <v>255.5</v>
      </c>
      <c r="AC144" s="3">
        <v>258.89999999999998</v>
      </c>
      <c r="AD144" s="3">
        <v>261.8</v>
      </c>
      <c r="AE144" s="3">
        <v>279</v>
      </c>
      <c r="AF144" s="3">
        <v>280.60000000000002</v>
      </c>
      <c r="AG144" s="3">
        <v>286.39999999999998</v>
      </c>
      <c r="AH144" s="3">
        <v>316.3</v>
      </c>
      <c r="AI144" s="3">
        <v>334.2</v>
      </c>
      <c r="AJ144" s="3">
        <v>344.5</v>
      </c>
      <c r="AK144" s="3">
        <v>354.9</v>
      </c>
      <c r="AL144" s="3">
        <v>364.4</v>
      </c>
      <c r="AM144" s="3">
        <v>402.5</v>
      </c>
      <c r="AN144" s="3">
        <v>423</v>
      </c>
      <c r="AO144" s="3">
        <v>456</v>
      </c>
      <c r="AP144" s="3">
        <v>470.1</v>
      </c>
      <c r="AQ144" s="3">
        <v>525.79999999999995</v>
      </c>
      <c r="AR144" s="3">
        <v>536.1</v>
      </c>
      <c r="AS144" s="3">
        <v>547</v>
      </c>
      <c r="AT144" s="3">
        <v>558</v>
      </c>
      <c r="AU144" s="3">
        <v>641.4</v>
      </c>
      <c r="AV144" s="3">
        <v>652.9</v>
      </c>
      <c r="AW144" s="3">
        <v>661.4</v>
      </c>
      <c r="AX144" s="3">
        <v>670.4</v>
      </c>
      <c r="AY144" s="3">
        <v>671</v>
      </c>
      <c r="AZ144" s="3">
        <v>672</v>
      </c>
      <c r="BA144" s="3">
        <v>673</v>
      </c>
      <c r="BB144" s="3">
        <v>674</v>
      </c>
      <c r="BC144" s="3">
        <v>675</v>
      </c>
      <c r="BD144" s="3">
        <v>676</v>
      </c>
      <c r="BE144" s="3">
        <v>677</v>
      </c>
      <c r="BF144" s="3">
        <v>678</v>
      </c>
      <c r="BG144" s="3">
        <v>679</v>
      </c>
      <c r="BH144" s="3">
        <v>680</v>
      </c>
      <c r="BI144" s="3">
        <v>681</v>
      </c>
      <c r="BJ144" s="3">
        <v>682</v>
      </c>
      <c r="BK144" s="3">
        <v>683</v>
      </c>
      <c r="BL144" s="3">
        <v>686</v>
      </c>
      <c r="BM144" s="3">
        <v>684</v>
      </c>
      <c r="BN144" s="3">
        <v>687</v>
      </c>
      <c r="BO144" s="3">
        <v>685</v>
      </c>
      <c r="BP144" s="3">
        <v>686</v>
      </c>
      <c r="BQ144" s="3">
        <v>688</v>
      </c>
      <c r="BR144" s="3">
        <v>689</v>
      </c>
      <c r="BS144" s="3">
        <v>690</v>
      </c>
      <c r="BT144" s="3">
        <v>691</v>
      </c>
      <c r="BU144" s="3">
        <v>692</v>
      </c>
      <c r="BV144" s="3">
        <v>696</v>
      </c>
      <c r="BW144" s="3">
        <v>693</v>
      </c>
      <c r="BX144" s="3">
        <v>697</v>
      </c>
      <c r="BY144" s="3">
        <v>694</v>
      </c>
      <c r="BZ144" s="3">
        <v>695</v>
      </c>
      <c r="CA144" s="3">
        <v>698</v>
      </c>
      <c r="CB144" s="3">
        <v>699</v>
      </c>
      <c r="CC144" s="3">
        <v>700</v>
      </c>
      <c r="CD144" s="3">
        <v>701</v>
      </c>
      <c r="CE144" s="3">
        <v>702</v>
      </c>
      <c r="CF144" s="3">
        <v>703</v>
      </c>
      <c r="CG144" s="3">
        <v>704</v>
      </c>
      <c r="CH144" s="3">
        <v>705</v>
      </c>
      <c r="CI144" s="3">
        <v>705</v>
      </c>
      <c r="CJ144" s="3">
        <v>705</v>
      </c>
      <c r="CK144" s="3">
        <v>706</v>
      </c>
      <c r="CL144" s="3">
        <v>707</v>
      </c>
      <c r="CM144" s="3">
        <v>708</v>
      </c>
      <c r="CN144" s="3">
        <v>709</v>
      </c>
      <c r="CO144" s="3">
        <v>710</v>
      </c>
      <c r="CP144" s="3">
        <v>711</v>
      </c>
      <c r="CQ144" s="3">
        <v>712</v>
      </c>
      <c r="CR144" s="3">
        <v>713</v>
      </c>
      <c r="CS144" s="3">
        <v>713</v>
      </c>
      <c r="CT144" s="3">
        <v>713</v>
      </c>
    </row>
    <row r="145" spans="1:98">
      <c r="A145" s="4" t="s">
        <v>241</v>
      </c>
      <c r="B145" s="5"/>
      <c r="C145" s="5"/>
      <c r="D145" s="5"/>
      <c r="E145" s="5"/>
      <c r="F145" s="5">
        <v>117.4</v>
      </c>
      <c r="G145" s="5">
        <v>134.19999999999999</v>
      </c>
      <c r="H145" s="5">
        <v>138.1</v>
      </c>
      <c r="I145" s="5">
        <v>140.6</v>
      </c>
      <c r="J145" s="5">
        <v>140.6</v>
      </c>
      <c r="K145" s="5">
        <v>148.5</v>
      </c>
      <c r="L145" s="5">
        <v>150.5</v>
      </c>
      <c r="M145" s="5">
        <v>153.4</v>
      </c>
      <c r="N145" s="5">
        <v>154.4</v>
      </c>
      <c r="O145" s="5">
        <v>166.9</v>
      </c>
      <c r="P145" s="5">
        <v>168.7</v>
      </c>
      <c r="Q145" s="5">
        <v>169.8</v>
      </c>
      <c r="R145" s="5">
        <v>170.1</v>
      </c>
      <c r="S145" s="5">
        <v>186.9</v>
      </c>
      <c r="T145" s="5">
        <v>189.2</v>
      </c>
      <c r="U145" s="5">
        <v>195.5</v>
      </c>
      <c r="V145" s="5">
        <v>200.5</v>
      </c>
      <c r="W145" s="5">
        <v>222.1</v>
      </c>
      <c r="X145" s="5">
        <v>224.4</v>
      </c>
      <c r="Y145" s="5">
        <v>228.5</v>
      </c>
      <c r="Z145" s="5">
        <v>229.6</v>
      </c>
      <c r="AA145" s="5">
        <v>245.4</v>
      </c>
      <c r="AB145" s="5">
        <v>248.6</v>
      </c>
      <c r="AC145" s="5">
        <v>253.1</v>
      </c>
      <c r="AD145" s="5">
        <v>256.3</v>
      </c>
      <c r="AE145" s="5">
        <v>274.3</v>
      </c>
      <c r="AF145" s="5">
        <v>276.3</v>
      </c>
      <c r="AG145" s="5">
        <v>279.89999999999998</v>
      </c>
      <c r="AH145" s="5">
        <v>307.3</v>
      </c>
      <c r="AI145" s="5">
        <v>324.60000000000002</v>
      </c>
      <c r="AJ145" s="5">
        <v>332.7</v>
      </c>
      <c r="AK145" s="5">
        <v>343.6</v>
      </c>
      <c r="AL145" s="5">
        <v>352.5</v>
      </c>
      <c r="AM145" s="5">
        <v>388.2</v>
      </c>
      <c r="AN145" s="5">
        <v>406.8</v>
      </c>
      <c r="AO145" s="5">
        <v>438.2</v>
      </c>
      <c r="AP145" s="5">
        <v>451.5</v>
      </c>
      <c r="AQ145" s="5">
        <v>504</v>
      </c>
      <c r="AR145" s="5">
        <v>514.70000000000005</v>
      </c>
      <c r="AS145" s="5">
        <v>529.6</v>
      </c>
      <c r="AT145" s="5">
        <v>543.1</v>
      </c>
      <c r="AU145" s="5">
        <v>620.29999999999995</v>
      </c>
      <c r="AV145" s="5">
        <v>631.79999999999995</v>
      </c>
      <c r="AW145" s="5">
        <v>640.1</v>
      </c>
      <c r="AX145" s="5">
        <v>649</v>
      </c>
      <c r="AY145" s="5">
        <v>710.4</v>
      </c>
      <c r="AZ145" s="5">
        <v>715.8</v>
      </c>
      <c r="BA145" s="5">
        <v>719.8</v>
      </c>
      <c r="BB145" s="5">
        <v>724.1</v>
      </c>
      <c r="BC145" s="5">
        <v>778.6</v>
      </c>
      <c r="BD145" s="5">
        <v>785.8</v>
      </c>
      <c r="BE145" s="5">
        <v>793</v>
      </c>
      <c r="BF145" s="5">
        <v>800.3</v>
      </c>
      <c r="BG145" s="5">
        <v>865.6</v>
      </c>
      <c r="BH145" s="5">
        <v>869.9</v>
      </c>
      <c r="BI145" s="5">
        <v>884.2</v>
      </c>
      <c r="BJ145" s="5">
        <v>892.2</v>
      </c>
      <c r="BK145" s="5">
        <v>1017.1</v>
      </c>
      <c r="BL145" s="5">
        <v>1139.7</v>
      </c>
      <c r="BM145" s="5">
        <v>1081.3</v>
      </c>
      <c r="BN145" s="5">
        <v>1181.7</v>
      </c>
      <c r="BO145" s="5">
        <v>1101.9000000000001</v>
      </c>
      <c r="BP145" s="5">
        <v>1121.9000000000001</v>
      </c>
      <c r="BQ145" s="5">
        <v>1415.9</v>
      </c>
      <c r="BR145" s="5">
        <v>1488.2</v>
      </c>
      <c r="BS145" s="5">
        <v>1527.7</v>
      </c>
      <c r="BT145" s="5">
        <v>1579</v>
      </c>
      <c r="BU145" s="5">
        <v>1903.4</v>
      </c>
      <c r="BV145" s="5">
        <v>2459</v>
      </c>
      <c r="BW145" s="5">
        <v>2115.8000000000002</v>
      </c>
      <c r="BX145" s="5">
        <v>2587.5</v>
      </c>
      <c r="BY145" s="5">
        <v>2153.6</v>
      </c>
      <c r="BZ145" s="5">
        <v>2232.8000000000002</v>
      </c>
      <c r="CA145" s="5">
        <v>3374.4</v>
      </c>
      <c r="CB145" s="5">
        <v>3578</v>
      </c>
      <c r="CC145" s="5">
        <v>3593.4</v>
      </c>
      <c r="CD145" s="5">
        <v>3648.6</v>
      </c>
      <c r="CE145" s="5">
        <v>4690.8999999999996</v>
      </c>
      <c r="CF145" s="5">
        <v>4802.1000000000004</v>
      </c>
      <c r="CG145" s="5">
        <v>5030.8999999999996</v>
      </c>
      <c r="CH145" s="5">
        <v>5313.8</v>
      </c>
      <c r="CI145" s="5">
        <v>5313.8</v>
      </c>
      <c r="CJ145" s="5">
        <v>5313.8</v>
      </c>
      <c r="CK145" s="5">
        <v>6503.1</v>
      </c>
      <c r="CL145" s="5">
        <v>6761.5</v>
      </c>
      <c r="CM145" s="5">
        <v>6905.4</v>
      </c>
      <c r="CN145" s="5">
        <v>7105.3</v>
      </c>
      <c r="CO145" s="5">
        <v>8734.6</v>
      </c>
      <c r="CP145" s="5">
        <v>9122.7000000000007</v>
      </c>
      <c r="CQ145" s="5">
        <v>9126.5</v>
      </c>
      <c r="CR145" s="5">
        <v>9596.2000000000007</v>
      </c>
      <c r="CS145" s="5">
        <v>9693</v>
      </c>
      <c r="CT145" s="5">
        <v>9807.1</v>
      </c>
    </row>
    <row r="146" spans="1:98">
      <c r="A146" s="2" t="s">
        <v>242</v>
      </c>
      <c r="B146" s="3"/>
      <c r="C146" s="3"/>
      <c r="D146" s="3"/>
      <c r="E146" s="3"/>
      <c r="F146" s="3">
        <v>118</v>
      </c>
      <c r="G146" s="3">
        <v>135.69999999999999</v>
      </c>
      <c r="H146" s="3">
        <v>139.19999999999999</v>
      </c>
      <c r="I146" s="3">
        <v>142.80000000000001</v>
      </c>
      <c r="J146" s="3">
        <v>142.80000000000001</v>
      </c>
      <c r="K146" s="3">
        <v>150.1</v>
      </c>
      <c r="L146" s="3">
        <v>152.30000000000001</v>
      </c>
      <c r="M146" s="3">
        <v>155.5</v>
      </c>
      <c r="N146" s="3">
        <v>156.5</v>
      </c>
      <c r="O146" s="3">
        <v>169.2</v>
      </c>
      <c r="P146" s="3">
        <v>171</v>
      </c>
      <c r="Q146" s="3">
        <v>172</v>
      </c>
      <c r="R146" s="3">
        <v>172.3</v>
      </c>
      <c r="S146" s="3">
        <v>189.6</v>
      </c>
      <c r="T146" s="3">
        <v>192</v>
      </c>
      <c r="U146" s="3">
        <v>199.2</v>
      </c>
      <c r="V146" s="3">
        <v>204.4</v>
      </c>
      <c r="W146" s="3">
        <v>226.1</v>
      </c>
      <c r="X146" s="3">
        <v>228.7</v>
      </c>
      <c r="Y146" s="3">
        <v>232.3</v>
      </c>
      <c r="Z146" s="3">
        <v>233.1</v>
      </c>
      <c r="AA146" s="3">
        <v>249.8</v>
      </c>
      <c r="AB146" s="3">
        <v>253.2</v>
      </c>
      <c r="AC146" s="3">
        <v>257</v>
      </c>
      <c r="AD146" s="3">
        <v>260</v>
      </c>
      <c r="AE146" s="3">
        <v>277.5</v>
      </c>
      <c r="AF146" s="3">
        <v>279.3</v>
      </c>
      <c r="AG146" s="3">
        <v>284.10000000000002</v>
      </c>
      <c r="AH146" s="3">
        <v>315.39999999999998</v>
      </c>
      <c r="AI146" s="3">
        <v>332.9</v>
      </c>
      <c r="AJ146" s="3">
        <v>342.4</v>
      </c>
      <c r="AK146" s="3">
        <v>353.2</v>
      </c>
      <c r="AL146" s="3">
        <v>362.5</v>
      </c>
      <c r="AM146" s="3">
        <v>400.1</v>
      </c>
      <c r="AN146" s="3">
        <v>419.5</v>
      </c>
      <c r="AO146" s="3">
        <v>451.3</v>
      </c>
      <c r="AP146" s="3">
        <v>465.2</v>
      </c>
      <c r="AQ146" s="3">
        <v>520.1</v>
      </c>
      <c r="AR146" s="3">
        <v>531.20000000000005</v>
      </c>
      <c r="AS146" s="3">
        <v>541.9</v>
      </c>
      <c r="AT146" s="3">
        <v>552.9</v>
      </c>
      <c r="AU146" s="3">
        <v>633.9</v>
      </c>
      <c r="AV146" s="3">
        <v>645.6</v>
      </c>
      <c r="AW146" s="3">
        <v>654.1</v>
      </c>
      <c r="AX146" s="3">
        <v>663</v>
      </c>
      <c r="AY146" s="3">
        <v>725.1</v>
      </c>
      <c r="AZ146" s="3">
        <v>730.6</v>
      </c>
      <c r="BA146" s="3">
        <v>734.8</v>
      </c>
      <c r="BB146" s="3">
        <v>738.9</v>
      </c>
      <c r="BC146" s="3">
        <v>792.8</v>
      </c>
      <c r="BD146" s="3">
        <v>800.2</v>
      </c>
      <c r="BE146" s="3">
        <v>807.5</v>
      </c>
      <c r="BF146" s="3">
        <v>814.9</v>
      </c>
      <c r="BG146" s="3">
        <v>882.5</v>
      </c>
      <c r="BH146" s="3">
        <v>885.4</v>
      </c>
      <c r="BI146" s="3">
        <v>901.6</v>
      </c>
      <c r="BJ146" s="3">
        <v>909.8</v>
      </c>
      <c r="BK146" s="3">
        <v>1036.5</v>
      </c>
      <c r="BL146" s="3">
        <v>1164</v>
      </c>
      <c r="BM146" s="3">
        <v>1103.0999999999999</v>
      </c>
      <c r="BN146" s="3">
        <v>1205.5</v>
      </c>
      <c r="BO146" s="3">
        <v>1125.4000000000001</v>
      </c>
      <c r="BP146" s="3">
        <v>1146.4000000000001</v>
      </c>
      <c r="BQ146" s="3">
        <v>1449.1</v>
      </c>
      <c r="BR146" s="3">
        <v>1522.7</v>
      </c>
      <c r="BS146" s="3">
        <v>1567.2</v>
      </c>
      <c r="BT146" s="3">
        <v>1622.6</v>
      </c>
      <c r="BU146" s="3">
        <v>1971.2</v>
      </c>
      <c r="BV146" s="3">
        <v>2552</v>
      </c>
      <c r="BW146" s="3">
        <v>2198.1</v>
      </c>
      <c r="BX146" s="3">
        <v>2684.2</v>
      </c>
      <c r="BY146" s="3">
        <v>2237.6999999999998</v>
      </c>
      <c r="BZ146" s="3">
        <v>2321</v>
      </c>
      <c r="CA146" s="3">
        <v>3507.3</v>
      </c>
      <c r="CB146" s="3">
        <v>3712.1</v>
      </c>
      <c r="CC146" s="3">
        <v>3736.4</v>
      </c>
      <c r="CD146" s="3">
        <v>3795.5</v>
      </c>
      <c r="CE146" s="3">
        <v>4827.8999999999996</v>
      </c>
      <c r="CF146" s="3">
        <v>4941.7</v>
      </c>
      <c r="CG146" s="3">
        <v>5279.8</v>
      </c>
      <c r="CH146" s="3">
        <v>5552.8</v>
      </c>
      <c r="CI146" s="3">
        <v>5552.8</v>
      </c>
      <c r="CJ146" s="3">
        <v>5552.8</v>
      </c>
      <c r="CK146" s="3">
        <v>6791.1</v>
      </c>
      <c r="CL146" s="3">
        <v>7057.6</v>
      </c>
      <c r="CM146" s="3">
        <v>7196.4</v>
      </c>
      <c r="CN146" s="3">
        <v>7401.9</v>
      </c>
      <c r="CO146" s="3">
        <v>9104.2999999999993</v>
      </c>
      <c r="CP146" s="3">
        <v>9496.6</v>
      </c>
      <c r="CQ146" s="3">
        <v>9511.4</v>
      </c>
      <c r="CR146" s="3">
        <v>10014.799999999999</v>
      </c>
      <c r="CS146" s="3">
        <v>10118.4</v>
      </c>
      <c r="CT146" s="3">
        <v>10244.200000000001</v>
      </c>
    </row>
    <row r="147" spans="1:98">
      <c r="A147" s="4" t="s">
        <v>243</v>
      </c>
      <c r="B147" s="5"/>
      <c r="C147" s="5"/>
      <c r="D147" s="5"/>
      <c r="E147" s="5"/>
      <c r="F147" s="5">
        <v>116.2</v>
      </c>
      <c r="G147" s="5">
        <v>133.19999999999999</v>
      </c>
      <c r="H147" s="5">
        <v>136.9</v>
      </c>
      <c r="I147" s="5">
        <v>139.6</v>
      </c>
      <c r="J147" s="5">
        <v>139.6</v>
      </c>
      <c r="K147" s="5">
        <v>146.30000000000001</v>
      </c>
      <c r="L147" s="5">
        <v>148.30000000000001</v>
      </c>
      <c r="M147" s="5">
        <v>151.6</v>
      </c>
      <c r="N147" s="5">
        <v>152.69999999999999</v>
      </c>
      <c r="O147" s="5">
        <v>166.6</v>
      </c>
      <c r="P147" s="5">
        <v>168.3</v>
      </c>
      <c r="Q147" s="5">
        <v>170.6</v>
      </c>
      <c r="R147" s="5">
        <v>171.7</v>
      </c>
      <c r="S147" s="5">
        <v>188.6</v>
      </c>
      <c r="T147" s="5">
        <v>192.6</v>
      </c>
      <c r="U147" s="5">
        <v>199.7</v>
      </c>
      <c r="V147" s="5">
        <v>205.2</v>
      </c>
      <c r="W147" s="5">
        <v>227.4</v>
      </c>
      <c r="X147" s="5">
        <v>231.7</v>
      </c>
      <c r="Y147" s="5">
        <v>235.5</v>
      </c>
      <c r="Z147" s="5">
        <v>236.2</v>
      </c>
      <c r="AA147" s="5">
        <v>253.4</v>
      </c>
      <c r="AB147" s="5">
        <v>256.10000000000002</v>
      </c>
      <c r="AC147" s="5">
        <v>259.60000000000002</v>
      </c>
      <c r="AD147" s="5">
        <v>262.7</v>
      </c>
      <c r="AE147" s="5">
        <v>281.39999999999998</v>
      </c>
      <c r="AF147" s="5">
        <v>283.10000000000002</v>
      </c>
      <c r="AG147" s="5">
        <v>288.8</v>
      </c>
      <c r="AH147" s="5">
        <v>306</v>
      </c>
      <c r="AI147" s="5">
        <v>324.5</v>
      </c>
      <c r="AJ147" s="5">
        <v>332.1</v>
      </c>
      <c r="AK147" s="5">
        <v>341.6</v>
      </c>
      <c r="AL147" s="5">
        <v>347.5</v>
      </c>
      <c r="AM147" s="5">
        <v>387.2</v>
      </c>
      <c r="AN147" s="5">
        <v>403</v>
      </c>
      <c r="AO147" s="5">
        <v>439.2</v>
      </c>
      <c r="AP147" s="5">
        <v>449.1</v>
      </c>
      <c r="AQ147" s="5">
        <v>501.3</v>
      </c>
      <c r="AR147" s="5">
        <v>510.3</v>
      </c>
      <c r="AS147" s="5">
        <v>524.5</v>
      </c>
      <c r="AT147" s="5">
        <v>534.20000000000005</v>
      </c>
      <c r="AU147" s="5">
        <v>611.9</v>
      </c>
      <c r="AV147" s="5">
        <v>624.79999999999995</v>
      </c>
      <c r="AW147" s="5">
        <v>635</v>
      </c>
      <c r="AX147" s="5">
        <v>643.6</v>
      </c>
      <c r="AY147" s="5">
        <v>703.1</v>
      </c>
      <c r="AZ147" s="5">
        <v>708.4</v>
      </c>
      <c r="BA147" s="5">
        <v>712.9</v>
      </c>
      <c r="BB147" s="5">
        <v>717.6</v>
      </c>
      <c r="BC147" s="5">
        <v>769.1</v>
      </c>
      <c r="BD147" s="5">
        <v>775.7</v>
      </c>
      <c r="BE147" s="5">
        <v>782.4</v>
      </c>
      <c r="BF147" s="5">
        <v>789</v>
      </c>
      <c r="BG147" s="5">
        <v>854.3</v>
      </c>
      <c r="BH147" s="5">
        <v>856.9</v>
      </c>
      <c r="BI147" s="5">
        <v>873.9</v>
      </c>
      <c r="BJ147" s="5">
        <v>881.3</v>
      </c>
      <c r="BK147" s="5">
        <v>1001.8</v>
      </c>
      <c r="BL147" s="5">
        <v>1102.0999999999999</v>
      </c>
      <c r="BM147" s="5">
        <v>1054.2</v>
      </c>
      <c r="BN147" s="5">
        <v>1134.9000000000001</v>
      </c>
      <c r="BO147" s="5">
        <v>1065.5</v>
      </c>
      <c r="BP147" s="5">
        <v>1076.4000000000001</v>
      </c>
      <c r="BQ147" s="5">
        <v>1374.9</v>
      </c>
      <c r="BR147" s="5">
        <v>1435.8</v>
      </c>
      <c r="BS147" s="5">
        <v>1465.2</v>
      </c>
      <c r="BT147" s="5">
        <v>1506</v>
      </c>
      <c r="BU147" s="5">
        <v>1853.7</v>
      </c>
      <c r="BV147" s="5">
        <v>2296.9</v>
      </c>
      <c r="BW147" s="5">
        <v>2035.8</v>
      </c>
      <c r="BX147" s="5">
        <v>2462.5</v>
      </c>
      <c r="BY147" s="5">
        <v>2056.4</v>
      </c>
      <c r="BZ147" s="5">
        <v>2099.6</v>
      </c>
      <c r="CA147" s="5">
        <v>3227.6</v>
      </c>
      <c r="CB147" s="5">
        <v>3434.8</v>
      </c>
      <c r="CC147" s="5">
        <v>3434.8</v>
      </c>
      <c r="CD147" s="5">
        <v>3496.3</v>
      </c>
      <c r="CE147" s="5">
        <v>4401.8</v>
      </c>
      <c r="CF147" s="5">
        <v>4485.8</v>
      </c>
      <c r="CG147" s="5">
        <v>4870.3</v>
      </c>
      <c r="CH147" s="5">
        <v>5076.6000000000004</v>
      </c>
      <c r="CI147" s="5">
        <v>5076.6000000000004</v>
      </c>
      <c r="CJ147" s="5">
        <v>5076.6000000000004</v>
      </c>
      <c r="CK147" s="5">
        <v>6193.5</v>
      </c>
      <c r="CL147" s="5">
        <v>6401.6</v>
      </c>
      <c r="CM147" s="5">
        <v>6619.9</v>
      </c>
      <c r="CN147" s="5">
        <v>6782.3</v>
      </c>
      <c r="CO147" s="5">
        <v>8349</v>
      </c>
      <c r="CP147" s="5">
        <v>8688.1</v>
      </c>
      <c r="CQ147" s="5">
        <v>8864.5</v>
      </c>
      <c r="CR147" s="5">
        <v>9244.2999999999993</v>
      </c>
      <c r="CS147" s="5">
        <v>9325.7000000000007</v>
      </c>
      <c r="CT147" s="5">
        <v>9413.7999999999993</v>
      </c>
    </row>
    <row r="148" spans="1:98">
      <c r="A148" s="2" t="s">
        <v>244</v>
      </c>
      <c r="B148" s="3"/>
      <c r="C148" s="3"/>
      <c r="D148" s="3"/>
      <c r="E148" s="3"/>
      <c r="F148" s="3">
        <v>121.8</v>
      </c>
      <c r="G148" s="3">
        <v>151.69999999999999</v>
      </c>
      <c r="H148" s="3">
        <v>157.80000000000001</v>
      </c>
      <c r="I148" s="3">
        <v>161.30000000000001</v>
      </c>
      <c r="J148" s="3">
        <v>161.30000000000001</v>
      </c>
      <c r="K148" s="3">
        <v>166.5</v>
      </c>
      <c r="L148" s="3">
        <v>169.5</v>
      </c>
      <c r="M148" s="3">
        <v>174.3</v>
      </c>
      <c r="N148" s="3">
        <v>175.8</v>
      </c>
      <c r="O148" s="3">
        <v>185.9</v>
      </c>
      <c r="P148" s="3">
        <v>186.9</v>
      </c>
      <c r="Q148" s="3">
        <v>188</v>
      </c>
      <c r="R148" s="3">
        <v>188.4</v>
      </c>
      <c r="S148" s="3">
        <v>203</v>
      </c>
      <c r="T148" s="3">
        <v>205.7</v>
      </c>
      <c r="U148" s="3">
        <v>214.5</v>
      </c>
      <c r="V148" s="3">
        <v>223.5</v>
      </c>
      <c r="W148" s="3">
        <v>242.6</v>
      </c>
      <c r="X148" s="3">
        <v>245.9</v>
      </c>
      <c r="Y148" s="3">
        <v>247</v>
      </c>
      <c r="Z148" s="3">
        <v>247.2</v>
      </c>
      <c r="AA148" s="3">
        <v>255.9</v>
      </c>
      <c r="AB148" s="3">
        <v>261.39999999999998</v>
      </c>
      <c r="AC148" s="3">
        <v>262.2</v>
      </c>
      <c r="AD148" s="3">
        <v>263</v>
      </c>
      <c r="AE148" s="3">
        <v>277.89999999999998</v>
      </c>
      <c r="AF148" s="3">
        <v>279.3</v>
      </c>
      <c r="AG148" s="3">
        <v>279.39999999999998</v>
      </c>
      <c r="AH148" s="3">
        <v>355.3</v>
      </c>
      <c r="AI148" s="3">
        <v>359.3</v>
      </c>
      <c r="AJ148" s="3">
        <v>376.3</v>
      </c>
      <c r="AK148" s="3">
        <v>400.9</v>
      </c>
      <c r="AL148" s="3">
        <v>423</v>
      </c>
      <c r="AM148" s="3">
        <v>457.8</v>
      </c>
      <c r="AN148" s="3">
        <v>488</v>
      </c>
      <c r="AO148" s="3">
        <v>551.9</v>
      </c>
      <c r="AP148" s="3">
        <v>580.4</v>
      </c>
      <c r="AQ148" s="3">
        <v>626.20000000000005</v>
      </c>
      <c r="AR148" s="3">
        <v>643</v>
      </c>
      <c r="AS148" s="3">
        <v>655.8</v>
      </c>
      <c r="AT148" s="3">
        <v>667.2</v>
      </c>
      <c r="AU148" s="3">
        <v>733.1</v>
      </c>
      <c r="AV148" s="3">
        <v>749</v>
      </c>
      <c r="AW148" s="3">
        <v>754.4</v>
      </c>
      <c r="AX148" s="3">
        <v>761</v>
      </c>
      <c r="AY148" s="3">
        <v>810.6</v>
      </c>
      <c r="AZ148" s="3">
        <v>814.4</v>
      </c>
      <c r="BA148" s="3">
        <v>813.8</v>
      </c>
      <c r="BB148" s="3">
        <v>813.9</v>
      </c>
      <c r="BC148" s="3">
        <v>854.3</v>
      </c>
      <c r="BD148" s="3">
        <v>862.2</v>
      </c>
      <c r="BE148" s="3">
        <v>870.2</v>
      </c>
      <c r="BF148" s="3">
        <v>878.1</v>
      </c>
      <c r="BG148" s="3">
        <v>930.3</v>
      </c>
      <c r="BH148" s="3">
        <v>930.5</v>
      </c>
      <c r="BI148" s="3">
        <v>957.1</v>
      </c>
      <c r="BJ148" s="3">
        <v>965.7</v>
      </c>
      <c r="BK148" s="3">
        <v>1068.8</v>
      </c>
      <c r="BL148" s="3">
        <v>1348.5</v>
      </c>
      <c r="BM148" s="3">
        <v>1210.3</v>
      </c>
      <c r="BN148" s="3">
        <v>1364.8</v>
      </c>
      <c r="BO148" s="3">
        <v>1276.9000000000001</v>
      </c>
      <c r="BP148" s="3">
        <v>1341.7</v>
      </c>
      <c r="BQ148" s="3">
        <v>1570.9</v>
      </c>
      <c r="BR148" s="3">
        <v>1661.8</v>
      </c>
      <c r="BS148" s="3">
        <v>1770.1</v>
      </c>
      <c r="BT148" s="3">
        <v>1875.2</v>
      </c>
      <c r="BU148" s="3">
        <v>2247.1</v>
      </c>
      <c r="BV148" s="3">
        <v>3243.6</v>
      </c>
      <c r="BW148" s="3">
        <v>2628.9</v>
      </c>
      <c r="BX148" s="3">
        <v>3447.1</v>
      </c>
      <c r="BY148" s="3">
        <v>2743.1</v>
      </c>
      <c r="BZ148" s="3">
        <v>2982.5</v>
      </c>
      <c r="CA148" s="3">
        <v>4447.1000000000004</v>
      </c>
      <c r="CB148" s="3">
        <v>4837.8999999999996</v>
      </c>
      <c r="CC148" s="3">
        <v>4900.3999999999996</v>
      </c>
      <c r="CD148" s="3">
        <v>5078.5</v>
      </c>
      <c r="CE148" s="3">
        <v>6297.3</v>
      </c>
      <c r="CF148" s="3">
        <v>6495.4</v>
      </c>
      <c r="CG148" s="3">
        <v>6947.4</v>
      </c>
      <c r="CH148" s="3">
        <v>7384.1</v>
      </c>
      <c r="CI148" s="3">
        <v>7384.1</v>
      </c>
      <c r="CJ148" s="3">
        <v>7384.1</v>
      </c>
      <c r="CK148" s="3">
        <v>8764.9</v>
      </c>
      <c r="CL148" s="3">
        <v>9281.7999999999993</v>
      </c>
      <c r="CM148" s="3">
        <v>9422.1</v>
      </c>
      <c r="CN148" s="3">
        <v>9732.2000000000007</v>
      </c>
      <c r="CO148" s="3">
        <v>11415.9</v>
      </c>
      <c r="CP148" s="3">
        <v>11922</v>
      </c>
      <c r="CQ148" s="3">
        <v>12204.2</v>
      </c>
      <c r="CR148" s="3">
        <v>13206.6</v>
      </c>
      <c r="CS148" s="3">
        <v>13381.8</v>
      </c>
      <c r="CT148" s="3">
        <v>13595.9</v>
      </c>
    </row>
    <row r="149" spans="1:98">
      <c r="A149" s="4" t="s">
        <v>245</v>
      </c>
      <c r="B149" s="5"/>
      <c r="C149" s="5"/>
      <c r="D149" s="5"/>
      <c r="E149" s="5"/>
      <c r="F149" s="5">
        <v>117.5</v>
      </c>
      <c r="G149" s="5">
        <v>135.5</v>
      </c>
      <c r="H149" s="5">
        <v>139.6</v>
      </c>
      <c r="I149" s="5">
        <v>142.69999999999999</v>
      </c>
      <c r="J149" s="5">
        <v>142.4</v>
      </c>
      <c r="K149" s="5">
        <v>151</v>
      </c>
      <c r="L149" s="5">
        <v>153.30000000000001</v>
      </c>
      <c r="M149" s="5">
        <v>156.5</v>
      </c>
      <c r="N149" s="5">
        <v>157.5</v>
      </c>
      <c r="O149" s="5">
        <v>170.5</v>
      </c>
      <c r="P149" s="5">
        <v>172.3</v>
      </c>
      <c r="Q149" s="5">
        <v>173.4</v>
      </c>
      <c r="R149" s="5">
        <v>173.8</v>
      </c>
      <c r="S149" s="5">
        <v>191.2</v>
      </c>
      <c r="T149" s="5">
        <v>193.5</v>
      </c>
      <c r="U149" s="5">
        <v>201.4</v>
      </c>
      <c r="V149" s="5">
        <v>206.8</v>
      </c>
      <c r="W149" s="5">
        <v>228.9</v>
      </c>
      <c r="X149" s="5">
        <v>231.7</v>
      </c>
      <c r="Y149" s="5">
        <v>234.6</v>
      </c>
      <c r="Z149" s="5">
        <v>235.1</v>
      </c>
      <c r="AA149" s="5">
        <v>252.2</v>
      </c>
      <c r="AB149" s="5">
        <v>255.5</v>
      </c>
      <c r="AC149" s="5">
        <v>259</v>
      </c>
      <c r="AD149" s="5">
        <v>261.89999999999998</v>
      </c>
      <c r="AE149" s="5">
        <v>279.10000000000002</v>
      </c>
      <c r="AF149" s="5">
        <v>280.7</v>
      </c>
      <c r="AG149" s="5">
        <v>286.5</v>
      </c>
      <c r="AH149" s="5">
        <v>316.60000000000002</v>
      </c>
      <c r="AI149" s="5">
        <v>334.4</v>
      </c>
      <c r="AJ149" s="5">
        <v>344.7</v>
      </c>
      <c r="AK149" s="5">
        <v>355.1</v>
      </c>
      <c r="AL149" s="5">
        <v>364.7</v>
      </c>
      <c r="AM149" s="5">
        <v>402.7</v>
      </c>
      <c r="AN149" s="5">
        <v>423.3</v>
      </c>
      <c r="AO149" s="5">
        <v>456.3</v>
      </c>
      <c r="AP149" s="5">
        <v>470.4</v>
      </c>
      <c r="AQ149" s="5">
        <v>526.20000000000005</v>
      </c>
      <c r="AR149" s="5">
        <v>536.5</v>
      </c>
      <c r="AS149" s="5">
        <v>547.4</v>
      </c>
      <c r="AT149" s="5">
        <v>558.4</v>
      </c>
      <c r="AU149" s="5">
        <v>641.79999999999995</v>
      </c>
      <c r="AV149" s="5">
        <v>653.29999999999995</v>
      </c>
      <c r="AW149" s="5">
        <v>661.8</v>
      </c>
      <c r="AX149" s="5">
        <v>670.9</v>
      </c>
      <c r="AY149" s="5">
        <v>733.4</v>
      </c>
      <c r="AZ149" s="5">
        <v>738.8</v>
      </c>
      <c r="BA149" s="5">
        <v>742.8</v>
      </c>
      <c r="BB149" s="5">
        <v>747</v>
      </c>
      <c r="BC149" s="5">
        <v>800.7</v>
      </c>
      <c r="BD149" s="5">
        <v>807.9</v>
      </c>
      <c r="BE149" s="5">
        <v>815.5</v>
      </c>
      <c r="BF149" s="5">
        <v>823.2</v>
      </c>
      <c r="BG149" s="5">
        <v>892.5</v>
      </c>
      <c r="BH149" s="5">
        <v>894.9</v>
      </c>
      <c r="BI149" s="5">
        <v>912.8</v>
      </c>
      <c r="BJ149" s="5">
        <v>921.8</v>
      </c>
      <c r="BK149" s="5">
        <v>1050.3</v>
      </c>
      <c r="BL149" s="5">
        <v>1181</v>
      </c>
      <c r="BM149" s="5">
        <v>1118</v>
      </c>
      <c r="BN149" s="5">
        <v>1224.4000000000001</v>
      </c>
      <c r="BO149" s="5">
        <v>1141.8</v>
      </c>
      <c r="BP149" s="5">
        <v>1163.5</v>
      </c>
      <c r="BQ149" s="5">
        <v>1476.4</v>
      </c>
      <c r="BR149" s="5">
        <v>1549.5</v>
      </c>
      <c r="BS149" s="5">
        <v>1596.1</v>
      </c>
      <c r="BT149" s="5">
        <v>1655.3</v>
      </c>
      <c r="BU149" s="5">
        <v>2018.7</v>
      </c>
      <c r="BV149" s="5">
        <v>2625.1</v>
      </c>
      <c r="BW149" s="5">
        <v>2257</v>
      </c>
      <c r="BX149" s="5">
        <v>2772.2</v>
      </c>
      <c r="BY149" s="5">
        <v>2297.8000000000002</v>
      </c>
      <c r="BZ149" s="5">
        <v>2379.5</v>
      </c>
      <c r="CA149" s="5">
        <v>3618.6</v>
      </c>
      <c r="CB149" s="5">
        <v>3824.3</v>
      </c>
      <c r="CC149" s="5">
        <v>3838.2</v>
      </c>
      <c r="CD149" s="5">
        <v>3897</v>
      </c>
      <c r="CE149" s="5">
        <v>4923.2</v>
      </c>
      <c r="CF149" s="5">
        <v>5029.2</v>
      </c>
      <c r="CG149" s="5">
        <v>5433.5</v>
      </c>
      <c r="CH149" s="5">
        <v>5704.6</v>
      </c>
      <c r="CI149" s="5">
        <v>5706.5</v>
      </c>
      <c r="CJ149" s="5">
        <v>5721</v>
      </c>
      <c r="CK149" s="5">
        <v>6967.9</v>
      </c>
      <c r="CL149" s="5">
        <v>7224</v>
      </c>
      <c r="CM149" s="5">
        <v>7357.8</v>
      </c>
      <c r="CN149" s="5">
        <v>7567.1</v>
      </c>
      <c r="CO149" s="5">
        <v>9302.9</v>
      </c>
      <c r="CP149" s="5">
        <v>9689.7999999999993</v>
      </c>
      <c r="CQ149" s="5">
        <v>9710.6</v>
      </c>
      <c r="CR149" s="5">
        <v>10229.299999999999</v>
      </c>
      <c r="CS149" s="5">
        <v>10344.6</v>
      </c>
      <c r="CT149" s="5">
        <v>10480.700000000001</v>
      </c>
    </row>
    <row r="150" spans="1:98">
      <c r="A150" s="2" t="s">
        <v>246</v>
      </c>
      <c r="B150" s="3"/>
      <c r="C150" s="3"/>
      <c r="D150" s="3"/>
      <c r="E150" s="3"/>
      <c r="F150" s="3">
        <v>117.6</v>
      </c>
      <c r="G150" s="3">
        <v>135.6</v>
      </c>
      <c r="H150" s="3">
        <v>139.69999999999999</v>
      </c>
      <c r="I150" s="3">
        <v>142.80000000000001</v>
      </c>
      <c r="J150" s="3">
        <v>142.5</v>
      </c>
      <c r="K150" s="3">
        <v>151.1</v>
      </c>
      <c r="L150" s="3">
        <v>153.4</v>
      </c>
      <c r="M150" s="3">
        <v>156.69999999999999</v>
      </c>
      <c r="N150" s="3">
        <v>157.69999999999999</v>
      </c>
      <c r="O150" s="3">
        <v>170.6</v>
      </c>
      <c r="P150" s="3">
        <v>172.5</v>
      </c>
      <c r="Q150" s="3">
        <v>173.6</v>
      </c>
      <c r="R150" s="3">
        <v>173.9</v>
      </c>
      <c r="S150" s="3">
        <v>191.3</v>
      </c>
      <c r="T150" s="3">
        <v>193.6</v>
      </c>
      <c r="U150" s="3">
        <v>201.6</v>
      </c>
      <c r="V150" s="3">
        <v>207</v>
      </c>
      <c r="W150" s="3">
        <v>229.1</v>
      </c>
      <c r="X150" s="3">
        <v>231.9</v>
      </c>
      <c r="Y150" s="3">
        <v>234.7</v>
      </c>
      <c r="Z150" s="3">
        <v>235.3</v>
      </c>
      <c r="AA150" s="3">
        <v>252.4</v>
      </c>
      <c r="AB150" s="3">
        <v>255.7</v>
      </c>
      <c r="AC150" s="3">
        <v>259</v>
      </c>
      <c r="AD150" s="3">
        <v>261.89999999999998</v>
      </c>
      <c r="AE150" s="3">
        <v>279.10000000000002</v>
      </c>
      <c r="AF150" s="3">
        <v>280.7</v>
      </c>
      <c r="AG150" s="3">
        <v>286.39999999999998</v>
      </c>
      <c r="AH150" s="3">
        <v>317.10000000000002</v>
      </c>
      <c r="AI150" s="3">
        <v>334.8</v>
      </c>
      <c r="AJ150" s="3">
        <v>345.2</v>
      </c>
      <c r="AK150" s="3">
        <v>355.7</v>
      </c>
      <c r="AL150" s="3">
        <v>365.3</v>
      </c>
      <c r="AM150" s="3">
        <v>403.4</v>
      </c>
      <c r="AN150" s="3">
        <v>424.1</v>
      </c>
      <c r="AO150" s="3">
        <v>457.2</v>
      </c>
      <c r="AP150" s="3">
        <v>471.5</v>
      </c>
      <c r="AQ150" s="3">
        <v>527.29999999999995</v>
      </c>
      <c r="AR150" s="3">
        <v>537.70000000000005</v>
      </c>
      <c r="AS150" s="3">
        <v>548.5</v>
      </c>
      <c r="AT150" s="3">
        <v>559.5</v>
      </c>
      <c r="AU150" s="3">
        <v>642.9</v>
      </c>
      <c r="AV150" s="3">
        <v>654.5</v>
      </c>
      <c r="AW150" s="3">
        <v>663</v>
      </c>
      <c r="AX150" s="3">
        <v>672</v>
      </c>
      <c r="AY150" s="3">
        <v>734.5</v>
      </c>
      <c r="AZ150" s="3">
        <v>739.8</v>
      </c>
      <c r="BA150" s="3">
        <v>743.8</v>
      </c>
      <c r="BB150" s="3">
        <v>748</v>
      </c>
      <c r="BC150" s="3">
        <v>801.5</v>
      </c>
      <c r="BD150" s="3">
        <v>808.7</v>
      </c>
      <c r="BE150" s="3">
        <v>816.4</v>
      </c>
      <c r="BF150" s="3">
        <v>824</v>
      </c>
      <c r="BG150" s="3">
        <v>893.3</v>
      </c>
      <c r="BH150" s="3">
        <v>895.5</v>
      </c>
      <c r="BI150" s="3">
        <v>913.6</v>
      </c>
      <c r="BJ150" s="3">
        <v>922.5</v>
      </c>
      <c r="BK150" s="3">
        <v>1050.9000000000001</v>
      </c>
      <c r="BL150" s="3">
        <v>1183</v>
      </c>
      <c r="BM150" s="3">
        <v>1119.3</v>
      </c>
      <c r="BN150" s="3">
        <v>1226.7</v>
      </c>
      <c r="BO150" s="3">
        <v>1143.5</v>
      </c>
      <c r="BP150" s="3">
        <v>1165.5999999999999</v>
      </c>
      <c r="BQ150" s="3">
        <v>1478.6</v>
      </c>
      <c r="BR150" s="3">
        <v>1552.2</v>
      </c>
      <c r="BS150" s="3">
        <v>1599.3</v>
      </c>
      <c r="BT150" s="3">
        <v>1659</v>
      </c>
      <c r="BU150" s="3">
        <v>2022.9</v>
      </c>
      <c r="BV150" s="3">
        <v>2633.9</v>
      </c>
      <c r="BW150" s="3">
        <v>2262.6999999999998</v>
      </c>
      <c r="BX150" s="3">
        <v>2780.9</v>
      </c>
      <c r="BY150" s="3">
        <v>2304.1999999999998</v>
      </c>
      <c r="BZ150" s="3">
        <v>2387.8000000000002</v>
      </c>
      <c r="CA150" s="3">
        <v>3630.2</v>
      </c>
      <c r="CB150" s="3">
        <v>3837.4</v>
      </c>
      <c r="CC150" s="3">
        <v>3851.9</v>
      </c>
      <c r="CD150" s="3">
        <v>3911.8</v>
      </c>
      <c r="CE150" s="3">
        <v>4939.8</v>
      </c>
      <c r="CF150" s="3">
        <v>5046.8999999999996</v>
      </c>
      <c r="CG150" s="3">
        <v>5455.1</v>
      </c>
      <c r="CH150" s="3">
        <v>5727.2</v>
      </c>
      <c r="CI150" s="3">
        <v>5728.9</v>
      </c>
      <c r="CJ150" s="3">
        <v>5742.6</v>
      </c>
      <c r="CK150" s="3">
        <v>6994.5</v>
      </c>
      <c r="CL150" s="3">
        <v>7253.2</v>
      </c>
      <c r="CM150" s="3">
        <v>7386.4</v>
      </c>
      <c r="CN150" s="3">
        <v>7596.5</v>
      </c>
      <c r="CO150" s="3">
        <v>9337.7000000000007</v>
      </c>
      <c r="CP150" s="3">
        <v>9727.5</v>
      </c>
      <c r="CQ150" s="3">
        <v>9747.7999999999993</v>
      </c>
      <c r="CR150" s="3">
        <v>10271.299999999999</v>
      </c>
      <c r="CS150" s="3">
        <v>10386.799999999999</v>
      </c>
      <c r="CT150" s="3">
        <v>10523.6</v>
      </c>
    </row>
    <row r="151" spans="1:98">
      <c r="A151" s="4" t="s">
        <v>247</v>
      </c>
      <c r="B151" s="5"/>
      <c r="C151" s="5"/>
      <c r="D151" s="5"/>
      <c r="E151" s="5"/>
      <c r="F151" s="5">
        <v>117.7</v>
      </c>
      <c r="G151" s="5">
        <v>136</v>
      </c>
      <c r="H151" s="5">
        <v>140</v>
      </c>
      <c r="I151" s="5">
        <v>143.1</v>
      </c>
      <c r="J151" s="5">
        <v>142.9</v>
      </c>
      <c r="K151" s="5">
        <v>151.69999999999999</v>
      </c>
      <c r="L151" s="5">
        <v>154.1</v>
      </c>
      <c r="M151" s="5">
        <v>157.4</v>
      </c>
      <c r="N151" s="5">
        <v>158.5</v>
      </c>
      <c r="O151" s="5">
        <v>171.3</v>
      </c>
      <c r="P151" s="5">
        <v>173.1</v>
      </c>
      <c r="Q151" s="5">
        <v>174.2</v>
      </c>
      <c r="R151" s="5">
        <v>174.5</v>
      </c>
      <c r="S151" s="5">
        <v>191.8</v>
      </c>
      <c r="T151" s="5">
        <v>194.1</v>
      </c>
      <c r="U151" s="5">
        <v>202.3</v>
      </c>
      <c r="V151" s="5">
        <v>207.9</v>
      </c>
      <c r="W151" s="5">
        <v>229.8</v>
      </c>
      <c r="X151" s="5">
        <v>232.6</v>
      </c>
      <c r="Y151" s="5">
        <v>235.5</v>
      </c>
      <c r="Z151" s="5">
        <v>235.9</v>
      </c>
      <c r="AA151" s="5">
        <v>253</v>
      </c>
      <c r="AB151" s="5">
        <v>256.39999999999998</v>
      </c>
      <c r="AC151" s="5">
        <v>259.60000000000002</v>
      </c>
      <c r="AD151" s="5">
        <v>262.39999999999998</v>
      </c>
      <c r="AE151" s="5">
        <v>279.3</v>
      </c>
      <c r="AF151" s="5">
        <v>280.89999999999998</v>
      </c>
      <c r="AG151" s="5">
        <v>286.7</v>
      </c>
      <c r="AH151" s="5">
        <v>318.39999999999998</v>
      </c>
      <c r="AI151" s="5">
        <v>335.7</v>
      </c>
      <c r="AJ151" s="5">
        <v>346.6</v>
      </c>
      <c r="AK151" s="5">
        <v>357.4</v>
      </c>
      <c r="AL151" s="5">
        <v>367.4</v>
      </c>
      <c r="AM151" s="5">
        <v>405.7</v>
      </c>
      <c r="AN151" s="5">
        <v>426.7</v>
      </c>
      <c r="AO151" s="5">
        <v>460.4</v>
      </c>
      <c r="AP151" s="5">
        <v>475.1</v>
      </c>
      <c r="AQ151" s="5">
        <v>531</v>
      </c>
      <c r="AR151" s="5">
        <v>541.79999999999995</v>
      </c>
      <c r="AS151" s="5">
        <v>552.6</v>
      </c>
      <c r="AT151" s="5">
        <v>563.29999999999995</v>
      </c>
      <c r="AU151" s="5">
        <v>647</v>
      </c>
      <c r="AV151" s="5">
        <v>658.5</v>
      </c>
      <c r="AW151" s="5">
        <v>667.1</v>
      </c>
      <c r="AX151" s="5">
        <v>676.1</v>
      </c>
      <c r="AY151" s="5">
        <v>738.4</v>
      </c>
      <c r="AZ151" s="5">
        <v>743.8</v>
      </c>
      <c r="BA151" s="5">
        <v>747.6</v>
      </c>
      <c r="BB151" s="5">
        <v>751.7</v>
      </c>
      <c r="BC151" s="5">
        <v>804.7</v>
      </c>
      <c r="BD151" s="5">
        <v>812</v>
      </c>
      <c r="BE151" s="5">
        <v>819.6</v>
      </c>
      <c r="BF151" s="5">
        <v>827.3</v>
      </c>
      <c r="BG151" s="5">
        <v>896.5</v>
      </c>
      <c r="BH151" s="5">
        <v>898.3</v>
      </c>
      <c r="BI151" s="5">
        <v>916.9</v>
      </c>
      <c r="BJ151" s="5">
        <v>925.8</v>
      </c>
      <c r="BK151" s="5">
        <v>1053.7</v>
      </c>
      <c r="BL151" s="5">
        <v>1190.5</v>
      </c>
      <c r="BM151" s="5">
        <v>1124.5</v>
      </c>
      <c r="BN151" s="5">
        <v>1235.0999999999999</v>
      </c>
      <c r="BO151" s="5">
        <v>1149.7</v>
      </c>
      <c r="BP151" s="5">
        <v>1173.2</v>
      </c>
      <c r="BQ151" s="5">
        <v>1487.7</v>
      </c>
      <c r="BR151" s="5">
        <v>1563.1</v>
      </c>
      <c r="BS151" s="5">
        <v>1612</v>
      </c>
      <c r="BT151" s="5">
        <v>1673.6</v>
      </c>
      <c r="BU151" s="5">
        <v>2041.5</v>
      </c>
      <c r="BV151" s="5">
        <v>2667.8</v>
      </c>
      <c r="BW151" s="5">
        <v>2286.8000000000002</v>
      </c>
      <c r="BX151" s="5">
        <v>2814.9</v>
      </c>
      <c r="BY151" s="5">
        <v>2330.6999999999998</v>
      </c>
      <c r="BZ151" s="5">
        <v>2419.8000000000002</v>
      </c>
      <c r="CA151" s="5">
        <v>3676.6</v>
      </c>
      <c r="CB151" s="5">
        <v>3887.9</v>
      </c>
      <c r="CC151" s="5">
        <v>3903.7</v>
      </c>
      <c r="CD151" s="5">
        <v>3967.3</v>
      </c>
      <c r="CE151" s="5">
        <v>4998</v>
      </c>
      <c r="CF151" s="5">
        <v>5107.8999999999996</v>
      </c>
      <c r="CG151" s="5">
        <v>5540.9</v>
      </c>
      <c r="CH151" s="5">
        <v>5813.6</v>
      </c>
      <c r="CI151" s="5">
        <v>5815.1</v>
      </c>
      <c r="CJ151" s="5">
        <v>5826.3</v>
      </c>
      <c r="CK151" s="5">
        <v>7097.6</v>
      </c>
      <c r="CL151" s="5">
        <v>7364</v>
      </c>
      <c r="CM151" s="5">
        <v>7494.5</v>
      </c>
      <c r="CN151" s="5">
        <v>7706.9</v>
      </c>
      <c r="CO151" s="5">
        <v>9471.6</v>
      </c>
      <c r="CP151" s="5">
        <v>9870.1</v>
      </c>
      <c r="CQ151" s="5">
        <v>9889.7000000000007</v>
      </c>
      <c r="CR151" s="5">
        <v>10429.799999999999</v>
      </c>
      <c r="CS151" s="5">
        <v>10546.7</v>
      </c>
      <c r="CT151" s="5">
        <v>10686.4</v>
      </c>
    </row>
    <row r="152" spans="1:98">
      <c r="A152" s="2" t="s">
        <v>248</v>
      </c>
      <c r="B152" s="3"/>
      <c r="C152" s="3"/>
      <c r="D152" s="3"/>
      <c r="E152" s="3"/>
      <c r="F152" s="3">
        <v>116.1</v>
      </c>
      <c r="G152" s="3">
        <v>133.6</v>
      </c>
      <c r="H152" s="3">
        <v>136.9</v>
      </c>
      <c r="I152" s="3">
        <v>139.1</v>
      </c>
      <c r="J152" s="3">
        <v>139.1</v>
      </c>
      <c r="K152" s="3">
        <v>146</v>
      </c>
      <c r="L152" s="3">
        <v>147.9</v>
      </c>
      <c r="M152" s="3">
        <v>150.6</v>
      </c>
      <c r="N152" s="3">
        <v>151.5</v>
      </c>
      <c r="O152" s="3">
        <v>161.80000000000001</v>
      </c>
      <c r="P152" s="3">
        <v>163.19999999999999</v>
      </c>
      <c r="Q152" s="3">
        <v>164.4</v>
      </c>
      <c r="R152" s="3">
        <v>164.6</v>
      </c>
      <c r="S152" s="3">
        <v>179.7</v>
      </c>
      <c r="T152" s="3">
        <v>181.7</v>
      </c>
      <c r="U152" s="3">
        <v>189.9</v>
      </c>
      <c r="V152" s="3">
        <v>194.9</v>
      </c>
      <c r="W152" s="3">
        <v>236.4</v>
      </c>
      <c r="X152" s="3">
        <v>238.7</v>
      </c>
      <c r="Y152" s="3">
        <v>240.2</v>
      </c>
      <c r="Z152" s="3">
        <v>240.9</v>
      </c>
      <c r="AA152" s="3">
        <v>253.9</v>
      </c>
      <c r="AB152" s="3">
        <v>256.8</v>
      </c>
      <c r="AC152" s="3">
        <v>260.39999999999998</v>
      </c>
      <c r="AD152" s="3">
        <v>262.8</v>
      </c>
      <c r="AE152" s="3">
        <v>279.10000000000002</v>
      </c>
      <c r="AF152" s="3">
        <v>279.89999999999998</v>
      </c>
      <c r="AG152" s="3">
        <v>284.10000000000002</v>
      </c>
      <c r="AH152" s="3">
        <v>316.5</v>
      </c>
      <c r="AI152" s="3">
        <v>336.7</v>
      </c>
      <c r="AJ152" s="3">
        <v>345</v>
      </c>
      <c r="AK152" s="3">
        <v>368.5</v>
      </c>
      <c r="AL152" s="3">
        <v>382.4</v>
      </c>
      <c r="AM152" s="3">
        <v>414.2</v>
      </c>
      <c r="AN152" s="3">
        <v>434.7</v>
      </c>
      <c r="AO152" s="3">
        <v>475</v>
      </c>
      <c r="AP152" s="3">
        <v>502.4</v>
      </c>
      <c r="AQ152" s="3">
        <v>548.5</v>
      </c>
      <c r="AR152" s="3">
        <v>558.1</v>
      </c>
      <c r="AS152" s="3">
        <v>572</v>
      </c>
      <c r="AT152" s="3">
        <v>582</v>
      </c>
      <c r="AU152" s="3">
        <v>648.29999999999995</v>
      </c>
      <c r="AV152" s="3">
        <v>661.7</v>
      </c>
      <c r="AW152" s="3">
        <v>664.5</v>
      </c>
      <c r="AX152" s="3">
        <v>670.4</v>
      </c>
      <c r="AY152" s="3">
        <v>718.7</v>
      </c>
      <c r="AZ152" s="3">
        <v>723</v>
      </c>
      <c r="BA152" s="3">
        <v>718.4</v>
      </c>
      <c r="BB152" s="3">
        <v>700.4</v>
      </c>
      <c r="BC152" s="3">
        <v>745.2</v>
      </c>
      <c r="BD152" s="3">
        <v>757.1</v>
      </c>
      <c r="BE152" s="3">
        <v>769</v>
      </c>
      <c r="BF152" s="3">
        <v>785.1</v>
      </c>
      <c r="BG152" s="3">
        <v>844</v>
      </c>
      <c r="BH152" s="3">
        <v>847.1</v>
      </c>
      <c r="BI152" s="3">
        <v>864.4</v>
      </c>
      <c r="BJ152" s="3">
        <v>883.2</v>
      </c>
      <c r="BK152" s="3">
        <v>997.1</v>
      </c>
      <c r="BL152" s="3">
        <v>1193.4000000000001</v>
      </c>
      <c r="BM152" s="3">
        <v>1072.2</v>
      </c>
      <c r="BN152" s="3">
        <v>1220</v>
      </c>
      <c r="BO152" s="3">
        <v>1107.5</v>
      </c>
      <c r="BP152" s="3">
        <v>1193.2</v>
      </c>
      <c r="BQ152" s="3">
        <v>1439.9</v>
      </c>
      <c r="BR152" s="3">
        <v>1508.4</v>
      </c>
      <c r="BS152" s="3">
        <v>1549.4</v>
      </c>
      <c r="BT152" s="3">
        <v>1600.6</v>
      </c>
      <c r="BU152" s="3">
        <v>1922.3</v>
      </c>
      <c r="BV152" s="3">
        <v>2554.4</v>
      </c>
      <c r="BW152" s="3">
        <v>2157.6</v>
      </c>
      <c r="BX152" s="3">
        <v>2686.2</v>
      </c>
      <c r="BY152" s="3">
        <v>2199.1999999999998</v>
      </c>
      <c r="BZ152" s="3">
        <v>2301.6999999999998</v>
      </c>
      <c r="CA152" s="3">
        <v>3456.8</v>
      </c>
      <c r="CB152" s="3">
        <v>3688.9</v>
      </c>
      <c r="CC152" s="3">
        <v>3769.3</v>
      </c>
      <c r="CD152" s="3">
        <v>3843.5</v>
      </c>
      <c r="CE152" s="3">
        <v>4781.3</v>
      </c>
      <c r="CF152" s="3">
        <v>4877.3999999999996</v>
      </c>
      <c r="CG152" s="3">
        <v>5200.3</v>
      </c>
      <c r="CH152" s="3">
        <v>5511.6</v>
      </c>
      <c r="CI152" s="3">
        <v>5550</v>
      </c>
      <c r="CJ152" s="3">
        <v>5676.8</v>
      </c>
      <c r="CK152" s="3">
        <v>6766.7</v>
      </c>
      <c r="CL152" s="3">
        <v>7010.8</v>
      </c>
      <c r="CM152" s="3">
        <v>7118.7</v>
      </c>
      <c r="CN152" s="3">
        <v>7289</v>
      </c>
      <c r="CO152" s="3">
        <v>8899.9</v>
      </c>
      <c r="CP152" s="3">
        <v>9278.9</v>
      </c>
      <c r="CQ152" s="3">
        <v>9329.9</v>
      </c>
      <c r="CR152" s="3">
        <v>9869.2999999999993</v>
      </c>
      <c r="CS152" s="3">
        <v>10102.6</v>
      </c>
      <c r="CT152" s="3">
        <v>10255.6</v>
      </c>
    </row>
    <row r="153" spans="1:98">
      <c r="A153" s="4" t="s">
        <v>249</v>
      </c>
      <c r="B153" s="5"/>
      <c r="C153" s="5"/>
      <c r="D153" s="5"/>
      <c r="E153" s="5"/>
      <c r="F153" s="5">
        <v>116.6</v>
      </c>
      <c r="G153" s="5">
        <v>132.4</v>
      </c>
      <c r="H153" s="5">
        <v>136</v>
      </c>
      <c r="I153" s="5">
        <v>138.4</v>
      </c>
      <c r="J153" s="5">
        <v>138.4</v>
      </c>
      <c r="K153" s="5">
        <v>146.5</v>
      </c>
      <c r="L153" s="5">
        <v>148.4</v>
      </c>
      <c r="M153" s="5">
        <v>151</v>
      </c>
      <c r="N153" s="5">
        <v>151.80000000000001</v>
      </c>
      <c r="O153" s="5">
        <v>165.4</v>
      </c>
      <c r="P153" s="5">
        <v>167.5</v>
      </c>
      <c r="Q153" s="5">
        <v>168.7</v>
      </c>
      <c r="R153" s="5">
        <v>169</v>
      </c>
      <c r="S153" s="5">
        <v>187.2</v>
      </c>
      <c r="T153" s="5">
        <v>189.6</v>
      </c>
      <c r="U153" s="5">
        <v>196.1</v>
      </c>
      <c r="V153" s="5">
        <v>200.1</v>
      </c>
      <c r="W153" s="5">
        <v>222.9</v>
      </c>
      <c r="X153" s="5">
        <v>225.3</v>
      </c>
      <c r="Y153" s="5">
        <v>230</v>
      </c>
      <c r="Z153" s="5">
        <v>231</v>
      </c>
      <c r="AA153" s="5">
        <v>250.3</v>
      </c>
      <c r="AB153" s="5">
        <v>252.9</v>
      </c>
      <c r="AC153" s="5">
        <v>257.8</v>
      </c>
      <c r="AD153" s="5">
        <v>261.60000000000002</v>
      </c>
      <c r="AE153" s="5">
        <v>280.2</v>
      </c>
      <c r="AF153" s="5">
        <v>282.2</v>
      </c>
      <c r="AG153" s="5">
        <v>288.39999999999998</v>
      </c>
      <c r="AH153" s="5">
        <v>299.10000000000002</v>
      </c>
      <c r="AI153" s="5">
        <v>321</v>
      </c>
      <c r="AJ153" s="5">
        <v>327.39999999999998</v>
      </c>
      <c r="AK153" s="5">
        <v>333.5</v>
      </c>
      <c r="AL153" s="5">
        <v>338.3</v>
      </c>
      <c r="AM153" s="5">
        <v>376.4</v>
      </c>
      <c r="AN153" s="5">
        <v>392.6</v>
      </c>
      <c r="AO153" s="5">
        <v>414</v>
      </c>
      <c r="AP153" s="5">
        <v>422.3</v>
      </c>
      <c r="AQ153" s="5">
        <v>479.3</v>
      </c>
      <c r="AR153" s="5">
        <v>488.1</v>
      </c>
      <c r="AS153" s="5">
        <v>502.5</v>
      </c>
      <c r="AT153" s="5">
        <v>515.4</v>
      </c>
      <c r="AU153" s="5">
        <v>600.6</v>
      </c>
      <c r="AV153" s="5">
        <v>610.9</v>
      </c>
      <c r="AW153" s="5">
        <v>620.5</v>
      </c>
      <c r="AX153" s="5">
        <v>630.29999999999995</v>
      </c>
      <c r="AY153" s="5">
        <v>696.6</v>
      </c>
      <c r="AZ153" s="5">
        <v>702.6</v>
      </c>
      <c r="BA153" s="5">
        <v>707.8</v>
      </c>
      <c r="BB153" s="5">
        <v>713.5</v>
      </c>
      <c r="BC153" s="5">
        <v>772.1</v>
      </c>
      <c r="BD153" s="5">
        <v>779.2</v>
      </c>
      <c r="BE153" s="5">
        <v>786.2</v>
      </c>
      <c r="BF153" s="5">
        <v>793.3</v>
      </c>
      <c r="BG153" s="5">
        <v>866.1</v>
      </c>
      <c r="BH153" s="5">
        <v>870.1</v>
      </c>
      <c r="BI153" s="5">
        <v>882.5</v>
      </c>
      <c r="BJ153" s="5">
        <v>890.4</v>
      </c>
      <c r="BK153" s="5">
        <v>1025.3</v>
      </c>
      <c r="BL153" s="5">
        <v>1094.0999999999999</v>
      </c>
      <c r="BM153" s="5">
        <v>1065.2</v>
      </c>
      <c r="BN153" s="5">
        <v>1121.5</v>
      </c>
      <c r="BO153" s="5">
        <v>1071.5</v>
      </c>
      <c r="BP153" s="5">
        <v>1076.4000000000001</v>
      </c>
      <c r="BQ153" s="5">
        <v>1372.1</v>
      </c>
      <c r="BR153" s="5">
        <v>1430.4</v>
      </c>
      <c r="BS153" s="5">
        <v>1453.6</v>
      </c>
      <c r="BT153" s="5">
        <v>1486.8</v>
      </c>
      <c r="BU153" s="5">
        <v>1824.7</v>
      </c>
      <c r="BV153" s="5">
        <v>2217.8000000000002</v>
      </c>
      <c r="BW153" s="5">
        <v>1987.8</v>
      </c>
      <c r="BX153" s="5">
        <v>2326.3000000000002</v>
      </c>
      <c r="BY153" s="5">
        <v>1997.6</v>
      </c>
      <c r="BZ153" s="5">
        <v>2020.2</v>
      </c>
      <c r="CA153" s="5">
        <v>3059.5</v>
      </c>
      <c r="CB153" s="5">
        <v>3194.4</v>
      </c>
      <c r="CC153" s="5">
        <v>3199.7</v>
      </c>
      <c r="CD153" s="5">
        <v>3213.9</v>
      </c>
      <c r="CE153" s="5">
        <v>4151.8999999999996</v>
      </c>
      <c r="CF153" s="5">
        <v>4230.6000000000004</v>
      </c>
      <c r="CG153" s="5">
        <v>4500.8</v>
      </c>
      <c r="CH153" s="5">
        <v>4704.3</v>
      </c>
      <c r="CI153" s="5">
        <v>4707.6000000000004</v>
      </c>
      <c r="CJ153" s="5">
        <v>4710.7</v>
      </c>
      <c r="CK153" s="5">
        <v>5822</v>
      </c>
      <c r="CL153" s="5">
        <v>6014.9</v>
      </c>
      <c r="CM153" s="5">
        <v>6166.4</v>
      </c>
      <c r="CN153" s="5">
        <v>6320.8</v>
      </c>
      <c r="CO153" s="5">
        <v>7891.8</v>
      </c>
      <c r="CP153" s="5">
        <v>8194.5</v>
      </c>
      <c r="CQ153" s="5">
        <v>8207.2000000000007</v>
      </c>
      <c r="CR153" s="5">
        <v>8543.5</v>
      </c>
      <c r="CS153" s="5">
        <v>8616.7000000000007</v>
      </c>
      <c r="CT153" s="5">
        <v>8697.2000000000007</v>
      </c>
    </row>
    <row r="154" spans="1:98">
      <c r="A154" s="2" t="s">
        <v>250</v>
      </c>
      <c r="B154" s="3"/>
      <c r="C154" s="3"/>
      <c r="D154" s="3"/>
      <c r="E154" s="3"/>
      <c r="F154" s="3">
        <v>116.4</v>
      </c>
      <c r="G154" s="3">
        <v>133.19999999999999</v>
      </c>
      <c r="H154" s="3">
        <v>136.9</v>
      </c>
      <c r="I154" s="3">
        <v>139.30000000000001</v>
      </c>
      <c r="J154" s="3">
        <v>139.30000000000001</v>
      </c>
      <c r="K154" s="3">
        <v>146.80000000000001</v>
      </c>
      <c r="L154" s="3">
        <v>148.69999999999999</v>
      </c>
      <c r="M154" s="3">
        <v>151.6</v>
      </c>
      <c r="N154" s="3">
        <v>152.5</v>
      </c>
      <c r="O154" s="3">
        <v>164.8</v>
      </c>
      <c r="P154" s="3">
        <v>166.6</v>
      </c>
      <c r="Q154" s="3">
        <v>167.8</v>
      </c>
      <c r="R154" s="3">
        <v>168.1</v>
      </c>
      <c r="S154" s="3">
        <v>185.4</v>
      </c>
      <c r="T154" s="3">
        <v>187.9</v>
      </c>
      <c r="U154" s="3">
        <v>194.5</v>
      </c>
      <c r="V154" s="3">
        <v>199.4</v>
      </c>
      <c r="W154" s="3">
        <v>220.5</v>
      </c>
      <c r="X154" s="3">
        <v>223.4</v>
      </c>
      <c r="Y154" s="3">
        <v>227.7</v>
      </c>
      <c r="Z154" s="3">
        <v>228</v>
      </c>
      <c r="AA154" s="3">
        <v>243.7</v>
      </c>
      <c r="AB154" s="3">
        <v>246.7</v>
      </c>
      <c r="AC154" s="3">
        <v>251</v>
      </c>
      <c r="AD154" s="3">
        <v>254.2</v>
      </c>
      <c r="AE154" s="3">
        <v>272.10000000000002</v>
      </c>
      <c r="AF154" s="3">
        <v>274.10000000000002</v>
      </c>
      <c r="AG154" s="3">
        <v>278</v>
      </c>
      <c r="AH154" s="3">
        <v>301.10000000000002</v>
      </c>
      <c r="AI154" s="3">
        <v>319</v>
      </c>
      <c r="AJ154" s="3">
        <v>326.2</v>
      </c>
      <c r="AK154" s="3">
        <v>336.1</v>
      </c>
      <c r="AL154" s="3">
        <v>343.8</v>
      </c>
      <c r="AM154" s="3">
        <v>379.4</v>
      </c>
      <c r="AN154" s="3">
        <v>396.9</v>
      </c>
      <c r="AO154" s="3">
        <v>428.2</v>
      </c>
      <c r="AP154" s="3">
        <v>441.2</v>
      </c>
      <c r="AQ154" s="3">
        <v>492.7</v>
      </c>
      <c r="AR154" s="3">
        <v>501.8</v>
      </c>
      <c r="AS154" s="3">
        <v>516.79999999999995</v>
      </c>
      <c r="AT154" s="3">
        <v>529</v>
      </c>
      <c r="AU154" s="3">
        <v>605.1</v>
      </c>
      <c r="AV154" s="3">
        <v>615.9</v>
      </c>
      <c r="AW154" s="3">
        <v>624.1</v>
      </c>
      <c r="AX154" s="3">
        <v>632.9</v>
      </c>
      <c r="AY154" s="3">
        <v>692.6</v>
      </c>
      <c r="AZ154" s="3">
        <v>697.8</v>
      </c>
      <c r="BA154" s="3">
        <v>701.8</v>
      </c>
      <c r="BB154" s="3">
        <v>706.1</v>
      </c>
      <c r="BC154" s="3">
        <v>759.6</v>
      </c>
      <c r="BD154" s="3">
        <v>766.7</v>
      </c>
      <c r="BE154" s="3">
        <v>773.4</v>
      </c>
      <c r="BF154" s="3">
        <v>780.3</v>
      </c>
      <c r="BG154" s="3">
        <v>845.4</v>
      </c>
      <c r="BH154" s="3">
        <v>849.7</v>
      </c>
      <c r="BI154" s="3">
        <v>862.9</v>
      </c>
      <c r="BJ154" s="3">
        <v>870.6</v>
      </c>
      <c r="BK154" s="3">
        <v>993.3</v>
      </c>
      <c r="BL154" s="3">
        <v>1110</v>
      </c>
      <c r="BM154" s="3">
        <v>1052.5999999999999</v>
      </c>
      <c r="BN154" s="3">
        <v>1147.2</v>
      </c>
      <c r="BO154" s="3">
        <v>1069.4000000000001</v>
      </c>
      <c r="BP154" s="3">
        <v>1085.7</v>
      </c>
      <c r="BQ154" s="3">
        <v>1375.1</v>
      </c>
      <c r="BR154" s="3">
        <v>1442.1</v>
      </c>
      <c r="BS154" s="3">
        <v>1476.4</v>
      </c>
      <c r="BT154" s="3">
        <v>1521.7</v>
      </c>
      <c r="BU154" s="3">
        <v>1840.1</v>
      </c>
      <c r="BV154" s="3">
        <v>2352.1</v>
      </c>
      <c r="BW154" s="3">
        <v>2041.8</v>
      </c>
      <c r="BX154" s="3">
        <v>2473.8000000000002</v>
      </c>
      <c r="BY154" s="3">
        <v>2072.8000000000002</v>
      </c>
      <c r="BZ154" s="3">
        <v>2141.9</v>
      </c>
      <c r="CA154" s="3">
        <v>3222.8</v>
      </c>
      <c r="CB154" s="3">
        <v>3411</v>
      </c>
      <c r="CC154" s="3">
        <v>3426.6</v>
      </c>
      <c r="CD154" s="3">
        <v>3472.4</v>
      </c>
      <c r="CE154" s="3">
        <v>4473.3999999999996</v>
      </c>
      <c r="CF154" s="3">
        <v>4578.3</v>
      </c>
      <c r="CG154" s="3">
        <v>4788.2</v>
      </c>
      <c r="CH154" s="3">
        <v>5057.3999999999996</v>
      </c>
      <c r="CI154" s="3">
        <v>5064.8999999999996</v>
      </c>
      <c r="CJ154" s="3">
        <v>5080.1000000000004</v>
      </c>
      <c r="CK154" s="3">
        <v>6218.3</v>
      </c>
      <c r="CL154" s="3">
        <v>6456.1</v>
      </c>
      <c r="CM154" s="3">
        <v>6595</v>
      </c>
      <c r="CN154" s="3">
        <v>6778.9</v>
      </c>
      <c r="CO154" s="3">
        <v>8339.7999999999993</v>
      </c>
      <c r="CP154" s="3">
        <v>8703.5</v>
      </c>
      <c r="CQ154" s="3">
        <v>8713.7999999999993</v>
      </c>
      <c r="CR154" s="3">
        <v>9137.5</v>
      </c>
      <c r="CS154" s="3">
        <v>9225.1</v>
      </c>
      <c r="CT154" s="3">
        <v>9327.2999999999993</v>
      </c>
    </row>
    <row r="155" spans="1:98">
      <c r="A155" s="4" t="s">
        <v>251</v>
      </c>
      <c r="B155" s="5"/>
      <c r="C155" s="5"/>
      <c r="D155" s="5"/>
      <c r="E155" s="5"/>
      <c r="F155" s="5">
        <v>125.5</v>
      </c>
      <c r="G155" s="5">
        <v>141.19999999999999</v>
      </c>
      <c r="H155" s="5">
        <v>143.4</v>
      </c>
      <c r="I155" s="5">
        <v>145.80000000000001</v>
      </c>
      <c r="J155" s="5">
        <v>145.80000000000001</v>
      </c>
      <c r="K155" s="5">
        <v>151.80000000000001</v>
      </c>
      <c r="L155" s="5">
        <v>155.4</v>
      </c>
      <c r="M155" s="5">
        <v>157.4</v>
      </c>
      <c r="N155" s="5">
        <v>158</v>
      </c>
      <c r="O155" s="5">
        <v>165.5</v>
      </c>
      <c r="P155" s="5">
        <v>166.7</v>
      </c>
      <c r="Q155" s="5">
        <v>168.1</v>
      </c>
      <c r="R155" s="5">
        <v>168.2</v>
      </c>
      <c r="S155" s="5">
        <v>187.1</v>
      </c>
      <c r="T155" s="5">
        <v>188.7</v>
      </c>
      <c r="U155" s="5">
        <v>194.1</v>
      </c>
      <c r="V155" s="5">
        <v>197.1</v>
      </c>
      <c r="W155" s="5">
        <v>222</v>
      </c>
      <c r="X155" s="5">
        <v>235.7</v>
      </c>
      <c r="Y155" s="5">
        <v>239.8</v>
      </c>
      <c r="Z155" s="5">
        <v>240.3</v>
      </c>
      <c r="AA155" s="5">
        <v>250.9</v>
      </c>
      <c r="AB155" s="5">
        <v>252.2</v>
      </c>
      <c r="AC155" s="5">
        <v>255.5</v>
      </c>
      <c r="AD155" s="5">
        <v>257.8</v>
      </c>
      <c r="AE155" s="5">
        <v>269</v>
      </c>
      <c r="AF155" s="5">
        <v>270.10000000000002</v>
      </c>
      <c r="AG155" s="5">
        <v>273.8</v>
      </c>
      <c r="AH155" s="5">
        <v>286.5</v>
      </c>
      <c r="AI155" s="5">
        <v>301.89999999999998</v>
      </c>
      <c r="AJ155" s="5">
        <v>313.5</v>
      </c>
      <c r="AK155" s="5">
        <v>316</v>
      </c>
      <c r="AL155" s="5">
        <v>328.8</v>
      </c>
      <c r="AM155" s="5">
        <v>354.3</v>
      </c>
      <c r="AN155" s="5">
        <v>367.4</v>
      </c>
      <c r="AO155" s="5">
        <v>398.4</v>
      </c>
      <c r="AP155" s="5">
        <v>406.6</v>
      </c>
      <c r="AQ155" s="5">
        <v>447.1</v>
      </c>
      <c r="AR155" s="5">
        <v>459.1</v>
      </c>
      <c r="AS155" s="5">
        <v>478.3</v>
      </c>
      <c r="AT155" s="5">
        <v>487.5</v>
      </c>
      <c r="AU155" s="5">
        <v>539.9</v>
      </c>
      <c r="AV155" s="5">
        <v>576.5</v>
      </c>
      <c r="AW155" s="5">
        <v>583.1</v>
      </c>
      <c r="AX155" s="5">
        <v>587.9</v>
      </c>
      <c r="AY155" s="5">
        <v>623.20000000000005</v>
      </c>
      <c r="AZ155" s="5">
        <v>627.6</v>
      </c>
      <c r="BA155" s="5">
        <v>628.5</v>
      </c>
      <c r="BB155" s="5">
        <v>631.6</v>
      </c>
      <c r="BC155" s="5">
        <v>664.8</v>
      </c>
      <c r="BD155" s="5">
        <v>672.1</v>
      </c>
      <c r="BE155" s="5">
        <v>690.6</v>
      </c>
      <c r="BF155" s="5">
        <v>697</v>
      </c>
      <c r="BG155" s="5">
        <v>756.8</v>
      </c>
      <c r="BH155" s="5">
        <v>765.6</v>
      </c>
      <c r="BI155" s="5">
        <v>774.1</v>
      </c>
      <c r="BJ155" s="5">
        <v>780.9</v>
      </c>
      <c r="BK155" s="5">
        <v>884</v>
      </c>
      <c r="BL155" s="5">
        <v>971.7</v>
      </c>
      <c r="BM155" s="5">
        <v>916.1</v>
      </c>
      <c r="BN155" s="5">
        <v>990.7</v>
      </c>
      <c r="BO155" s="5">
        <v>941</v>
      </c>
      <c r="BP155" s="5">
        <v>942</v>
      </c>
      <c r="BQ155" s="5">
        <v>1160.5</v>
      </c>
      <c r="BR155" s="5">
        <v>1261.9000000000001</v>
      </c>
      <c r="BS155" s="5">
        <v>1320</v>
      </c>
      <c r="BT155" s="5">
        <v>1354.7</v>
      </c>
      <c r="BU155" s="5">
        <v>1635.7</v>
      </c>
      <c r="BV155" s="5">
        <v>2157.9</v>
      </c>
      <c r="BW155" s="5">
        <v>1827.5</v>
      </c>
      <c r="BX155" s="5">
        <v>2237</v>
      </c>
      <c r="BY155" s="5">
        <v>1866.3</v>
      </c>
      <c r="BZ155" s="5">
        <v>1918.1</v>
      </c>
      <c r="CA155" s="5">
        <v>2896.7</v>
      </c>
      <c r="CB155" s="5">
        <v>3246.8</v>
      </c>
      <c r="CC155" s="5">
        <v>3218.5</v>
      </c>
      <c r="CD155" s="5">
        <v>3267.6</v>
      </c>
      <c r="CE155" s="5">
        <v>3956.4</v>
      </c>
      <c r="CF155" s="5">
        <v>4167.5</v>
      </c>
      <c r="CG155" s="5">
        <v>4468</v>
      </c>
      <c r="CH155" s="5">
        <v>4661.6000000000004</v>
      </c>
      <c r="CI155" s="5">
        <v>4678.8</v>
      </c>
      <c r="CJ155" s="5">
        <v>4890.8</v>
      </c>
      <c r="CK155" s="5">
        <v>5864.3</v>
      </c>
      <c r="CL155" s="5">
        <v>6125</v>
      </c>
      <c r="CM155" s="5">
        <v>6446.3</v>
      </c>
      <c r="CN155" s="5">
        <v>6543.4</v>
      </c>
      <c r="CO155" s="5">
        <v>7938.9</v>
      </c>
      <c r="CP155" s="5">
        <v>8600.5</v>
      </c>
      <c r="CQ155" s="5">
        <v>8649.5</v>
      </c>
      <c r="CR155" s="5">
        <v>8897.4</v>
      </c>
      <c r="CS155" s="5">
        <v>9190.6</v>
      </c>
      <c r="CT155" s="5">
        <v>9497.7000000000007</v>
      </c>
    </row>
    <row r="156" spans="1:98">
      <c r="A156" s="2" t="s">
        <v>252</v>
      </c>
      <c r="B156" s="3"/>
      <c r="C156" s="3"/>
      <c r="D156" s="3"/>
      <c r="E156" s="3"/>
      <c r="F156" s="3">
        <v>116.8</v>
      </c>
      <c r="G156" s="3">
        <v>132.19999999999999</v>
      </c>
      <c r="H156" s="3">
        <v>135.69999999999999</v>
      </c>
      <c r="I156" s="3">
        <v>138.6</v>
      </c>
      <c r="J156" s="3">
        <v>138.6</v>
      </c>
      <c r="K156" s="3">
        <v>146.6</v>
      </c>
      <c r="L156" s="3">
        <v>148.5</v>
      </c>
      <c r="M156" s="3">
        <v>151</v>
      </c>
      <c r="N156" s="3">
        <v>151.80000000000001</v>
      </c>
      <c r="O156" s="3">
        <v>166.2</v>
      </c>
      <c r="P156" s="3">
        <v>168.4</v>
      </c>
      <c r="Q156" s="3">
        <v>169.7</v>
      </c>
      <c r="R156" s="3">
        <v>170</v>
      </c>
      <c r="S156" s="3">
        <v>188.6</v>
      </c>
      <c r="T156" s="3">
        <v>191.2</v>
      </c>
      <c r="U156" s="3">
        <v>197.6</v>
      </c>
      <c r="V156" s="3">
        <v>201.3</v>
      </c>
      <c r="W156" s="3">
        <v>225.1</v>
      </c>
      <c r="X156" s="3">
        <v>227.5</v>
      </c>
      <c r="Y156" s="3">
        <v>232.7</v>
      </c>
      <c r="Z156" s="3">
        <v>233.8</v>
      </c>
      <c r="AA156" s="3">
        <v>254.5</v>
      </c>
      <c r="AB156" s="3">
        <v>256.8</v>
      </c>
      <c r="AC156" s="3">
        <v>262.3</v>
      </c>
      <c r="AD156" s="3">
        <v>266.5</v>
      </c>
      <c r="AE156" s="3">
        <v>286.10000000000002</v>
      </c>
      <c r="AF156" s="3">
        <v>288.2</v>
      </c>
      <c r="AG156" s="3">
        <v>295</v>
      </c>
      <c r="AH156" s="3">
        <v>301.3</v>
      </c>
      <c r="AI156" s="3">
        <v>325.3</v>
      </c>
      <c r="AJ156" s="3">
        <v>330.9</v>
      </c>
      <c r="AK156" s="3">
        <v>335.8</v>
      </c>
      <c r="AL156" s="3">
        <v>338.8</v>
      </c>
      <c r="AM156" s="3">
        <v>378.2</v>
      </c>
      <c r="AN156" s="3">
        <v>392.5</v>
      </c>
      <c r="AO156" s="3">
        <v>411.5</v>
      </c>
      <c r="AP156" s="3">
        <v>418.3</v>
      </c>
      <c r="AQ156" s="3">
        <v>477.4</v>
      </c>
      <c r="AR156" s="3">
        <v>485.8</v>
      </c>
      <c r="AS156" s="3">
        <v>501</v>
      </c>
      <c r="AT156" s="3">
        <v>514.5</v>
      </c>
      <c r="AU156" s="3">
        <v>603.20000000000005</v>
      </c>
      <c r="AV156" s="3">
        <v>613.5</v>
      </c>
      <c r="AW156" s="3">
        <v>623.79999999999995</v>
      </c>
      <c r="AX156" s="3">
        <v>634.1</v>
      </c>
      <c r="AY156" s="3">
        <v>703.7</v>
      </c>
      <c r="AZ156" s="3">
        <v>710.1</v>
      </c>
      <c r="BA156" s="3">
        <v>716.4</v>
      </c>
      <c r="BB156" s="3">
        <v>722.7</v>
      </c>
      <c r="BC156" s="3">
        <v>784.6</v>
      </c>
      <c r="BD156" s="3">
        <v>791.8</v>
      </c>
      <c r="BE156" s="3">
        <v>799</v>
      </c>
      <c r="BF156" s="3">
        <v>806.2</v>
      </c>
      <c r="BG156" s="3">
        <v>882.2</v>
      </c>
      <c r="BH156" s="3">
        <v>886.8</v>
      </c>
      <c r="BI156" s="3">
        <v>898.3</v>
      </c>
      <c r="BJ156" s="3">
        <v>906.4</v>
      </c>
      <c r="BK156" s="3">
        <v>1046.8</v>
      </c>
      <c r="BL156" s="3">
        <v>1097.2</v>
      </c>
      <c r="BM156" s="3">
        <v>1078.8</v>
      </c>
      <c r="BN156" s="3">
        <v>1119.4000000000001</v>
      </c>
      <c r="BO156" s="3">
        <v>1078.9000000000001</v>
      </c>
      <c r="BP156" s="3">
        <v>1079.0999999999999</v>
      </c>
      <c r="BQ156" s="3">
        <v>1379.4</v>
      </c>
      <c r="BR156" s="3">
        <v>1436</v>
      </c>
      <c r="BS156" s="3">
        <v>1452.2</v>
      </c>
      <c r="BT156" s="3">
        <v>1479.6</v>
      </c>
      <c r="BU156" s="3">
        <v>1822.8</v>
      </c>
      <c r="BV156" s="3">
        <v>2162.9</v>
      </c>
      <c r="BW156" s="3">
        <v>1969.5</v>
      </c>
      <c r="BX156" s="3">
        <v>2266.6</v>
      </c>
      <c r="BY156" s="3">
        <v>1969.8</v>
      </c>
      <c r="BZ156" s="3">
        <v>1970.4</v>
      </c>
      <c r="CA156" s="3">
        <v>2989.6</v>
      </c>
      <c r="CB156" s="3">
        <v>3105.5</v>
      </c>
      <c r="CC156" s="3">
        <v>3105.6</v>
      </c>
      <c r="CD156" s="3">
        <v>3106.1</v>
      </c>
      <c r="CE156" s="3">
        <v>4042.6</v>
      </c>
      <c r="CF156" s="3">
        <v>4107.8</v>
      </c>
      <c r="CG156" s="3">
        <v>4360.1000000000004</v>
      </c>
      <c r="CH156" s="3">
        <v>4549.3</v>
      </c>
      <c r="CI156" s="3">
        <v>4549.3</v>
      </c>
      <c r="CJ156" s="3">
        <v>4549.3</v>
      </c>
      <c r="CK156" s="3">
        <v>5651.9</v>
      </c>
      <c r="CL156" s="3">
        <v>5826.2</v>
      </c>
      <c r="CM156" s="3">
        <v>5981</v>
      </c>
      <c r="CN156" s="3">
        <v>6125.8</v>
      </c>
      <c r="CO156" s="3">
        <v>7689.3</v>
      </c>
      <c r="CP156" s="3">
        <v>7973.8</v>
      </c>
      <c r="CQ156" s="3">
        <v>7984.8</v>
      </c>
      <c r="CR156" s="3">
        <v>8277.2000000000007</v>
      </c>
      <c r="CS156" s="3">
        <v>8341.4</v>
      </c>
      <c r="CT156" s="3">
        <v>8411.2999999999993</v>
      </c>
    </row>
    <row r="157" spans="1:98" ht="25.5">
      <c r="A157" s="4" t="s">
        <v>253</v>
      </c>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v>1500</v>
      </c>
      <c r="BU157" s="5"/>
      <c r="BV157" s="5">
        <v>1911.4</v>
      </c>
      <c r="BW157" s="5"/>
      <c r="BX157" s="5">
        <v>1929.4</v>
      </c>
      <c r="BY157" s="5"/>
      <c r="BZ157" s="5"/>
      <c r="CA157" s="5">
        <v>2436.6</v>
      </c>
      <c r="CB157" s="5">
        <v>2452.9</v>
      </c>
      <c r="CC157" s="5">
        <v>2462</v>
      </c>
      <c r="CD157" s="5">
        <v>2473.4</v>
      </c>
      <c r="CE157" s="5">
        <v>3352.5</v>
      </c>
      <c r="CF157" s="5">
        <v>3375.8</v>
      </c>
      <c r="CG157" s="5">
        <v>3423.5</v>
      </c>
      <c r="CH157" s="5">
        <v>3442.1</v>
      </c>
      <c r="CI157" s="5">
        <v>3442.1</v>
      </c>
      <c r="CJ157" s="5">
        <v>3442.1</v>
      </c>
      <c r="CK157" s="5">
        <v>4400.2</v>
      </c>
      <c r="CL157" s="5">
        <v>4413.3999999999996</v>
      </c>
      <c r="CM157" s="5">
        <v>4434.6000000000004</v>
      </c>
      <c r="CN157" s="5">
        <v>4447.8</v>
      </c>
      <c r="CO157" s="5">
        <v>5778.5</v>
      </c>
      <c r="CP157" s="5">
        <v>5844.4</v>
      </c>
      <c r="CQ157" s="5">
        <v>6115.7</v>
      </c>
      <c r="CR157" s="5">
        <v>6182.4</v>
      </c>
      <c r="CS157" s="5">
        <v>6195.8</v>
      </c>
      <c r="CT157" s="5">
        <v>6209.1</v>
      </c>
    </row>
    <row r="158" spans="1:98" ht="25.5">
      <c r="A158" s="2" t="s">
        <v>254</v>
      </c>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v>1500</v>
      </c>
      <c r="BU158" s="3"/>
      <c r="BV158" s="3">
        <v>1918</v>
      </c>
      <c r="BW158" s="3"/>
      <c r="BX158" s="3">
        <v>1938.5</v>
      </c>
      <c r="BY158" s="3"/>
      <c r="BZ158" s="3"/>
      <c r="CA158" s="3">
        <v>2448.6</v>
      </c>
      <c r="CB158" s="3">
        <v>2467.3000000000002</v>
      </c>
      <c r="CC158" s="3">
        <v>2477.6999999999998</v>
      </c>
      <c r="CD158" s="3">
        <v>2490.6999999999998</v>
      </c>
      <c r="CE158" s="3">
        <v>3363.9</v>
      </c>
      <c r="CF158" s="3">
        <v>3390.6</v>
      </c>
      <c r="CG158" s="3">
        <v>3445.4</v>
      </c>
      <c r="CH158" s="3">
        <v>3466.8</v>
      </c>
      <c r="CI158" s="3">
        <v>3466.8</v>
      </c>
      <c r="CJ158" s="3">
        <v>3466.8</v>
      </c>
      <c r="CK158" s="3">
        <v>4434.8</v>
      </c>
      <c r="CL158" s="3">
        <v>4448.5</v>
      </c>
      <c r="CM158" s="3">
        <v>4469.5</v>
      </c>
      <c r="CN158" s="3">
        <v>4483.1000000000004</v>
      </c>
      <c r="CO158" s="3">
        <v>5805</v>
      </c>
      <c r="CP158" s="3">
        <v>5880.8</v>
      </c>
      <c r="CQ158" s="3">
        <v>6173.3</v>
      </c>
      <c r="CR158" s="3">
        <v>6236</v>
      </c>
      <c r="CS158" s="3">
        <v>6245</v>
      </c>
      <c r="CT158" s="3">
        <v>6262.9</v>
      </c>
    </row>
    <row r="159" spans="1:98" ht="25.5">
      <c r="A159" s="4" t="s">
        <v>255</v>
      </c>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v>1500</v>
      </c>
      <c r="BU159" s="5"/>
      <c r="BV159" s="5">
        <v>1916.4</v>
      </c>
      <c r="BW159" s="5"/>
      <c r="BX159" s="5">
        <v>1936.3</v>
      </c>
      <c r="BY159" s="5"/>
      <c r="BZ159" s="5"/>
      <c r="CA159" s="5">
        <v>2445.6999999999998</v>
      </c>
      <c r="CB159" s="5">
        <v>2463.8000000000002</v>
      </c>
      <c r="CC159" s="5">
        <v>2473.9</v>
      </c>
      <c r="CD159" s="5">
        <v>2486.5</v>
      </c>
      <c r="CE159" s="5">
        <v>3361.2</v>
      </c>
      <c r="CF159" s="5">
        <v>3387</v>
      </c>
      <c r="CG159" s="5">
        <v>3440.1</v>
      </c>
      <c r="CH159" s="5">
        <v>3460.8</v>
      </c>
      <c r="CI159" s="5">
        <v>3460.8</v>
      </c>
      <c r="CJ159" s="5">
        <v>3460.8</v>
      </c>
      <c r="CK159" s="5">
        <v>4426.3999999999996</v>
      </c>
      <c r="CL159" s="5">
        <v>4439.8999999999996</v>
      </c>
      <c r="CM159" s="5">
        <v>4461</v>
      </c>
      <c r="CN159" s="5">
        <v>4474.5</v>
      </c>
      <c r="CO159" s="5">
        <v>5798.6</v>
      </c>
      <c r="CP159" s="5">
        <v>5871.9</v>
      </c>
      <c r="CQ159" s="5">
        <v>6174.9</v>
      </c>
      <c r="CR159" s="5">
        <v>6215.1</v>
      </c>
      <c r="CS159" s="5">
        <v>6224.1</v>
      </c>
      <c r="CT159" s="5">
        <v>6233</v>
      </c>
    </row>
    <row r="160" spans="1:98" ht="25.5">
      <c r="A160" s="2" t="s">
        <v>256</v>
      </c>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v>1500</v>
      </c>
      <c r="BU160" s="3"/>
      <c r="BV160" s="3">
        <v>1925.5</v>
      </c>
      <c r="BW160" s="3"/>
      <c r="BX160" s="3">
        <v>1948.9</v>
      </c>
      <c r="BY160" s="3"/>
      <c r="BZ160" s="3"/>
      <c r="CA160" s="3">
        <v>2462.3000000000002</v>
      </c>
      <c r="CB160" s="3">
        <v>2483.8000000000002</v>
      </c>
      <c r="CC160" s="3">
        <v>2495.6999999999998</v>
      </c>
      <c r="CD160" s="3">
        <v>2510.6</v>
      </c>
      <c r="CE160" s="3">
        <v>3376.9</v>
      </c>
      <c r="CF160" s="3">
        <v>3407.6</v>
      </c>
      <c r="CG160" s="3">
        <v>3470.5</v>
      </c>
      <c r="CH160" s="3">
        <v>3495.1</v>
      </c>
      <c r="CI160" s="3">
        <v>3495.1</v>
      </c>
      <c r="CJ160" s="3">
        <v>3495.1</v>
      </c>
      <c r="CK160" s="3">
        <v>4474.6000000000004</v>
      </c>
      <c r="CL160" s="3">
        <v>4488.8999999999996</v>
      </c>
      <c r="CM160" s="3">
        <v>4509.6000000000004</v>
      </c>
      <c r="CN160" s="3">
        <v>4523.8</v>
      </c>
      <c r="CO160" s="3">
        <v>5835.5</v>
      </c>
      <c r="CP160" s="3">
        <v>5922.6</v>
      </c>
      <c r="CQ160" s="3">
        <v>6292.6</v>
      </c>
      <c r="CR160" s="3">
        <v>6306.2</v>
      </c>
      <c r="CS160" s="3">
        <v>6310.7</v>
      </c>
      <c r="CT160" s="3">
        <v>6310.7</v>
      </c>
    </row>
    <row r="161" spans="1:98" ht="25.5">
      <c r="A161" s="4" t="s">
        <v>257</v>
      </c>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v>1500</v>
      </c>
      <c r="BU161" s="5"/>
      <c r="BV161" s="5">
        <v>1913.4</v>
      </c>
      <c r="BW161" s="5"/>
      <c r="BX161" s="5">
        <v>1932.1</v>
      </c>
      <c r="BY161" s="5"/>
      <c r="BZ161" s="5"/>
      <c r="CA161" s="5">
        <v>2440.1999999999998</v>
      </c>
      <c r="CB161" s="5">
        <v>2457.1999999999998</v>
      </c>
      <c r="CC161" s="5">
        <v>2466.6999999999998</v>
      </c>
      <c r="CD161" s="5">
        <v>2478.5</v>
      </c>
      <c r="CE161" s="5">
        <v>3355.9</v>
      </c>
      <c r="CF161" s="5">
        <v>3380.2</v>
      </c>
      <c r="CG161" s="5">
        <v>3429.9</v>
      </c>
      <c r="CH161" s="5">
        <v>3449.4</v>
      </c>
      <c r="CI161" s="5">
        <v>3449.4</v>
      </c>
      <c r="CJ161" s="5">
        <v>3449.4</v>
      </c>
      <c r="CK161" s="5">
        <v>4410.3999999999996</v>
      </c>
      <c r="CL161" s="5">
        <v>4423.7</v>
      </c>
      <c r="CM161" s="5">
        <v>4444.8999999999996</v>
      </c>
      <c r="CN161" s="5">
        <v>4458.2</v>
      </c>
      <c r="CO161" s="5">
        <v>5786.4</v>
      </c>
      <c r="CP161" s="5">
        <v>5855.2</v>
      </c>
      <c r="CQ161" s="5">
        <v>6223.6</v>
      </c>
      <c r="CR161" s="5">
        <v>6228.1</v>
      </c>
      <c r="CS161" s="5">
        <v>6228.1</v>
      </c>
      <c r="CT161" s="5">
        <v>6228.1</v>
      </c>
    </row>
    <row r="162" spans="1:98" ht="25.5">
      <c r="A162" s="2" t="s">
        <v>258</v>
      </c>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v>1500</v>
      </c>
      <c r="BU162" s="3"/>
      <c r="BV162" s="3">
        <v>1924.8</v>
      </c>
      <c r="BW162" s="3"/>
      <c r="BX162" s="3">
        <v>1947.9</v>
      </c>
      <c r="BY162" s="3"/>
      <c r="BZ162" s="3"/>
      <c r="CA162" s="3">
        <v>2461</v>
      </c>
      <c r="CB162" s="3">
        <v>2482.1999999999998</v>
      </c>
      <c r="CC162" s="3">
        <v>2494</v>
      </c>
      <c r="CD162" s="3">
        <v>2508.6999999999998</v>
      </c>
      <c r="CE162" s="3">
        <v>3375.6</v>
      </c>
      <c r="CF162" s="3">
        <v>3406</v>
      </c>
      <c r="CG162" s="3">
        <v>3468.1</v>
      </c>
      <c r="CH162" s="3">
        <v>3492.4</v>
      </c>
      <c r="CI162" s="3">
        <v>3492.4</v>
      </c>
      <c r="CJ162" s="3">
        <v>3492.4</v>
      </c>
      <c r="CK162" s="3">
        <v>4470.8</v>
      </c>
      <c r="CL162" s="3">
        <v>4485</v>
      </c>
      <c r="CM162" s="3">
        <v>4505.8</v>
      </c>
      <c r="CN162" s="3">
        <v>4519.8999999999996</v>
      </c>
      <c r="CO162" s="3">
        <v>5832.5</v>
      </c>
      <c r="CP162" s="3">
        <v>5918.6</v>
      </c>
      <c r="CQ162" s="3">
        <v>6174.2</v>
      </c>
      <c r="CR162" s="3">
        <v>6260.1</v>
      </c>
      <c r="CS162" s="3">
        <v>6273.7</v>
      </c>
      <c r="CT162" s="3">
        <v>6296.3</v>
      </c>
    </row>
    <row r="163" spans="1:98" ht="25.5">
      <c r="A163" s="4" t="s">
        <v>259</v>
      </c>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v>1500</v>
      </c>
      <c r="BU163" s="5"/>
      <c r="BV163" s="5">
        <v>1899.6</v>
      </c>
      <c r="BW163" s="5"/>
      <c r="BX163" s="5">
        <v>1913.1</v>
      </c>
      <c r="BY163" s="5"/>
      <c r="BZ163" s="5"/>
      <c r="CA163" s="5">
        <v>2415.1</v>
      </c>
      <c r="CB163" s="5">
        <v>2427.1999999999998</v>
      </c>
      <c r="CC163" s="5">
        <v>2434</v>
      </c>
      <c r="CD163" s="5">
        <v>2442.4</v>
      </c>
      <c r="CE163" s="5">
        <v>3331.7</v>
      </c>
      <c r="CF163" s="5">
        <v>3348.9</v>
      </c>
      <c r="CG163" s="5">
        <v>3384.2</v>
      </c>
      <c r="CH163" s="5">
        <v>3398</v>
      </c>
      <c r="CI163" s="5">
        <v>3398</v>
      </c>
      <c r="CJ163" s="5">
        <v>3398</v>
      </c>
      <c r="CK163" s="5">
        <v>4338.3</v>
      </c>
      <c r="CL163" s="5">
        <v>4350.6000000000004</v>
      </c>
      <c r="CM163" s="5">
        <v>4372.3</v>
      </c>
      <c r="CN163" s="5">
        <v>4384.6000000000004</v>
      </c>
      <c r="CO163" s="5">
        <v>5730.4</v>
      </c>
      <c r="CP163" s="5">
        <v>5779</v>
      </c>
      <c r="CQ163" s="5">
        <v>6103.4</v>
      </c>
      <c r="CR163" s="5">
        <v>6103.4</v>
      </c>
      <c r="CS163" s="5">
        <v>6107.7</v>
      </c>
      <c r="CT163" s="5">
        <v>6107.7</v>
      </c>
    </row>
    <row r="164" spans="1:98" ht="25.5">
      <c r="A164" s="2" t="s">
        <v>260</v>
      </c>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v>1500</v>
      </c>
      <c r="BU164" s="3"/>
      <c r="BV164" s="3">
        <v>1897</v>
      </c>
      <c r="BW164" s="3"/>
      <c r="BX164" s="3">
        <v>1909.4</v>
      </c>
      <c r="BY164" s="3"/>
      <c r="BZ164" s="3"/>
      <c r="CA164" s="3">
        <v>2410.1999999999998</v>
      </c>
      <c r="CB164" s="3">
        <v>2421.4</v>
      </c>
      <c r="CC164" s="3">
        <v>2427.6</v>
      </c>
      <c r="CD164" s="3">
        <v>2435.4</v>
      </c>
      <c r="CE164" s="3">
        <v>3327</v>
      </c>
      <c r="CF164" s="3">
        <v>3342.8</v>
      </c>
      <c r="CG164" s="3">
        <v>3375.3</v>
      </c>
      <c r="CH164" s="3">
        <v>3388</v>
      </c>
      <c r="CI164" s="3">
        <v>3388</v>
      </c>
      <c r="CJ164" s="3">
        <v>3388</v>
      </c>
      <c r="CK164" s="3">
        <v>4324.3999999999996</v>
      </c>
      <c r="CL164" s="3">
        <v>4336.5</v>
      </c>
      <c r="CM164" s="3">
        <v>4358.3</v>
      </c>
      <c r="CN164" s="3">
        <v>4370.3999999999996</v>
      </c>
      <c r="CO164" s="3">
        <v>5719.9</v>
      </c>
      <c r="CP164" s="3">
        <v>5764.7</v>
      </c>
      <c r="CQ164" s="3">
        <v>6083.5</v>
      </c>
      <c r="CR164" s="3">
        <v>6083.5</v>
      </c>
      <c r="CS164" s="3">
        <v>6083.5</v>
      </c>
      <c r="CT164" s="3">
        <v>6083.5</v>
      </c>
    </row>
    <row r="165" spans="1:98" ht="25.5">
      <c r="A165" s="4" t="s">
        <v>261</v>
      </c>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v>1500</v>
      </c>
      <c r="BU165" s="5"/>
      <c r="BV165" s="5">
        <v>1937.2</v>
      </c>
      <c r="BW165" s="5"/>
      <c r="BX165" s="5">
        <v>1965.1</v>
      </c>
      <c r="BY165" s="5"/>
      <c r="BZ165" s="5"/>
      <c r="CA165" s="5">
        <v>2483.6999999999998</v>
      </c>
      <c r="CB165" s="5">
        <v>2509.5</v>
      </c>
      <c r="CC165" s="5">
        <v>2523.8000000000002</v>
      </c>
      <c r="CD165" s="5">
        <v>2541.6999999999998</v>
      </c>
      <c r="CE165" s="5">
        <v>3396.8</v>
      </c>
      <c r="CF165" s="5">
        <v>3433.8</v>
      </c>
      <c r="CG165" s="5">
        <v>3509.8</v>
      </c>
      <c r="CH165" s="5">
        <v>3539.5</v>
      </c>
      <c r="CI165" s="5">
        <v>3539.5</v>
      </c>
      <c r="CJ165" s="5">
        <v>3539.5</v>
      </c>
      <c r="CK165" s="5">
        <v>4537</v>
      </c>
      <c r="CL165" s="5">
        <v>4552.1000000000004</v>
      </c>
      <c r="CM165" s="5">
        <v>4572.3999999999996</v>
      </c>
      <c r="CN165" s="5">
        <v>4587.5</v>
      </c>
      <c r="CO165" s="5">
        <v>5882.4</v>
      </c>
      <c r="CP165" s="5">
        <v>5987.7</v>
      </c>
      <c r="CQ165" s="5">
        <v>6179.4</v>
      </c>
      <c r="CR165" s="5">
        <v>6330.8</v>
      </c>
      <c r="CS165" s="5">
        <v>6358.3</v>
      </c>
      <c r="CT165" s="5">
        <v>6395</v>
      </c>
    </row>
    <row r="166" spans="1:98" ht="25.5">
      <c r="A166" s="2" t="s">
        <v>262</v>
      </c>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v>1500</v>
      </c>
      <c r="BU166" s="3"/>
      <c r="BV166" s="3">
        <v>1928.6</v>
      </c>
      <c r="BW166" s="3"/>
      <c r="BX166" s="3">
        <v>1953.2</v>
      </c>
      <c r="BY166" s="3"/>
      <c r="BZ166" s="3"/>
      <c r="CA166" s="3">
        <v>2468</v>
      </c>
      <c r="CB166" s="3">
        <v>2490.6</v>
      </c>
      <c r="CC166" s="3">
        <v>2503.1999999999998</v>
      </c>
      <c r="CD166" s="3">
        <v>2518.9</v>
      </c>
      <c r="CE166" s="3">
        <v>3382.3</v>
      </c>
      <c r="CF166" s="3">
        <v>3414.7</v>
      </c>
      <c r="CG166" s="3">
        <v>3481</v>
      </c>
      <c r="CH166" s="3">
        <v>3506.9</v>
      </c>
      <c r="CI166" s="3">
        <v>3506.9</v>
      </c>
      <c r="CJ166" s="3">
        <v>3506.9</v>
      </c>
      <c r="CK166" s="3">
        <v>4491.3</v>
      </c>
      <c r="CL166" s="3">
        <v>4505.7</v>
      </c>
      <c r="CM166" s="3">
        <v>4526.3</v>
      </c>
      <c r="CN166" s="3">
        <v>4540.8</v>
      </c>
      <c r="CO166" s="3">
        <v>5848.1</v>
      </c>
      <c r="CP166" s="3">
        <v>5940</v>
      </c>
      <c r="CQ166" s="3">
        <v>6284.5</v>
      </c>
      <c r="CR166" s="3">
        <v>6320.8</v>
      </c>
      <c r="CS166" s="3">
        <v>6325.3</v>
      </c>
      <c r="CT166" s="3">
        <v>6334.4</v>
      </c>
    </row>
    <row r="167" spans="1:98" ht="25.5">
      <c r="A167" s="4" t="s">
        <v>263</v>
      </c>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v>3000</v>
      </c>
      <c r="CK167" s="5">
        <v>3844.2</v>
      </c>
      <c r="CL167" s="5">
        <v>3856.8</v>
      </c>
      <c r="CM167" s="5">
        <v>3874.4</v>
      </c>
      <c r="CN167" s="5">
        <v>3886.8</v>
      </c>
      <c r="CO167" s="5">
        <v>5190.7</v>
      </c>
      <c r="CP167" s="5">
        <v>5273.9</v>
      </c>
      <c r="CQ167" s="5">
        <v>5507.6</v>
      </c>
      <c r="CR167" s="5">
        <v>5507.6</v>
      </c>
      <c r="CS167" s="5">
        <v>5507.6</v>
      </c>
      <c r="CT167" s="5">
        <v>5507.6</v>
      </c>
    </row>
    <row r="168" spans="1:98">
      <c r="A168" s="2" t="s">
        <v>264</v>
      </c>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v>600</v>
      </c>
      <c r="BG168" s="3">
        <v>648.29999999999995</v>
      </c>
      <c r="BH168" s="3">
        <v>649</v>
      </c>
      <c r="BI168" s="3">
        <v>651.5</v>
      </c>
      <c r="BJ168" s="3">
        <v>654</v>
      </c>
      <c r="BK168" s="3">
        <v>752.1</v>
      </c>
      <c r="BL168" s="3">
        <v>825.7</v>
      </c>
      <c r="BM168" s="3">
        <v>784.8</v>
      </c>
      <c r="BN168" s="3">
        <v>854.1</v>
      </c>
      <c r="BO168" s="3">
        <v>797.9</v>
      </c>
      <c r="BP168" s="3">
        <v>804.4</v>
      </c>
      <c r="BQ168" s="3">
        <v>1033.5</v>
      </c>
      <c r="BR168" s="3">
        <v>1093.2</v>
      </c>
      <c r="BS168" s="3">
        <v>1111.7</v>
      </c>
      <c r="BT168" s="3">
        <v>1130.2</v>
      </c>
      <c r="BU168" s="3">
        <v>1377.5</v>
      </c>
      <c r="BV168" s="3">
        <v>1694.2</v>
      </c>
      <c r="BW168" s="3">
        <v>1518.5</v>
      </c>
      <c r="BX168" s="3">
        <v>1816.9</v>
      </c>
      <c r="BY168" s="3">
        <v>1535.8</v>
      </c>
      <c r="BZ168" s="3">
        <v>1571.4</v>
      </c>
      <c r="CA168" s="3">
        <v>2384.1</v>
      </c>
      <c r="CB168" s="3">
        <v>2502.1999999999998</v>
      </c>
      <c r="CC168" s="3">
        <v>2510.6999999999998</v>
      </c>
      <c r="CD168" s="3">
        <v>2531.8000000000002</v>
      </c>
      <c r="CE168" s="3">
        <v>3236.7</v>
      </c>
      <c r="CF168" s="3">
        <v>3319.1</v>
      </c>
      <c r="CG168" s="3">
        <v>3493.5</v>
      </c>
      <c r="CH168" s="3">
        <v>3667.9</v>
      </c>
      <c r="CI168" s="3">
        <v>3667.9</v>
      </c>
      <c r="CJ168" s="3">
        <v>3667.9</v>
      </c>
      <c r="CK168" s="3">
        <v>4513</v>
      </c>
      <c r="CL168" s="3">
        <v>4675.8</v>
      </c>
      <c r="CM168" s="3">
        <v>4774.1000000000004</v>
      </c>
      <c r="CN168" s="3">
        <v>4872.3999999999996</v>
      </c>
      <c r="CO168" s="3">
        <v>6041.8</v>
      </c>
      <c r="CP168" s="3">
        <v>6285.4</v>
      </c>
      <c r="CQ168" s="3">
        <v>6294.2</v>
      </c>
      <c r="CR168" s="3">
        <v>6581.8</v>
      </c>
      <c r="CS168" s="3">
        <v>6640.9</v>
      </c>
      <c r="CT168" s="3">
        <v>6705.7</v>
      </c>
    </row>
    <row r="169" spans="1:98">
      <c r="A169" s="4" t="s">
        <v>265</v>
      </c>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v>600</v>
      </c>
      <c r="BG169" s="5">
        <v>609.4</v>
      </c>
      <c r="BH169" s="5">
        <v>839.9</v>
      </c>
      <c r="BI169" s="5">
        <v>945</v>
      </c>
      <c r="BJ169" s="5">
        <v>948</v>
      </c>
      <c r="BK169" s="5">
        <v>976.4</v>
      </c>
      <c r="BL169" s="5">
        <v>1006.1</v>
      </c>
      <c r="BM169" s="5">
        <v>981.2</v>
      </c>
      <c r="BN169" s="5">
        <v>1014</v>
      </c>
      <c r="BO169" s="5">
        <v>985.9</v>
      </c>
      <c r="BP169" s="5">
        <v>995.4</v>
      </c>
      <c r="BQ169" s="5">
        <v>1074.8</v>
      </c>
      <c r="BR169" s="5">
        <v>1095.0999999999999</v>
      </c>
      <c r="BS169" s="5">
        <v>1104.8</v>
      </c>
      <c r="BT169" s="5">
        <v>1114.5999999999999</v>
      </c>
      <c r="BU169" s="5">
        <v>1244.3</v>
      </c>
      <c r="BV169" s="5">
        <v>1337.5</v>
      </c>
      <c r="BW169" s="5">
        <v>1278.8</v>
      </c>
      <c r="BX169" s="5">
        <v>2731.3</v>
      </c>
      <c r="BY169" s="5">
        <v>1297.4000000000001</v>
      </c>
      <c r="BZ169" s="5">
        <v>1316.1</v>
      </c>
      <c r="CA169" s="5">
        <v>2926.1</v>
      </c>
      <c r="CB169" s="5">
        <v>3031.8</v>
      </c>
      <c r="CC169" s="5">
        <v>3031.8</v>
      </c>
      <c r="CD169" s="5">
        <v>3031.8</v>
      </c>
      <c r="CE169" s="5">
        <v>4213.5</v>
      </c>
      <c r="CF169" s="5">
        <v>4258.5</v>
      </c>
      <c r="CG169" s="5">
        <v>4316.3</v>
      </c>
      <c r="CH169" s="5">
        <v>4374.1000000000004</v>
      </c>
      <c r="CI169" s="5">
        <v>4374.1000000000004</v>
      </c>
      <c r="CJ169" s="5">
        <v>4374.1000000000004</v>
      </c>
      <c r="CK169" s="5">
        <v>5223.3999999999996</v>
      </c>
      <c r="CL169" s="5">
        <v>5478.7</v>
      </c>
      <c r="CM169" s="5">
        <v>5697.5</v>
      </c>
      <c r="CN169" s="5">
        <v>5916.2</v>
      </c>
      <c r="CO169" s="5">
        <v>7927.7</v>
      </c>
      <c r="CP169" s="5">
        <v>7986.9</v>
      </c>
      <c r="CQ169" s="5">
        <v>8143.3</v>
      </c>
      <c r="CR169" s="5">
        <v>8223.4</v>
      </c>
      <c r="CS169" s="5">
        <v>8274.4</v>
      </c>
      <c r="CT169" s="5">
        <v>8325.5</v>
      </c>
    </row>
    <row r="170" spans="1:98">
      <c r="A170" s="2" t="s">
        <v>266</v>
      </c>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v>600</v>
      </c>
      <c r="BG170" s="3">
        <v>636</v>
      </c>
      <c r="BH170" s="3">
        <v>642</v>
      </c>
      <c r="BI170" s="3">
        <v>654</v>
      </c>
      <c r="BJ170" s="3">
        <v>660</v>
      </c>
      <c r="BK170" s="3">
        <v>732.6</v>
      </c>
      <c r="BL170" s="3">
        <v>962</v>
      </c>
      <c r="BM170" s="3">
        <v>831.6</v>
      </c>
      <c r="BN170" s="3">
        <v>1003.2</v>
      </c>
      <c r="BO170" s="3">
        <v>877.8</v>
      </c>
      <c r="BP170" s="3">
        <v>924</v>
      </c>
      <c r="BQ170" s="3">
        <v>1153.7</v>
      </c>
      <c r="BR170" s="3">
        <v>1233.9000000000001</v>
      </c>
      <c r="BS170" s="3">
        <v>1284.0999999999999</v>
      </c>
      <c r="BT170" s="3">
        <v>1334.3</v>
      </c>
      <c r="BU170" s="3">
        <v>1574.5</v>
      </c>
      <c r="BV170" s="3">
        <v>2278.1999999999998</v>
      </c>
      <c r="BW170" s="3">
        <v>1841.3</v>
      </c>
      <c r="BX170" s="3">
        <v>2455.1</v>
      </c>
      <c r="BY170" s="3">
        <v>1925.9</v>
      </c>
      <c r="BZ170" s="3">
        <v>2101.5</v>
      </c>
      <c r="CA170" s="3">
        <v>3167.1</v>
      </c>
      <c r="CB170" s="3">
        <v>3437.1</v>
      </c>
      <c r="CC170" s="3">
        <v>3486.2</v>
      </c>
      <c r="CD170" s="3">
        <v>3609</v>
      </c>
      <c r="CE170" s="3">
        <v>4486</v>
      </c>
      <c r="CF170" s="3">
        <v>4630.3</v>
      </c>
      <c r="CG170" s="3">
        <v>4895.6000000000004</v>
      </c>
      <c r="CH170" s="3">
        <v>5160.8999999999996</v>
      </c>
      <c r="CI170" s="3">
        <v>5160.8999999999996</v>
      </c>
      <c r="CJ170" s="3">
        <v>5160.8999999999996</v>
      </c>
      <c r="CK170" s="3">
        <v>6167.3</v>
      </c>
      <c r="CL170" s="3">
        <v>6502.7</v>
      </c>
      <c r="CM170" s="3">
        <v>6618.8</v>
      </c>
      <c r="CN170" s="3">
        <v>6735</v>
      </c>
      <c r="CO170" s="3">
        <v>8082</v>
      </c>
      <c r="CP170" s="3">
        <v>8418.7999999999993</v>
      </c>
      <c r="CQ170" s="3">
        <v>8418.7000000000007</v>
      </c>
      <c r="CR170" s="3">
        <v>9125.9</v>
      </c>
      <c r="CS170" s="3">
        <v>9247.2000000000007</v>
      </c>
      <c r="CT170" s="3">
        <v>9402</v>
      </c>
    </row>
    <row r="171" spans="1:98">
      <c r="A171" s="4" t="s">
        <v>267</v>
      </c>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v>600</v>
      </c>
      <c r="BG171" s="5">
        <v>654</v>
      </c>
      <c r="BH171" s="5">
        <v>654</v>
      </c>
      <c r="BI171" s="5">
        <v>669</v>
      </c>
      <c r="BJ171" s="5">
        <v>675</v>
      </c>
      <c r="BK171" s="5">
        <v>783</v>
      </c>
      <c r="BL171" s="5">
        <v>811.7</v>
      </c>
      <c r="BM171" s="5">
        <v>803.3</v>
      </c>
      <c r="BN171" s="5">
        <v>830.4</v>
      </c>
      <c r="BO171" s="5">
        <v>803.3</v>
      </c>
      <c r="BP171" s="5">
        <v>803.3</v>
      </c>
      <c r="BQ171" s="5">
        <v>1038</v>
      </c>
      <c r="BR171" s="5">
        <v>1062.9000000000001</v>
      </c>
      <c r="BS171" s="5">
        <v>1079.5</v>
      </c>
      <c r="BT171" s="5">
        <v>1096.2</v>
      </c>
      <c r="BU171" s="5">
        <v>1348.3</v>
      </c>
      <c r="BV171" s="5">
        <v>1569.4</v>
      </c>
      <c r="BW171" s="5">
        <v>1457.9</v>
      </c>
      <c r="BX171" s="5">
        <v>1680.8</v>
      </c>
      <c r="BY171" s="5">
        <v>1457.9</v>
      </c>
      <c r="BZ171" s="5">
        <v>1457.9</v>
      </c>
      <c r="CA171" s="5">
        <v>2201.8000000000002</v>
      </c>
      <c r="CB171" s="5">
        <v>2302.6999999999998</v>
      </c>
      <c r="CC171" s="5">
        <v>2302.6999999999998</v>
      </c>
      <c r="CD171" s="5">
        <v>2302.6999999999998</v>
      </c>
      <c r="CE171" s="5">
        <v>2970.5</v>
      </c>
      <c r="CF171" s="5">
        <v>3039.6</v>
      </c>
      <c r="CG171" s="5">
        <v>3192.7</v>
      </c>
      <c r="CH171" s="5">
        <v>3345.8</v>
      </c>
      <c r="CI171" s="5">
        <v>3345.8</v>
      </c>
      <c r="CJ171" s="5">
        <v>3345.8</v>
      </c>
      <c r="CK171" s="5">
        <v>4155.5</v>
      </c>
      <c r="CL171" s="5">
        <v>4282.6000000000004</v>
      </c>
      <c r="CM171" s="5">
        <v>4379.6000000000004</v>
      </c>
      <c r="CN171" s="5">
        <v>4476.5</v>
      </c>
      <c r="CO171" s="5">
        <v>5640.4</v>
      </c>
      <c r="CP171" s="5">
        <v>5819.5</v>
      </c>
      <c r="CQ171" s="5">
        <v>5841.8</v>
      </c>
      <c r="CR171" s="5">
        <v>6043.3</v>
      </c>
      <c r="CS171" s="5">
        <v>6088</v>
      </c>
      <c r="CT171" s="5">
        <v>6132.8</v>
      </c>
    </row>
    <row r="172" spans="1:98">
      <c r="A172" s="2" t="s">
        <v>268</v>
      </c>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v>600</v>
      </c>
      <c r="BG172" s="3">
        <v>610.20000000000005</v>
      </c>
      <c r="BH172" s="3">
        <v>611.4</v>
      </c>
      <c r="BI172" s="3">
        <v>750</v>
      </c>
      <c r="BJ172" s="3">
        <v>852</v>
      </c>
      <c r="BK172" s="3">
        <v>962.8</v>
      </c>
      <c r="BL172" s="3">
        <v>1327.4</v>
      </c>
      <c r="BM172" s="3">
        <v>1065</v>
      </c>
      <c r="BN172" s="3">
        <v>1337.6</v>
      </c>
      <c r="BO172" s="3">
        <v>1192.8</v>
      </c>
      <c r="BP172" s="3">
        <v>1320.6</v>
      </c>
      <c r="BQ172" s="3">
        <v>1685.4</v>
      </c>
      <c r="BR172" s="3">
        <v>1712.1</v>
      </c>
      <c r="BS172" s="3">
        <v>1811.6</v>
      </c>
      <c r="BT172" s="3">
        <v>1911.1</v>
      </c>
      <c r="BU172" s="3">
        <v>2275.1</v>
      </c>
      <c r="BV172" s="3">
        <v>3717.5</v>
      </c>
      <c r="BW172" s="3">
        <v>2313.4</v>
      </c>
      <c r="BX172" s="3">
        <v>4885.8999999999996</v>
      </c>
      <c r="BY172" s="3">
        <v>2457.1</v>
      </c>
      <c r="BZ172" s="3">
        <v>2548.1</v>
      </c>
      <c r="CA172" s="3">
        <v>5866.7</v>
      </c>
      <c r="CB172" s="3">
        <v>6453.3</v>
      </c>
      <c r="CC172" s="3">
        <v>6806</v>
      </c>
      <c r="CD172" s="3">
        <v>6844.5</v>
      </c>
      <c r="CE172" s="3">
        <v>8213.4</v>
      </c>
      <c r="CF172" s="3">
        <v>8624.1</v>
      </c>
      <c r="CG172" s="3">
        <v>9555.7999999999993</v>
      </c>
      <c r="CH172" s="3">
        <v>10487.5</v>
      </c>
      <c r="CI172" s="3">
        <v>10487.5</v>
      </c>
      <c r="CJ172" s="3">
        <v>10487.5</v>
      </c>
      <c r="CK172" s="3">
        <v>12060.6</v>
      </c>
      <c r="CL172" s="3">
        <v>12585</v>
      </c>
      <c r="CM172" s="3">
        <v>12916.2</v>
      </c>
      <c r="CN172" s="3">
        <v>13247.4</v>
      </c>
      <c r="CO172" s="3">
        <v>14572.1</v>
      </c>
      <c r="CP172" s="3">
        <v>15234.5</v>
      </c>
      <c r="CQ172" s="3">
        <v>16559.2</v>
      </c>
      <c r="CR172" s="3">
        <v>17221.599999999999</v>
      </c>
      <c r="CS172" s="3">
        <v>17884</v>
      </c>
      <c r="CT172" s="3">
        <v>18546.3</v>
      </c>
    </row>
    <row r="173" spans="1:98" ht="25.5">
      <c r="A173" s="4" t="s">
        <v>269</v>
      </c>
      <c r="B173" s="5"/>
      <c r="C173" s="5"/>
      <c r="D173" s="5"/>
      <c r="E173" s="5"/>
      <c r="F173" s="5"/>
      <c r="G173" s="5"/>
      <c r="H173" s="5"/>
      <c r="I173" s="5"/>
      <c r="J173" s="5">
        <v>164.1</v>
      </c>
      <c r="K173" s="5">
        <v>168.5</v>
      </c>
      <c r="L173" s="5">
        <v>168.9</v>
      </c>
      <c r="M173" s="5">
        <v>187.7</v>
      </c>
      <c r="N173" s="5">
        <v>187.9</v>
      </c>
      <c r="O173" s="5">
        <v>208.4</v>
      </c>
      <c r="P173" s="5">
        <v>208.4</v>
      </c>
      <c r="Q173" s="5">
        <v>209.8</v>
      </c>
      <c r="R173" s="5">
        <v>209.8</v>
      </c>
      <c r="S173" s="5">
        <v>234.2</v>
      </c>
      <c r="T173" s="5">
        <v>234.7</v>
      </c>
      <c r="U173" s="5">
        <v>236.1</v>
      </c>
      <c r="V173" s="5">
        <v>237.2</v>
      </c>
      <c r="W173" s="5">
        <v>242.6</v>
      </c>
      <c r="X173" s="5">
        <v>262.89999999999998</v>
      </c>
      <c r="Y173" s="5">
        <v>294.60000000000002</v>
      </c>
      <c r="Z173" s="5">
        <v>294.7</v>
      </c>
      <c r="AA173" s="5">
        <v>297.89999999999998</v>
      </c>
      <c r="AB173" s="5">
        <v>298.60000000000002</v>
      </c>
      <c r="AC173" s="5">
        <v>299.2</v>
      </c>
      <c r="AD173" s="5">
        <v>299.7</v>
      </c>
      <c r="AE173" s="5">
        <v>327.9</v>
      </c>
      <c r="AF173" s="5">
        <v>340.7</v>
      </c>
      <c r="AG173" s="5">
        <v>341.7</v>
      </c>
      <c r="AH173" s="5">
        <v>348.2</v>
      </c>
      <c r="AI173" s="5">
        <v>354</v>
      </c>
      <c r="AJ173" s="5">
        <v>356.1</v>
      </c>
      <c r="AK173" s="5">
        <v>358.3</v>
      </c>
      <c r="AL173" s="5">
        <v>493.8</v>
      </c>
      <c r="AM173" s="5">
        <v>367.7</v>
      </c>
      <c r="AN173" s="5">
        <v>371.8</v>
      </c>
      <c r="AO173" s="5">
        <v>378.5</v>
      </c>
      <c r="AP173" s="5">
        <v>381.5</v>
      </c>
      <c r="AQ173" s="5">
        <v>392.2</v>
      </c>
      <c r="AR173" s="5">
        <v>394.4</v>
      </c>
      <c r="AS173" s="5">
        <v>396.5</v>
      </c>
      <c r="AT173" s="5">
        <v>398.6</v>
      </c>
      <c r="AU173" s="5">
        <v>414.7</v>
      </c>
      <c r="AV173" s="5">
        <v>417</v>
      </c>
      <c r="AW173" s="5">
        <v>418.6</v>
      </c>
      <c r="AX173" s="5">
        <v>420.3</v>
      </c>
      <c r="AY173" s="5">
        <v>421</v>
      </c>
      <c r="AZ173" s="5">
        <v>422</v>
      </c>
      <c r="BA173" s="5">
        <v>423</v>
      </c>
      <c r="BB173" s="5">
        <v>424</v>
      </c>
      <c r="BC173" s="5">
        <v>425</v>
      </c>
      <c r="BD173" s="5">
        <v>426</v>
      </c>
      <c r="BE173" s="5">
        <v>427</v>
      </c>
      <c r="BF173" s="5">
        <v>428</v>
      </c>
      <c r="BG173" s="5">
        <v>429</v>
      </c>
      <c r="BH173" s="5">
        <v>430</v>
      </c>
      <c r="BI173" s="5">
        <v>431</v>
      </c>
      <c r="BJ173" s="5">
        <v>432</v>
      </c>
      <c r="BK173" s="5">
        <v>433</v>
      </c>
      <c r="BL173" s="5">
        <v>436</v>
      </c>
      <c r="BM173" s="5">
        <v>434</v>
      </c>
      <c r="BN173" s="5">
        <v>437</v>
      </c>
      <c r="BO173" s="5">
        <v>435</v>
      </c>
      <c r="BP173" s="5">
        <v>436</v>
      </c>
      <c r="BQ173" s="5">
        <v>438</v>
      </c>
      <c r="BR173" s="5">
        <v>439</v>
      </c>
      <c r="BS173" s="5">
        <v>440</v>
      </c>
      <c r="BT173" s="5">
        <v>441</v>
      </c>
      <c r="BU173" s="5">
        <v>442</v>
      </c>
      <c r="BV173" s="5">
        <v>446</v>
      </c>
      <c r="BW173" s="5">
        <v>443</v>
      </c>
      <c r="BX173" s="5">
        <v>447</v>
      </c>
      <c r="BY173" s="5">
        <v>444</v>
      </c>
      <c r="BZ173" s="5">
        <v>445</v>
      </c>
      <c r="CA173" s="5">
        <v>448</v>
      </c>
      <c r="CB173" s="5">
        <v>449</v>
      </c>
      <c r="CC173" s="5">
        <v>450</v>
      </c>
      <c r="CD173" s="5">
        <v>451</v>
      </c>
      <c r="CE173" s="5">
        <v>452</v>
      </c>
      <c r="CF173" s="5">
        <v>453</v>
      </c>
      <c r="CG173" s="5">
        <v>454</v>
      </c>
      <c r="CH173" s="5">
        <v>455</v>
      </c>
      <c r="CI173" s="5">
        <v>455</v>
      </c>
      <c r="CJ173" s="5">
        <v>455</v>
      </c>
      <c r="CK173" s="5">
        <v>456</v>
      </c>
      <c r="CL173" s="5">
        <v>457</v>
      </c>
      <c r="CM173" s="5">
        <v>458</v>
      </c>
      <c r="CN173" s="5">
        <v>459</v>
      </c>
      <c r="CO173" s="5">
        <v>460</v>
      </c>
      <c r="CP173" s="5">
        <v>461</v>
      </c>
      <c r="CQ173" s="5">
        <v>462</v>
      </c>
      <c r="CR173" s="5">
        <v>463</v>
      </c>
      <c r="CS173" s="5">
        <v>463</v>
      </c>
      <c r="CT173" s="5">
        <v>463</v>
      </c>
    </row>
    <row r="174" spans="1:98" ht="25.5">
      <c r="A174" s="2" t="s">
        <v>270</v>
      </c>
      <c r="B174" s="3"/>
      <c r="C174" s="3"/>
      <c r="D174" s="3"/>
      <c r="E174" s="3"/>
      <c r="F174" s="3"/>
      <c r="G174" s="3"/>
      <c r="H174" s="3"/>
      <c r="I174" s="3"/>
      <c r="J174" s="3">
        <v>117.8</v>
      </c>
      <c r="K174" s="3">
        <v>118</v>
      </c>
      <c r="L174" s="3">
        <v>118</v>
      </c>
      <c r="M174" s="3">
        <v>130.5</v>
      </c>
      <c r="N174" s="3">
        <v>130.5</v>
      </c>
      <c r="O174" s="3">
        <v>140.80000000000001</v>
      </c>
      <c r="P174" s="3">
        <v>140.80000000000001</v>
      </c>
      <c r="Q174" s="3">
        <v>141.6</v>
      </c>
      <c r="R174" s="3">
        <v>141.6</v>
      </c>
      <c r="S174" s="3">
        <v>157.6</v>
      </c>
      <c r="T174" s="3">
        <v>157.69999999999999</v>
      </c>
      <c r="U174" s="3">
        <v>172.5</v>
      </c>
      <c r="V174" s="3">
        <v>172.6</v>
      </c>
      <c r="W174" s="3">
        <v>190.5</v>
      </c>
      <c r="X174" s="3">
        <v>190.6</v>
      </c>
      <c r="Y174" s="3">
        <v>189.9</v>
      </c>
      <c r="Z174" s="3">
        <v>190</v>
      </c>
      <c r="AA174" s="3">
        <v>230.2</v>
      </c>
      <c r="AB174" s="3">
        <v>230.2</v>
      </c>
      <c r="AC174" s="3">
        <v>230.3</v>
      </c>
      <c r="AD174" s="3">
        <v>230.4</v>
      </c>
      <c r="AE174" s="3">
        <v>192.4</v>
      </c>
      <c r="AF174" s="3">
        <v>192.4</v>
      </c>
      <c r="AG174" s="3">
        <v>220.3</v>
      </c>
      <c r="AH174" s="3">
        <v>224.2</v>
      </c>
      <c r="AI174" s="3">
        <v>238.2</v>
      </c>
      <c r="AJ174" s="3">
        <v>238.3</v>
      </c>
      <c r="AK174" s="3">
        <v>258.2</v>
      </c>
      <c r="AL174" s="3">
        <v>368.2</v>
      </c>
      <c r="AM174" s="3">
        <v>282.2</v>
      </c>
      <c r="AN174" s="3">
        <v>292.89999999999998</v>
      </c>
      <c r="AO174" s="3">
        <v>379.3</v>
      </c>
      <c r="AP174" s="3">
        <v>379.5</v>
      </c>
      <c r="AQ174" s="3">
        <v>403.5</v>
      </c>
      <c r="AR174" s="3">
        <v>402.7</v>
      </c>
      <c r="AS174" s="3">
        <v>423.7</v>
      </c>
      <c r="AT174" s="3">
        <v>425.6</v>
      </c>
      <c r="AU174" s="3">
        <v>437.8</v>
      </c>
      <c r="AV174" s="3">
        <v>441.5</v>
      </c>
      <c r="AW174" s="3">
        <v>443.6</v>
      </c>
      <c r="AX174" s="3">
        <v>458.9</v>
      </c>
      <c r="AY174" s="3">
        <v>494</v>
      </c>
      <c r="AZ174" s="3">
        <v>500.5</v>
      </c>
      <c r="BA174" s="3">
        <v>509.1</v>
      </c>
      <c r="BB174" s="3">
        <v>509.2</v>
      </c>
      <c r="BC174" s="3">
        <v>569.4</v>
      </c>
      <c r="BD174" s="3">
        <v>569.6</v>
      </c>
      <c r="BE174" s="3">
        <v>575.79999999999995</v>
      </c>
      <c r="BF174" s="3">
        <v>585.1</v>
      </c>
      <c r="BG174" s="3">
        <v>605.79999999999995</v>
      </c>
      <c r="BH174" s="3">
        <v>635.70000000000005</v>
      </c>
      <c r="BI174" s="3">
        <v>645.4</v>
      </c>
      <c r="BJ174" s="3">
        <v>645.6</v>
      </c>
      <c r="BK174" s="3">
        <v>867.5</v>
      </c>
      <c r="BL174" s="3">
        <v>1332.2</v>
      </c>
      <c r="BM174" s="3">
        <v>906.1</v>
      </c>
      <c r="BN174" s="3">
        <v>1366.1</v>
      </c>
      <c r="BO174" s="3">
        <v>906.7</v>
      </c>
      <c r="BP174" s="3">
        <v>906.8</v>
      </c>
      <c r="BQ174" s="3">
        <v>1435.5</v>
      </c>
      <c r="BR174" s="3">
        <v>1436.8</v>
      </c>
      <c r="BS174" s="3">
        <v>1690.2</v>
      </c>
      <c r="BT174" s="3">
        <v>1691</v>
      </c>
      <c r="BU174" s="3">
        <v>2258.5</v>
      </c>
      <c r="BV174" s="3">
        <v>2951.2</v>
      </c>
      <c r="BW174" s="3">
        <v>2429.4</v>
      </c>
      <c r="BX174" s="3">
        <v>3186.5</v>
      </c>
      <c r="BY174" s="3">
        <v>2595.5</v>
      </c>
      <c r="BZ174" s="3">
        <v>2928.2</v>
      </c>
      <c r="CA174" s="3">
        <v>3546.4</v>
      </c>
      <c r="CB174" s="3">
        <v>3739.9</v>
      </c>
      <c r="CC174" s="3">
        <v>4084.5</v>
      </c>
      <c r="CD174" s="3">
        <v>4211.7</v>
      </c>
      <c r="CE174" s="3">
        <v>5225.8999999999996</v>
      </c>
      <c r="CF174" s="3">
        <v>5607.7</v>
      </c>
      <c r="CG174" s="3">
        <v>5441</v>
      </c>
      <c r="CH174" s="3">
        <v>5570.2</v>
      </c>
      <c r="CI174" s="3">
        <v>6066.2</v>
      </c>
      <c r="CJ174" s="3">
        <v>6727.4</v>
      </c>
      <c r="CK174" s="3">
        <v>9091.4</v>
      </c>
      <c r="CL174" s="3">
        <v>9098.5</v>
      </c>
      <c r="CM174" s="3">
        <v>7758.5</v>
      </c>
      <c r="CN174" s="3">
        <v>7953.3</v>
      </c>
      <c r="CO174" s="3">
        <v>8990.7999999999993</v>
      </c>
      <c r="CP174" s="3">
        <v>7999.7</v>
      </c>
      <c r="CQ174" s="3">
        <v>9264.6</v>
      </c>
      <c r="CR174" s="3">
        <v>9316.9</v>
      </c>
      <c r="CS174" s="3">
        <v>10295.299999999999</v>
      </c>
      <c r="CT174" s="3">
        <v>10874.3</v>
      </c>
    </row>
    <row r="175" spans="1:98" ht="25.5">
      <c r="A175" s="4" t="s">
        <v>271</v>
      </c>
      <c r="B175" s="5"/>
      <c r="C175" s="5"/>
      <c r="D175" s="5"/>
      <c r="E175" s="5"/>
      <c r="F175" s="5"/>
      <c r="G175" s="5"/>
      <c r="H175" s="5"/>
      <c r="I175" s="5"/>
      <c r="J175" s="5">
        <v>140.69999999999999</v>
      </c>
      <c r="K175" s="5">
        <v>148.80000000000001</v>
      </c>
      <c r="L175" s="5">
        <v>151</v>
      </c>
      <c r="M175" s="5">
        <v>154.19999999999999</v>
      </c>
      <c r="N175" s="5">
        <v>155.19999999999999</v>
      </c>
      <c r="O175" s="5">
        <v>167.2</v>
      </c>
      <c r="P175" s="5">
        <v>168.9</v>
      </c>
      <c r="Q175" s="5">
        <v>169.9</v>
      </c>
      <c r="R175" s="5">
        <v>170.1</v>
      </c>
      <c r="S175" s="5">
        <v>186.4</v>
      </c>
      <c r="T175" s="5">
        <v>188.6</v>
      </c>
      <c r="U175" s="5">
        <v>196.4</v>
      </c>
      <c r="V175" s="5">
        <v>201.5</v>
      </c>
      <c r="W175" s="5">
        <v>227.6</v>
      </c>
      <c r="X175" s="5">
        <v>230.1</v>
      </c>
      <c r="Y175" s="5">
        <v>233.5</v>
      </c>
      <c r="Z175" s="5">
        <v>234.2</v>
      </c>
      <c r="AA175" s="5">
        <v>249.9</v>
      </c>
      <c r="AB175" s="5">
        <v>253.2</v>
      </c>
      <c r="AC175" s="5">
        <v>256.8</v>
      </c>
      <c r="AD175" s="5">
        <v>259.60000000000002</v>
      </c>
      <c r="AE175" s="5">
        <v>276.39999999999998</v>
      </c>
      <c r="AF175" s="5">
        <v>278</v>
      </c>
      <c r="AG175" s="5">
        <v>282.7</v>
      </c>
      <c r="AH175" s="5">
        <v>316</v>
      </c>
      <c r="AI175" s="5">
        <v>333.5</v>
      </c>
      <c r="AJ175" s="5">
        <v>343.3</v>
      </c>
      <c r="AK175" s="5">
        <v>356.7</v>
      </c>
      <c r="AL175" s="5">
        <v>378</v>
      </c>
      <c r="AM175" s="5">
        <v>405.9</v>
      </c>
      <c r="AN175" s="5">
        <v>426.6</v>
      </c>
      <c r="AO175" s="5">
        <v>459.3</v>
      </c>
      <c r="AP175" s="5">
        <v>477.1</v>
      </c>
      <c r="AQ175" s="5">
        <v>529.9</v>
      </c>
      <c r="AR175" s="5">
        <v>540.79999999999995</v>
      </c>
      <c r="AS175" s="5">
        <v>552.1</v>
      </c>
      <c r="AT175" s="5">
        <v>562.9</v>
      </c>
      <c r="AU175" s="5">
        <v>640.20000000000005</v>
      </c>
      <c r="AV175" s="5">
        <v>652.6</v>
      </c>
      <c r="AW175" s="5">
        <v>659.2</v>
      </c>
      <c r="AX175" s="5">
        <v>667.2</v>
      </c>
      <c r="AY175" s="5">
        <v>725.6</v>
      </c>
      <c r="AZ175" s="5">
        <v>730.7</v>
      </c>
      <c r="BA175" s="5">
        <v>732.8</v>
      </c>
      <c r="BB175" s="5">
        <v>731.7</v>
      </c>
      <c r="BC175" s="5">
        <v>782.7</v>
      </c>
      <c r="BD175" s="5">
        <v>791.1</v>
      </c>
      <c r="BE175" s="5">
        <v>799.9</v>
      </c>
      <c r="BF175" s="5">
        <v>809</v>
      </c>
      <c r="BG175" s="5">
        <v>874.4</v>
      </c>
      <c r="BH175" s="5">
        <v>876.6</v>
      </c>
      <c r="BI175" s="5">
        <v>893.9</v>
      </c>
      <c r="BJ175" s="5">
        <v>904.4</v>
      </c>
      <c r="BK175" s="5">
        <v>1027.2</v>
      </c>
      <c r="BL175" s="5">
        <v>1177.0999999999999</v>
      </c>
      <c r="BM175" s="5">
        <v>1098.4000000000001</v>
      </c>
      <c r="BN175" s="5">
        <v>1220.5</v>
      </c>
      <c r="BO175" s="5">
        <v>1124.9000000000001</v>
      </c>
      <c r="BP175" s="5">
        <v>1162.2</v>
      </c>
      <c r="BQ175" s="5">
        <v>1460.1</v>
      </c>
      <c r="BR175" s="5">
        <v>1535.4</v>
      </c>
      <c r="BS175" s="5">
        <v>1580</v>
      </c>
      <c r="BT175" s="5">
        <v>1637</v>
      </c>
      <c r="BU175" s="5">
        <v>1982.2</v>
      </c>
      <c r="BV175" s="5">
        <v>2594.8000000000002</v>
      </c>
      <c r="BW175" s="5">
        <v>2217.5</v>
      </c>
      <c r="BX175" s="5">
        <v>2731.6</v>
      </c>
      <c r="BY175" s="5">
        <v>2259.9</v>
      </c>
      <c r="BZ175" s="5">
        <v>2353.9</v>
      </c>
      <c r="CA175" s="5">
        <v>3557.5</v>
      </c>
      <c r="CB175" s="5">
        <v>3773.9</v>
      </c>
      <c r="CC175" s="5">
        <v>3803.7</v>
      </c>
      <c r="CD175" s="5">
        <v>3869.4</v>
      </c>
      <c r="CE175" s="5">
        <v>4885.2</v>
      </c>
      <c r="CF175" s="5">
        <v>4993</v>
      </c>
      <c r="CG175" s="5">
        <v>5353.5</v>
      </c>
      <c r="CH175" s="5">
        <v>5639.9</v>
      </c>
      <c r="CI175" s="5">
        <v>5648.2</v>
      </c>
      <c r="CJ175" s="5">
        <v>5677.1</v>
      </c>
      <c r="CK175" s="5">
        <v>6899.4</v>
      </c>
      <c r="CL175" s="5">
        <v>7155</v>
      </c>
      <c r="CM175" s="5">
        <v>7297.5</v>
      </c>
      <c r="CN175" s="5">
        <v>7507.7</v>
      </c>
      <c r="CO175" s="5">
        <v>9220.2000000000007</v>
      </c>
      <c r="CP175" s="5">
        <v>9619.2000000000007</v>
      </c>
      <c r="CQ175" s="5">
        <v>9637.6</v>
      </c>
      <c r="CR175" s="5">
        <v>10163.9</v>
      </c>
      <c r="CS175" s="5">
        <v>10305.4</v>
      </c>
      <c r="CT175" s="5">
        <v>10436.200000000001</v>
      </c>
    </row>
    <row r="176" spans="1:98" ht="25.5">
      <c r="A176" s="2" t="s">
        <v>272</v>
      </c>
      <c r="B176" s="3"/>
      <c r="C176" s="3"/>
      <c r="D176" s="3"/>
      <c r="E176" s="3"/>
      <c r="F176" s="3"/>
      <c r="G176" s="3"/>
      <c r="H176" s="3"/>
      <c r="I176" s="3"/>
      <c r="J176" s="3">
        <v>143.5</v>
      </c>
      <c r="K176" s="3">
        <v>137.5</v>
      </c>
      <c r="L176" s="3">
        <v>131.6</v>
      </c>
      <c r="M176" s="3">
        <v>131.1</v>
      </c>
      <c r="N176" s="3">
        <v>131.9</v>
      </c>
      <c r="O176" s="3">
        <v>151.30000000000001</v>
      </c>
      <c r="P176" s="3">
        <v>177.7</v>
      </c>
      <c r="Q176" s="3">
        <v>198.2</v>
      </c>
      <c r="R176" s="3">
        <v>202.9</v>
      </c>
      <c r="S176" s="3">
        <v>218.6</v>
      </c>
      <c r="T176" s="3">
        <v>206.8</v>
      </c>
      <c r="U176" s="3">
        <v>253</v>
      </c>
      <c r="V176" s="3">
        <v>273.3</v>
      </c>
      <c r="W176" s="3">
        <v>328.4</v>
      </c>
      <c r="X176" s="3">
        <v>369.1</v>
      </c>
      <c r="Y176" s="3">
        <v>258.89999999999998</v>
      </c>
      <c r="Z176" s="3">
        <v>224.9</v>
      </c>
      <c r="AA176" s="3">
        <v>214.7</v>
      </c>
      <c r="AB176" s="3">
        <v>221.2</v>
      </c>
      <c r="AC176" s="3">
        <v>220.2</v>
      </c>
      <c r="AD176" s="3">
        <v>248</v>
      </c>
      <c r="AE176" s="3">
        <v>269</v>
      </c>
      <c r="AF176" s="3">
        <v>276.10000000000002</v>
      </c>
      <c r="AG176" s="3">
        <v>293.60000000000002</v>
      </c>
      <c r="AH176" s="3">
        <v>289.8</v>
      </c>
      <c r="AI176" s="3">
        <v>295.39999999999998</v>
      </c>
      <c r="AJ176" s="3">
        <v>308.5</v>
      </c>
      <c r="AK176" s="3">
        <v>329.2</v>
      </c>
      <c r="AL176" s="3">
        <v>327.60000000000002</v>
      </c>
      <c r="AM176" s="3">
        <v>426.1</v>
      </c>
      <c r="AN176" s="3">
        <v>513.79999999999995</v>
      </c>
      <c r="AO176" s="3">
        <v>605.20000000000005</v>
      </c>
      <c r="AP176" s="3">
        <v>611.70000000000005</v>
      </c>
      <c r="AQ176" s="3">
        <v>615.70000000000005</v>
      </c>
      <c r="AR176" s="3">
        <v>616.4</v>
      </c>
      <c r="AS176" s="3">
        <v>611</v>
      </c>
      <c r="AT176" s="3">
        <v>581</v>
      </c>
      <c r="AU176" s="3">
        <v>636.1</v>
      </c>
      <c r="AV176" s="3">
        <v>623.5</v>
      </c>
      <c r="AW176" s="3">
        <v>622.4</v>
      </c>
      <c r="AX176" s="3">
        <v>588.70000000000005</v>
      </c>
      <c r="AY176" s="3">
        <v>561.20000000000005</v>
      </c>
      <c r="AZ176" s="3">
        <v>547.5</v>
      </c>
      <c r="BA176" s="3">
        <v>519</v>
      </c>
      <c r="BB176" s="3">
        <v>489.6</v>
      </c>
      <c r="BC176" s="3">
        <v>557.5</v>
      </c>
      <c r="BD176" s="3">
        <v>559.9</v>
      </c>
      <c r="BE176" s="3">
        <v>588.5</v>
      </c>
      <c r="BF176" s="3">
        <v>580.4</v>
      </c>
      <c r="BG176" s="3">
        <v>580</v>
      </c>
      <c r="BH176" s="3">
        <v>683.5</v>
      </c>
      <c r="BI176" s="3">
        <v>720.8</v>
      </c>
      <c r="BJ176" s="3">
        <v>759.9</v>
      </c>
      <c r="BK176" s="3">
        <v>905.4</v>
      </c>
      <c r="BL176" s="3">
        <v>1284.5999999999999</v>
      </c>
      <c r="BM176" s="3">
        <v>1063.0999999999999</v>
      </c>
      <c r="BN176" s="3">
        <v>1282.9000000000001</v>
      </c>
      <c r="BO176" s="3">
        <v>1259.2</v>
      </c>
      <c r="BP176" s="3">
        <v>1357.9</v>
      </c>
      <c r="BQ176" s="3">
        <v>1494.8</v>
      </c>
      <c r="BR176" s="3">
        <v>1359.8</v>
      </c>
      <c r="BS176" s="3">
        <v>1406.3</v>
      </c>
      <c r="BT176" s="3">
        <v>1696.7</v>
      </c>
      <c r="BU176" s="3">
        <v>1950.8</v>
      </c>
      <c r="BV176" s="3">
        <v>3471.3</v>
      </c>
      <c r="BW176" s="3">
        <v>2840.8</v>
      </c>
      <c r="BX176" s="3">
        <v>3666.1</v>
      </c>
      <c r="BY176" s="3">
        <v>3014.6</v>
      </c>
      <c r="BZ176" s="3">
        <v>3243.5</v>
      </c>
      <c r="CA176" s="3">
        <v>4063.6</v>
      </c>
      <c r="CB176" s="3">
        <v>4654.6000000000004</v>
      </c>
      <c r="CC176" s="3">
        <v>4581.5</v>
      </c>
      <c r="CD176" s="3">
        <v>4533.7</v>
      </c>
      <c r="CE176" s="3">
        <v>5296.9</v>
      </c>
      <c r="CF176" s="3">
        <v>4945.1000000000004</v>
      </c>
      <c r="CG176" s="3">
        <v>4969.3</v>
      </c>
      <c r="CH176" s="3">
        <v>5794.4</v>
      </c>
      <c r="CI176" s="3">
        <v>6486.7</v>
      </c>
      <c r="CJ176" s="3">
        <v>7510.5</v>
      </c>
      <c r="CK176" s="3">
        <v>7609</v>
      </c>
      <c r="CL176" s="3">
        <v>7281.1</v>
      </c>
      <c r="CM176" s="3">
        <v>6979.8</v>
      </c>
      <c r="CN176" s="3">
        <v>7329.9</v>
      </c>
      <c r="CO176" s="3">
        <v>8131.3</v>
      </c>
      <c r="CP176" s="3">
        <v>8505.6</v>
      </c>
      <c r="CQ176" s="3">
        <v>8948.9</v>
      </c>
      <c r="CR176" s="3">
        <v>9372.1</v>
      </c>
      <c r="CS176" s="3">
        <v>9911.7000000000007</v>
      </c>
      <c r="CT176" s="3">
        <v>10720.4</v>
      </c>
    </row>
    <row r="177" spans="1:98" ht="25.5">
      <c r="A177" s="4" t="s">
        <v>273</v>
      </c>
      <c r="B177" s="5"/>
      <c r="C177" s="5"/>
      <c r="D177" s="5"/>
      <c r="E177" s="5"/>
      <c r="F177" s="5"/>
      <c r="G177" s="5"/>
      <c r="H177" s="5"/>
      <c r="I177" s="5"/>
      <c r="J177" s="5">
        <v>149.80000000000001</v>
      </c>
      <c r="K177" s="5">
        <v>156.5</v>
      </c>
      <c r="L177" s="5">
        <v>160.6</v>
      </c>
      <c r="M177" s="5">
        <v>161.9</v>
      </c>
      <c r="N177" s="5">
        <v>162.1</v>
      </c>
      <c r="O177" s="5">
        <v>167.7</v>
      </c>
      <c r="P177" s="5">
        <v>169</v>
      </c>
      <c r="Q177" s="5">
        <v>171.4</v>
      </c>
      <c r="R177" s="5">
        <v>172</v>
      </c>
      <c r="S177" s="5">
        <v>189.1</v>
      </c>
      <c r="T177" s="5">
        <v>190.7</v>
      </c>
      <c r="U177" s="5">
        <v>196.5</v>
      </c>
      <c r="V177" s="5">
        <v>200</v>
      </c>
      <c r="W177" s="5">
        <v>219.9</v>
      </c>
      <c r="X177" s="5">
        <v>239.3</v>
      </c>
      <c r="Y177" s="5">
        <v>241.3</v>
      </c>
      <c r="Z177" s="5">
        <v>238</v>
      </c>
      <c r="AA177" s="5">
        <v>243</v>
      </c>
      <c r="AB177" s="5">
        <v>244.8</v>
      </c>
      <c r="AC177" s="5">
        <v>246.6</v>
      </c>
      <c r="AD177" s="5">
        <v>248</v>
      </c>
      <c r="AE177" s="5">
        <v>260</v>
      </c>
      <c r="AF177" s="5">
        <v>261.10000000000002</v>
      </c>
      <c r="AG177" s="5">
        <v>264</v>
      </c>
      <c r="AH177" s="5">
        <v>279.60000000000002</v>
      </c>
      <c r="AI177" s="5">
        <v>290.5</v>
      </c>
      <c r="AJ177" s="5">
        <v>306.8</v>
      </c>
      <c r="AK177" s="5">
        <v>312.39999999999998</v>
      </c>
      <c r="AL177" s="5">
        <v>344.3</v>
      </c>
      <c r="AM177" s="5">
        <v>346.8</v>
      </c>
      <c r="AN177" s="5">
        <v>363.5</v>
      </c>
      <c r="AO177" s="5">
        <v>401.6</v>
      </c>
      <c r="AP177" s="5">
        <v>410.4</v>
      </c>
      <c r="AQ177" s="5">
        <v>443</v>
      </c>
      <c r="AR177" s="5">
        <v>458.3</v>
      </c>
      <c r="AS177" s="5">
        <v>473</v>
      </c>
      <c r="AT177" s="5">
        <v>478.9</v>
      </c>
      <c r="AU177" s="5">
        <v>515.6</v>
      </c>
      <c r="AV177" s="5">
        <v>555</v>
      </c>
      <c r="AW177" s="5">
        <v>554.5</v>
      </c>
      <c r="AX177" s="5">
        <v>554.9</v>
      </c>
      <c r="AY177" s="5">
        <v>573.6</v>
      </c>
      <c r="AZ177" s="5">
        <v>576.20000000000005</v>
      </c>
      <c r="BA177" s="5">
        <v>573</v>
      </c>
      <c r="BB177" s="5">
        <v>573.20000000000005</v>
      </c>
      <c r="BC177" s="5">
        <v>597.9</v>
      </c>
      <c r="BD177" s="5">
        <v>604.70000000000005</v>
      </c>
      <c r="BE177" s="5">
        <v>629</v>
      </c>
      <c r="BF177" s="5">
        <v>636.1</v>
      </c>
      <c r="BG177" s="5">
        <v>683.1</v>
      </c>
      <c r="BH177" s="5">
        <v>695.9</v>
      </c>
      <c r="BI177" s="5">
        <v>705.2</v>
      </c>
      <c r="BJ177" s="5">
        <v>712.8</v>
      </c>
      <c r="BK177" s="5">
        <v>800.3</v>
      </c>
      <c r="BL177" s="5">
        <v>951.8</v>
      </c>
      <c r="BM177" s="5">
        <v>848.8</v>
      </c>
      <c r="BN177" s="5">
        <v>969.2</v>
      </c>
      <c r="BO177" s="5">
        <v>905.6</v>
      </c>
      <c r="BP177" s="5">
        <v>919.3</v>
      </c>
      <c r="BQ177" s="5">
        <v>1092.7</v>
      </c>
      <c r="BR177" s="5">
        <v>1200.8</v>
      </c>
      <c r="BS177" s="5">
        <v>1256.5999999999999</v>
      </c>
      <c r="BT177" s="5">
        <v>1314.8</v>
      </c>
      <c r="BU177" s="5">
        <v>1558.3</v>
      </c>
      <c r="BV177" s="5">
        <v>2201.4</v>
      </c>
      <c r="BW177" s="5">
        <v>1810.2</v>
      </c>
      <c r="BX177" s="5">
        <v>2281.6</v>
      </c>
      <c r="BY177" s="5">
        <v>1884.2</v>
      </c>
      <c r="BZ177" s="5">
        <v>1983.6</v>
      </c>
      <c r="CA177" s="5">
        <v>2878.1</v>
      </c>
      <c r="CB177" s="5">
        <v>3364.4</v>
      </c>
      <c r="CC177" s="5">
        <v>3320.5</v>
      </c>
      <c r="CD177" s="5">
        <v>3392</v>
      </c>
      <c r="CE177" s="5">
        <v>4034.5</v>
      </c>
      <c r="CF177" s="5">
        <v>4249.3</v>
      </c>
      <c r="CG177" s="5">
        <v>4475.1000000000004</v>
      </c>
      <c r="CH177" s="5">
        <v>4754.7</v>
      </c>
      <c r="CI177" s="5">
        <v>4811.3999999999996</v>
      </c>
      <c r="CJ177" s="5">
        <v>5160.3</v>
      </c>
      <c r="CK177" s="5">
        <v>5903</v>
      </c>
      <c r="CL177" s="5">
        <v>6192.3</v>
      </c>
      <c r="CM177" s="5">
        <v>6472</v>
      </c>
      <c r="CN177" s="5">
        <v>6601.8</v>
      </c>
      <c r="CO177" s="5">
        <v>7718.8</v>
      </c>
      <c r="CP177" s="5">
        <v>8558.4</v>
      </c>
      <c r="CQ177" s="5">
        <v>8661.7000000000007</v>
      </c>
      <c r="CR177" s="5">
        <v>9070.7000000000007</v>
      </c>
      <c r="CS177" s="5">
        <v>9403.1</v>
      </c>
      <c r="CT177" s="5">
        <v>9757.6</v>
      </c>
    </row>
    <row r="178" spans="1:98" ht="25.5">
      <c r="A178" s="2" t="s">
        <v>274</v>
      </c>
      <c r="B178" s="3"/>
      <c r="C178" s="3"/>
      <c r="D178" s="3"/>
      <c r="E178" s="3"/>
      <c r="F178" s="3"/>
      <c r="G178" s="3"/>
      <c r="H178" s="3"/>
      <c r="I178" s="3"/>
      <c r="J178" s="3">
        <v>146.30000000000001</v>
      </c>
      <c r="K178" s="3">
        <v>147.80000000000001</v>
      </c>
      <c r="L178" s="3">
        <v>149.19999999999999</v>
      </c>
      <c r="M178" s="3">
        <v>156.6</v>
      </c>
      <c r="N178" s="3">
        <v>158</v>
      </c>
      <c r="O178" s="3">
        <v>163.5</v>
      </c>
      <c r="P178" s="3">
        <v>167.6</v>
      </c>
      <c r="Q178" s="3">
        <v>168.1</v>
      </c>
      <c r="R178" s="3">
        <v>168.3</v>
      </c>
      <c r="S178" s="3">
        <v>187.2</v>
      </c>
      <c r="T178" s="3">
        <v>190.6</v>
      </c>
      <c r="U178" s="3">
        <v>193.6</v>
      </c>
      <c r="V178" s="3">
        <v>198.6</v>
      </c>
      <c r="W178" s="3">
        <v>214.4</v>
      </c>
      <c r="X178" s="3">
        <v>218.4</v>
      </c>
      <c r="Y178" s="3">
        <v>216.5</v>
      </c>
      <c r="Z178" s="3">
        <v>216.5</v>
      </c>
      <c r="AA178" s="3">
        <v>218.1</v>
      </c>
      <c r="AB178" s="3">
        <v>218.6</v>
      </c>
      <c r="AC178" s="3">
        <v>231.6</v>
      </c>
      <c r="AD178" s="3">
        <v>232.7</v>
      </c>
      <c r="AE178" s="3">
        <v>253.7</v>
      </c>
      <c r="AF178" s="3">
        <v>253.7</v>
      </c>
      <c r="AG178" s="3">
        <v>253.7</v>
      </c>
      <c r="AH178" s="3">
        <v>291.8</v>
      </c>
      <c r="AI178" s="3">
        <v>297.60000000000002</v>
      </c>
      <c r="AJ178" s="3">
        <v>306.3</v>
      </c>
      <c r="AK178" s="3">
        <v>323.89999999999998</v>
      </c>
      <c r="AL178" s="3">
        <v>366.2</v>
      </c>
      <c r="AM178" s="3">
        <v>378.6</v>
      </c>
      <c r="AN178" s="3">
        <v>395.9</v>
      </c>
      <c r="AO178" s="3">
        <v>413.1</v>
      </c>
      <c r="AP178" s="3">
        <v>430.3</v>
      </c>
      <c r="AQ178" s="3">
        <v>495.2</v>
      </c>
      <c r="AR178" s="3">
        <v>521.5</v>
      </c>
      <c r="AS178" s="3">
        <v>522.79999999999995</v>
      </c>
      <c r="AT178" s="3">
        <v>522.79999999999995</v>
      </c>
      <c r="AU178" s="3">
        <v>567.9</v>
      </c>
      <c r="AV178" s="3">
        <v>580.9</v>
      </c>
      <c r="AW178" s="3">
        <v>582</v>
      </c>
      <c r="AX178" s="3">
        <v>582.6</v>
      </c>
      <c r="AY178" s="3">
        <v>600</v>
      </c>
      <c r="AZ178" s="3">
        <v>614.6</v>
      </c>
      <c r="BA178" s="3">
        <v>626.9</v>
      </c>
      <c r="BB178" s="3">
        <v>626.9</v>
      </c>
      <c r="BC178" s="3">
        <v>626.9</v>
      </c>
      <c r="BD178" s="3">
        <v>661.6</v>
      </c>
      <c r="BE178" s="3">
        <v>684.5</v>
      </c>
      <c r="BF178" s="3">
        <v>690.8</v>
      </c>
      <c r="BG178" s="3">
        <v>725.3</v>
      </c>
      <c r="BH178" s="3">
        <v>746.1</v>
      </c>
      <c r="BI178" s="3">
        <v>753</v>
      </c>
      <c r="BJ178" s="3">
        <v>759.9</v>
      </c>
      <c r="BK178" s="3">
        <v>843.4</v>
      </c>
      <c r="BL178" s="3">
        <v>1109.4000000000001</v>
      </c>
      <c r="BM178" s="3">
        <v>927.1</v>
      </c>
      <c r="BN178" s="3">
        <v>1227.2</v>
      </c>
      <c r="BO178" s="3">
        <v>1025.9000000000001</v>
      </c>
      <c r="BP178" s="3">
        <v>1052.5</v>
      </c>
      <c r="BQ178" s="3">
        <v>1405.1</v>
      </c>
      <c r="BR178" s="3">
        <v>1509.6</v>
      </c>
      <c r="BS178" s="3">
        <v>1772.7</v>
      </c>
      <c r="BT178" s="3">
        <v>1877.6</v>
      </c>
      <c r="BU178" s="3">
        <v>2371.4</v>
      </c>
      <c r="BV178" s="3">
        <v>3379.6</v>
      </c>
      <c r="BW178" s="3">
        <v>2891.4</v>
      </c>
      <c r="BX178" s="3">
        <v>3539.2</v>
      </c>
      <c r="BY178" s="3">
        <v>2966.6</v>
      </c>
      <c r="BZ178" s="3">
        <v>3191.9</v>
      </c>
      <c r="CA178" s="3">
        <v>4654</v>
      </c>
      <c r="CB178" s="3">
        <v>4901.7</v>
      </c>
      <c r="CC178" s="3">
        <v>4990.3</v>
      </c>
      <c r="CD178" s="3">
        <v>5096.3999999999996</v>
      </c>
      <c r="CE178" s="3">
        <v>6345</v>
      </c>
      <c r="CF178" s="3">
        <v>6564.2</v>
      </c>
      <c r="CG178" s="3">
        <v>7032.9</v>
      </c>
      <c r="CH178" s="3">
        <v>7425.4</v>
      </c>
      <c r="CI178" s="3">
        <v>7547.7</v>
      </c>
      <c r="CJ178" s="3">
        <v>7670</v>
      </c>
      <c r="CK178" s="3">
        <v>9104.2999999999993</v>
      </c>
      <c r="CL178" s="3">
        <v>9672</v>
      </c>
      <c r="CM178" s="3">
        <v>10216.5</v>
      </c>
      <c r="CN178" s="3">
        <v>10392.9</v>
      </c>
      <c r="CO178" s="3">
        <v>12804</v>
      </c>
      <c r="CP178" s="3">
        <v>13460.7</v>
      </c>
      <c r="CQ178" s="3">
        <v>13562.6</v>
      </c>
      <c r="CR178" s="3">
        <v>14030</v>
      </c>
      <c r="CS178" s="3">
        <v>14279.4</v>
      </c>
      <c r="CT178" s="3">
        <v>14550</v>
      </c>
    </row>
    <row r="179" spans="1:98" ht="25.5">
      <c r="A179" s="4" t="s">
        <v>275</v>
      </c>
      <c r="B179" s="5"/>
      <c r="C179" s="5"/>
      <c r="D179" s="5"/>
      <c r="E179" s="5"/>
      <c r="F179" s="5"/>
      <c r="G179" s="5"/>
      <c r="H179" s="5"/>
      <c r="I179" s="5"/>
      <c r="J179" s="5"/>
      <c r="K179" s="5"/>
      <c r="L179" s="5"/>
      <c r="M179" s="5"/>
      <c r="N179" s="5"/>
      <c r="O179" s="5"/>
      <c r="P179" s="5"/>
      <c r="Q179" s="5"/>
      <c r="R179" s="5"/>
      <c r="S179" s="5"/>
      <c r="T179" s="5"/>
      <c r="U179" s="5"/>
      <c r="V179" s="5">
        <v>207.4</v>
      </c>
      <c r="W179" s="5">
        <v>229.2</v>
      </c>
      <c r="X179" s="5">
        <v>232</v>
      </c>
      <c r="Y179" s="5">
        <v>234.8</v>
      </c>
      <c r="Z179" s="5">
        <v>235.3</v>
      </c>
      <c r="AA179" s="5">
        <v>252</v>
      </c>
      <c r="AB179" s="5">
        <v>255.4</v>
      </c>
      <c r="AC179" s="5">
        <v>258.60000000000002</v>
      </c>
      <c r="AD179" s="5">
        <v>261.3</v>
      </c>
      <c r="AE179" s="5">
        <v>278.3</v>
      </c>
      <c r="AF179" s="5">
        <v>279.89999999999998</v>
      </c>
      <c r="AG179" s="5">
        <v>285.39999999999998</v>
      </c>
      <c r="AH179" s="5">
        <v>317.39999999999998</v>
      </c>
      <c r="AI179" s="5">
        <v>334.7</v>
      </c>
      <c r="AJ179" s="5">
        <v>345.3</v>
      </c>
      <c r="AK179" s="5">
        <v>356.1</v>
      </c>
      <c r="AL179" s="5">
        <v>374.5</v>
      </c>
      <c r="AM179" s="5">
        <v>415.2</v>
      </c>
      <c r="AN179" s="5">
        <v>430</v>
      </c>
      <c r="AO179" s="5">
        <v>567.4</v>
      </c>
      <c r="AP179" s="5">
        <v>588.29999999999995</v>
      </c>
      <c r="AQ179" s="5">
        <v>701.2</v>
      </c>
      <c r="AR179" s="5">
        <v>675.9</v>
      </c>
      <c r="AS179" s="5">
        <v>709.7</v>
      </c>
      <c r="AT179" s="5">
        <v>711</v>
      </c>
      <c r="AU179" s="5">
        <v>720.6</v>
      </c>
      <c r="AV179" s="5">
        <v>721.9</v>
      </c>
      <c r="AW179" s="5">
        <v>793.3</v>
      </c>
      <c r="AX179" s="5">
        <v>794.3</v>
      </c>
      <c r="AY179" s="5">
        <v>800.8</v>
      </c>
      <c r="AZ179" s="5">
        <v>801.4</v>
      </c>
      <c r="BA179" s="5">
        <v>801.7</v>
      </c>
      <c r="BB179" s="5">
        <v>802.1</v>
      </c>
      <c r="BC179" s="5">
        <v>807.2</v>
      </c>
      <c r="BD179" s="5">
        <v>807.9</v>
      </c>
      <c r="BE179" s="5">
        <v>794</v>
      </c>
      <c r="BF179" s="5">
        <v>794.8</v>
      </c>
      <c r="BG179" s="5">
        <v>822.2</v>
      </c>
      <c r="BH179" s="5">
        <v>822.4</v>
      </c>
      <c r="BI179" s="5">
        <v>852.9</v>
      </c>
      <c r="BJ179" s="5">
        <v>926</v>
      </c>
      <c r="BK179" s="5">
        <v>1105.7</v>
      </c>
      <c r="BL179" s="5">
        <v>1751.7</v>
      </c>
      <c r="BM179" s="5">
        <v>1365.6</v>
      </c>
      <c r="BN179" s="5">
        <v>1756.7</v>
      </c>
      <c r="BO179" s="5">
        <v>1787</v>
      </c>
      <c r="BP179" s="5">
        <v>1787</v>
      </c>
      <c r="BQ179" s="5">
        <v>2207.8000000000002</v>
      </c>
      <c r="BR179" s="5">
        <v>2187.1999999999998</v>
      </c>
      <c r="BS179" s="5">
        <v>2173.1</v>
      </c>
      <c r="BT179" s="5">
        <v>2292.1999999999998</v>
      </c>
      <c r="BU179" s="5">
        <v>2754.3</v>
      </c>
      <c r="BV179" s="5">
        <v>4146.1000000000004</v>
      </c>
      <c r="BW179" s="5">
        <v>3722.7</v>
      </c>
      <c r="BX179" s="5">
        <v>4163.1000000000004</v>
      </c>
      <c r="BY179" s="5">
        <v>3728.5</v>
      </c>
      <c r="BZ179" s="5">
        <v>3817.3</v>
      </c>
      <c r="CA179" s="5">
        <v>5415.4</v>
      </c>
      <c r="CB179" s="5">
        <v>5443.4</v>
      </c>
      <c r="CC179" s="5">
        <v>5446.8</v>
      </c>
      <c r="CD179" s="5">
        <v>5720.3</v>
      </c>
      <c r="CE179" s="5">
        <v>6333.4</v>
      </c>
      <c r="CF179" s="5">
        <v>7181.8</v>
      </c>
      <c r="CG179" s="5">
        <v>7486.5</v>
      </c>
      <c r="CH179" s="5">
        <v>8038.6</v>
      </c>
      <c r="CI179" s="5">
        <v>9375.6</v>
      </c>
      <c r="CJ179" s="5">
        <v>9912.6</v>
      </c>
      <c r="CK179" s="5">
        <v>9661.1</v>
      </c>
      <c r="CL179" s="5">
        <v>9740.2999999999993</v>
      </c>
      <c r="CM179" s="5">
        <v>9763.7000000000007</v>
      </c>
      <c r="CN179" s="5">
        <v>10013.5</v>
      </c>
      <c r="CO179" s="5">
        <v>11997.3</v>
      </c>
      <c r="CP179" s="5">
        <v>13394.8</v>
      </c>
      <c r="CQ179" s="5">
        <v>11582.1</v>
      </c>
      <c r="CR179" s="5">
        <v>13975.3</v>
      </c>
      <c r="CS179" s="5">
        <v>13987.7</v>
      </c>
      <c r="CT179" s="5">
        <v>14002.2</v>
      </c>
    </row>
    <row r="180" spans="1:98" ht="25.5">
      <c r="A180" s="2" t="s">
        <v>276</v>
      </c>
      <c r="B180" s="3"/>
      <c r="C180" s="3"/>
      <c r="D180" s="3"/>
      <c r="E180" s="3"/>
      <c r="F180" s="3"/>
      <c r="G180" s="3"/>
      <c r="H180" s="3"/>
      <c r="I180" s="3"/>
      <c r="J180" s="3"/>
      <c r="K180" s="3"/>
      <c r="L180" s="3"/>
      <c r="M180" s="3"/>
      <c r="N180" s="3"/>
      <c r="O180" s="3"/>
      <c r="P180" s="3"/>
      <c r="Q180" s="3"/>
      <c r="R180" s="3"/>
      <c r="S180" s="3"/>
      <c r="T180" s="3"/>
      <c r="U180" s="3"/>
      <c r="V180" s="3">
        <v>208.7</v>
      </c>
      <c r="W180" s="3">
        <v>229</v>
      </c>
      <c r="X180" s="3">
        <v>232.2</v>
      </c>
      <c r="Y180" s="3">
        <v>233.5</v>
      </c>
      <c r="Z180" s="3">
        <v>233.8</v>
      </c>
      <c r="AA180" s="3">
        <v>247.2</v>
      </c>
      <c r="AB180" s="3">
        <v>251.1</v>
      </c>
      <c r="AC180" s="3">
        <v>253.3</v>
      </c>
      <c r="AD180" s="3">
        <v>255.4</v>
      </c>
      <c r="AE180" s="3">
        <v>271.2</v>
      </c>
      <c r="AF180" s="3">
        <v>272.8</v>
      </c>
      <c r="AG180" s="3">
        <v>276.5</v>
      </c>
      <c r="AH180" s="3">
        <v>321.2</v>
      </c>
      <c r="AI180" s="3">
        <v>334.6</v>
      </c>
      <c r="AJ180" s="3">
        <v>347.1</v>
      </c>
      <c r="AK180" s="3">
        <v>360.6</v>
      </c>
      <c r="AL180" s="3">
        <v>342.6</v>
      </c>
      <c r="AM180" s="3">
        <v>416.1</v>
      </c>
      <c r="AN180" s="3">
        <v>464.4</v>
      </c>
      <c r="AO180" s="3">
        <v>496.6</v>
      </c>
      <c r="AP180" s="3">
        <v>625.20000000000005</v>
      </c>
      <c r="AQ180" s="3">
        <v>603.9</v>
      </c>
      <c r="AR180" s="3">
        <v>593.9</v>
      </c>
      <c r="AS180" s="3">
        <v>600.29999999999995</v>
      </c>
      <c r="AT180" s="3">
        <v>601.79999999999995</v>
      </c>
      <c r="AU180" s="3">
        <v>634.9</v>
      </c>
      <c r="AV180" s="3">
        <v>638.9</v>
      </c>
      <c r="AW180" s="3">
        <v>630.4</v>
      </c>
      <c r="AX180" s="3">
        <v>631.29999999999995</v>
      </c>
      <c r="AY180" s="3">
        <v>609.1</v>
      </c>
      <c r="AZ180" s="3">
        <v>609.5</v>
      </c>
      <c r="BA180" s="3">
        <v>584.20000000000005</v>
      </c>
      <c r="BB180" s="3">
        <v>573.20000000000005</v>
      </c>
      <c r="BC180" s="3">
        <v>595.20000000000005</v>
      </c>
      <c r="BD180" s="3">
        <v>603.5</v>
      </c>
      <c r="BE180" s="3">
        <v>671.1</v>
      </c>
      <c r="BF180" s="3">
        <v>692.3</v>
      </c>
      <c r="BG180" s="3">
        <v>685.3</v>
      </c>
      <c r="BH180" s="3">
        <v>741.5</v>
      </c>
      <c r="BI180" s="3">
        <v>743.1</v>
      </c>
      <c r="BJ180" s="3">
        <v>812.3</v>
      </c>
      <c r="BK180" s="3">
        <v>896.1</v>
      </c>
      <c r="BL180" s="3">
        <v>1181.5</v>
      </c>
      <c r="BM180" s="3">
        <v>962.1</v>
      </c>
      <c r="BN180" s="3">
        <v>1135.5</v>
      </c>
      <c r="BO180" s="3">
        <v>1071.7</v>
      </c>
      <c r="BP180" s="3">
        <v>1115.5999999999999</v>
      </c>
      <c r="BQ180" s="3">
        <v>1459.6</v>
      </c>
      <c r="BR180" s="3">
        <v>1355.7</v>
      </c>
      <c r="BS180" s="3">
        <v>1364.6</v>
      </c>
      <c r="BT180" s="3">
        <v>1594.9</v>
      </c>
      <c r="BU180" s="3">
        <v>1830.1</v>
      </c>
      <c r="BV180" s="3">
        <v>2969.5</v>
      </c>
      <c r="BW180" s="3">
        <v>2399.3000000000002</v>
      </c>
      <c r="BX180" s="3">
        <v>3255.8</v>
      </c>
      <c r="BY180" s="3">
        <v>2591</v>
      </c>
      <c r="BZ180" s="3">
        <v>2792.9</v>
      </c>
      <c r="CA180" s="3">
        <v>4088.2</v>
      </c>
      <c r="CB180" s="3">
        <v>4465.3</v>
      </c>
      <c r="CC180" s="3">
        <v>4029.1</v>
      </c>
      <c r="CD180" s="3">
        <v>3920</v>
      </c>
      <c r="CE180" s="3">
        <v>4205</v>
      </c>
      <c r="CF180" s="3">
        <v>4047.8</v>
      </c>
      <c r="CG180" s="3">
        <v>4145.2</v>
      </c>
      <c r="CH180" s="3">
        <v>4696</v>
      </c>
      <c r="CI180" s="3">
        <v>5069.8999999999996</v>
      </c>
      <c r="CJ180" s="3">
        <v>5553.3</v>
      </c>
      <c r="CK180" s="3">
        <v>6006</v>
      </c>
      <c r="CL180" s="3">
        <v>5823.6</v>
      </c>
      <c r="CM180" s="3">
        <v>5937.4</v>
      </c>
      <c r="CN180" s="3">
        <v>6153.4</v>
      </c>
      <c r="CO180" s="3">
        <v>6802.3</v>
      </c>
      <c r="CP180" s="3">
        <v>6670.1</v>
      </c>
      <c r="CQ180" s="3">
        <v>6449</v>
      </c>
      <c r="CR180" s="3">
        <v>6613.7</v>
      </c>
      <c r="CS180" s="3">
        <v>6927</v>
      </c>
      <c r="CT180" s="3">
        <v>7170</v>
      </c>
    </row>
    <row r="181" spans="1:98" ht="25.5">
      <c r="A181" s="4" t="s">
        <v>277</v>
      </c>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v>577.29999999999995</v>
      </c>
      <c r="AV181" s="5">
        <v>580</v>
      </c>
      <c r="AW181" s="5">
        <v>604.9</v>
      </c>
      <c r="AX181" s="5">
        <v>606.9</v>
      </c>
      <c r="AY181" s="5">
        <v>653</v>
      </c>
      <c r="AZ181" s="5">
        <v>654.4</v>
      </c>
      <c r="BA181" s="5">
        <v>624.6</v>
      </c>
      <c r="BB181" s="5">
        <v>625.5</v>
      </c>
      <c r="BC181" s="5">
        <v>654.9</v>
      </c>
      <c r="BD181" s="5">
        <v>667.4</v>
      </c>
      <c r="BE181" s="5">
        <v>750.9</v>
      </c>
      <c r="BF181" s="5">
        <v>752.4</v>
      </c>
      <c r="BG181" s="5">
        <v>775.7</v>
      </c>
      <c r="BH181" s="5">
        <v>795.1</v>
      </c>
      <c r="BI181" s="5">
        <v>834.5</v>
      </c>
      <c r="BJ181" s="5">
        <v>864</v>
      </c>
      <c r="BK181" s="5">
        <v>959.3</v>
      </c>
      <c r="BL181" s="5">
        <v>1341</v>
      </c>
      <c r="BM181" s="5">
        <v>1027.5</v>
      </c>
      <c r="BN181" s="5">
        <v>1353.7</v>
      </c>
      <c r="BO181" s="5">
        <v>1173.4000000000001</v>
      </c>
      <c r="BP181" s="5">
        <v>1331.1</v>
      </c>
      <c r="BQ181" s="5">
        <v>1621.1</v>
      </c>
      <c r="BR181" s="5">
        <v>1611.7</v>
      </c>
      <c r="BS181" s="5">
        <v>1614.9</v>
      </c>
      <c r="BT181" s="5">
        <v>1649.9</v>
      </c>
      <c r="BU181" s="5">
        <v>1870.2</v>
      </c>
      <c r="BV181" s="5">
        <v>3038.7</v>
      </c>
      <c r="BW181" s="5">
        <v>2052.9</v>
      </c>
      <c r="BX181" s="5">
        <v>3363.5</v>
      </c>
      <c r="BY181" s="5">
        <v>2183.5</v>
      </c>
      <c r="BZ181" s="5">
        <v>2400.6</v>
      </c>
      <c r="CA181" s="5">
        <v>3818.3</v>
      </c>
      <c r="CB181" s="5">
        <v>4077.1</v>
      </c>
      <c r="CC181" s="5">
        <v>4281.8999999999996</v>
      </c>
      <c r="CD181" s="5">
        <v>4422.6000000000004</v>
      </c>
      <c r="CE181" s="5">
        <v>4989.3</v>
      </c>
      <c r="CF181" s="5">
        <v>4716.6000000000004</v>
      </c>
      <c r="CG181" s="5">
        <v>4883.3</v>
      </c>
      <c r="CH181" s="5">
        <v>5251.4</v>
      </c>
      <c r="CI181" s="5">
        <v>5196.8</v>
      </c>
      <c r="CJ181" s="5">
        <v>5116.3</v>
      </c>
      <c r="CK181" s="5">
        <v>5544.8</v>
      </c>
      <c r="CL181" s="5">
        <v>5610.7</v>
      </c>
      <c r="CM181" s="5">
        <v>7089.6</v>
      </c>
      <c r="CN181" s="5">
        <v>7201.9</v>
      </c>
      <c r="CO181" s="5">
        <v>9270.9</v>
      </c>
      <c r="CP181" s="5">
        <v>9927.2999999999993</v>
      </c>
      <c r="CQ181" s="5">
        <v>8542.1</v>
      </c>
      <c r="CR181" s="5">
        <v>9486.9</v>
      </c>
      <c r="CS181" s="5">
        <v>9703.7000000000007</v>
      </c>
      <c r="CT181" s="5">
        <v>10721.9</v>
      </c>
    </row>
    <row r="182" spans="1:98" ht="25.5">
      <c r="A182" s="2" t="s">
        <v>278</v>
      </c>
      <c r="B182" s="3"/>
      <c r="C182" s="3"/>
      <c r="D182" s="3"/>
      <c r="E182" s="3"/>
      <c r="F182" s="3"/>
      <c r="G182" s="3"/>
      <c r="H182" s="3"/>
      <c r="I182" s="3"/>
      <c r="J182" s="3">
        <v>139.80000000000001</v>
      </c>
      <c r="K182" s="3">
        <v>147.80000000000001</v>
      </c>
      <c r="L182" s="3">
        <v>149.9</v>
      </c>
      <c r="M182" s="3">
        <v>152.5</v>
      </c>
      <c r="N182" s="3">
        <v>153.30000000000001</v>
      </c>
      <c r="O182" s="3">
        <v>166.8</v>
      </c>
      <c r="P182" s="3">
        <v>170.5</v>
      </c>
      <c r="Q182" s="3">
        <v>171.4</v>
      </c>
      <c r="R182" s="3">
        <v>171.7</v>
      </c>
      <c r="S182" s="3">
        <v>189.7</v>
      </c>
      <c r="T182" s="3">
        <v>192.2</v>
      </c>
      <c r="U182" s="3">
        <v>198.6</v>
      </c>
      <c r="V182" s="3">
        <v>203</v>
      </c>
      <c r="W182" s="3">
        <v>226</v>
      </c>
      <c r="X182" s="3">
        <v>228.4</v>
      </c>
      <c r="Y182" s="3">
        <v>233.1</v>
      </c>
      <c r="Z182" s="3">
        <v>234.3</v>
      </c>
      <c r="AA182" s="3">
        <v>251.6</v>
      </c>
      <c r="AB182" s="3">
        <v>255.7</v>
      </c>
      <c r="AC182" s="3">
        <v>259.39999999999998</v>
      </c>
      <c r="AD182" s="3">
        <v>264.5</v>
      </c>
      <c r="AE182" s="3">
        <v>283.5</v>
      </c>
      <c r="AF182" s="3">
        <v>285.5</v>
      </c>
      <c r="AG182" s="3">
        <v>290.89999999999998</v>
      </c>
      <c r="AH182" s="3">
        <v>302.10000000000002</v>
      </c>
      <c r="AI182" s="3">
        <v>323.10000000000002</v>
      </c>
      <c r="AJ182" s="3">
        <v>329.7</v>
      </c>
      <c r="AK182" s="3">
        <v>337.1</v>
      </c>
      <c r="AL182" s="3">
        <v>360.3</v>
      </c>
      <c r="AM182" s="3">
        <v>380.3</v>
      </c>
      <c r="AN182" s="3">
        <v>399.9</v>
      </c>
      <c r="AO182" s="3">
        <v>420.3</v>
      </c>
      <c r="AP182" s="3">
        <v>429.7</v>
      </c>
      <c r="AQ182" s="3">
        <v>486.1</v>
      </c>
      <c r="AR182" s="3">
        <v>495.3</v>
      </c>
      <c r="AS182" s="3">
        <v>505.7</v>
      </c>
      <c r="AT182" s="3">
        <v>517</v>
      </c>
      <c r="AU182" s="3">
        <v>599.70000000000005</v>
      </c>
      <c r="AV182" s="3">
        <v>610.20000000000005</v>
      </c>
      <c r="AW182" s="3">
        <v>619.6</v>
      </c>
      <c r="AX182" s="3">
        <v>629.20000000000005</v>
      </c>
      <c r="AY182" s="3">
        <v>694.3</v>
      </c>
      <c r="AZ182" s="3">
        <v>700.2</v>
      </c>
      <c r="BA182" s="3">
        <v>705.3</v>
      </c>
      <c r="BB182" s="3">
        <v>710.7</v>
      </c>
      <c r="BC182" s="3">
        <v>768.3</v>
      </c>
      <c r="BD182" s="3">
        <v>775.4</v>
      </c>
      <c r="BE182" s="3">
        <v>782.5</v>
      </c>
      <c r="BF182" s="3">
        <v>789.6</v>
      </c>
      <c r="BG182" s="3">
        <v>859.9</v>
      </c>
      <c r="BH182" s="3">
        <v>863.8</v>
      </c>
      <c r="BI182" s="3">
        <v>876.4</v>
      </c>
      <c r="BJ182" s="3">
        <v>884.3</v>
      </c>
      <c r="BK182" s="3">
        <v>1015.2</v>
      </c>
      <c r="BL182" s="3">
        <v>1097.3</v>
      </c>
      <c r="BM182" s="3">
        <v>1061.2</v>
      </c>
      <c r="BN182" s="3">
        <v>1125.5999999999999</v>
      </c>
      <c r="BO182" s="3">
        <v>1070.9000000000001</v>
      </c>
      <c r="BP182" s="3">
        <v>1080.2</v>
      </c>
      <c r="BQ182" s="3">
        <v>1371.5</v>
      </c>
      <c r="BR182" s="3">
        <v>1432.8</v>
      </c>
      <c r="BS182" s="3">
        <v>1459.2</v>
      </c>
      <c r="BT182" s="3">
        <v>1493.5</v>
      </c>
      <c r="BU182" s="3">
        <v>1823.6</v>
      </c>
      <c r="BV182" s="3">
        <v>2235.8000000000002</v>
      </c>
      <c r="BW182" s="3">
        <v>1992.3</v>
      </c>
      <c r="BX182" s="3">
        <v>2347.8000000000002</v>
      </c>
      <c r="BY182" s="3">
        <v>2005.8</v>
      </c>
      <c r="BZ182" s="3">
        <v>2035.6</v>
      </c>
      <c r="CA182" s="3">
        <v>3082.7</v>
      </c>
      <c r="CB182" s="3">
        <v>3228.2</v>
      </c>
      <c r="CC182" s="3">
        <v>3235.3</v>
      </c>
      <c r="CD182" s="3">
        <v>3251.7</v>
      </c>
      <c r="CE182" s="3">
        <v>4227.2</v>
      </c>
      <c r="CF182" s="3">
        <v>4308.5</v>
      </c>
      <c r="CG182" s="3">
        <v>4578.3999999999996</v>
      </c>
      <c r="CH182" s="3">
        <v>4747.5</v>
      </c>
      <c r="CI182" s="3">
        <v>4747.5</v>
      </c>
      <c r="CJ182" s="3">
        <v>4747.5</v>
      </c>
      <c r="CK182" s="3">
        <v>5867.9</v>
      </c>
      <c r="CL182" s="3">
        <v>6067.3</v>
      </c>
      <c r="CM182" s="3">
        <v>6224</v>
      </c>
      <c r="CN182" s="3">
        <v>6385.4</v>
      </c>
      <c r="CO182" s="3">
        <v>7949.8</v>
      </c>
      <c r="CP182" s="3">
        <v>8262.7000000000007</v>
      </c>
      <c r="CQ182" s="3">
        <v>8275.5</v>
      </c>
      <c r="CR182" s="3">
        <v>8620.2999999999993</v>
      </c>
      <c r="CS182" s="3">
        <v>8696.9</v>
      </c>
      <c r="CT182" s="3">
        <v>8773.5</v>
      </c>
    </row>
    <row r="183" spans="1:98" ht="25.5">
      <c r="A183" s="4" t="s">
        <v>279</v>
      </c>
      <c r="B183" s="5"/>
      <c r="C183" s="5"/>
      <c r="D183" s="5"/>
      <c r="E183" s="5"/>
      <c r="F183" s="5"/>
      <c r="G183" s="5"/>
      <c r="H183" s="5"/>
      <c r="I183" s="5"/>
      <c r="J183" s="5">
        <v>150.80000000000001</v>
      </c>
      <c r="K183" s="5">
        <v>163.69999999999999</v>
      </c>
      <c r="L183" s="5">
        <v>164</v>
      </c>
      <c r="M183" s="5">
        <v>175.9</v>
      </c>
      <c r="N183" s="5">
        <v>176</v>
      </c>
      <c r="O183" s="5">
        <v>217.3</v>
      </c>
      <c r="P183" s="5">
        <v>217.3</v>
      </c>
      <c r="Q183" s="5">
        <v>219</v>
      </c>
      <c r="R183" s="5">
        <v>219</v>
      </c>
      <c r="S183" s="5">
        <v>271.5</v>
      </c>
      <c r="T183" s="5">
        <v>271.89999999999998</v>
      </c>
      <c r="U183" s="5">
        <v>263.60000000000002</v>
      </c>
      <c r="V183" s="5">
        <v>264.39999999999998</v>
      </c>
      <c r="W183" s="5">
        <v>267.8</v>
      </c>
      <c r="X183" s="5">
        <v>268.2</v>
      </c>
      <c r="Y183" s="5">
        <v>371</v>
      </c>
      <c r="Z183" s="5">
        <v>371.1</v>
      </c>
      <c r="AA183" s="5">
        <v>373.6</v>
      </c>
      <c r="AB183" s="5">
        <v>374.1</v>
      </c>
      <c r="AC183" s="5">
        <v>374.6</v>
      </c>
      <c r="AD183" s="5">
        <v>375.1</v>
      </c>
      <c r="AE183" s="5">
        <v>377.7</v>
      </c>
      <c r="AF183" s="5">
        <v>378</v>
      </c>
      <c r="AG183" s="5">
        <v>378.8</v>
      </c>
      <c r="AH183" s="5">
        <v>383.4</v>
      </c>
      <c r="AI183" s="5">
        <v>419.7</v>
      </c>
      <c r="AJ183" s="5">
        <v>421.3</v>
      </c>
      <c r="AK183" s="5">
        <v>492.3</v>
      </c>
      <c r="AL183" s="5">
        <v>239.7</v>
      </c>
      <c r="AM183" s="5">
        <v>594.6</v>
      </c>
      <c r="AN183" s="5">
        <v>597.70000000000005</v>
      </c>
      <c r="AO183" s="5">
        <v>678.7</v>
      </c>
      <c r="AP183" s="5">
        <v>680.9</v>
      </c>
      <c r="AQ183" s="5">
        <v>809.9</v>
      </c>
      <c r="AR183" s="5">
        <v>811.5</v>
      </c>
      <c r="AS183" s="5">
        <v>863.2</v>
      </c>
      <c r="AT183" s="5">
        <v>864.9</v>
      </c>
      <c r="AU183" s="5">
        <v>971.6</v>
      </c>
      <c r="AV183" s="5">
        <v>973.3</v>
      </c>
      <c r="AW183" s="5">
        <v>992.7</v>
      </c>
      <c r="AX183" s="5">
        <v>994</v>
      </c>
      <c r="AY183" s="5">
        <v>1003.4</v>
      </c>
      <c r="AZ183" s="5">
        <v>1004.3</v>
      </c>
      <c r="BA183" s="5">
        <v>1013.7</v>
      </c>
      <c r="BB183" s="5">
        <v>1014.3</v>
      </c>
      <c r="BC183" s="5">
        <v>1022.4</v>
      </c>
      <c r="BD183" s="5">
        <v>1023.5</v>
      </c>
      <c r="BE183" s="5">
        <v>1024.7</v>
      </c>
      <c r="BF183" s="5">
        <v>1025.8</v>
      </c>
      <c r="BG183" s="5">
        <v>1134.8</v>
      </c>
      <c r="BH183" s="5">
        <v>1135.2</v>
      </c>
      <c r="BI183" s="5">
        <v>1218.7</v>
      </c>
      <c r="BJ183" s="5">
        <v>1278.4000000000001</v>
      </c>
      <c r="BK183" s="5">
        <v>1411.6</v>
      </c>
      <c r="BL183" s="5">
        <v>1683.5</v>
      </c>
      <c r="BM183" s="5">
        <v>1547.3</v>
      </c>
      <c r="BN183" s="5">
        <v>1753.8</v>
      </c>
      <c r="BO183" s="5">
        <v>1552.4</v>
      </c>
      <c r="BP183" s="5">
        <v>1659.1</v>
      </c>
      <c r="BQ183" s="5">
        <v>2103.9</v>
      </c>
      <c r="BR183" s="5">
        <v>2115.1</v>
      </c>
      <c r="BS183" s="5">
        <v>2216.8000000000002</v>
      </c>
      <c r="BT183" s="5">
        <v>2225.9</v>
      </c>
      <c r="BU183" s="5">
        <v>2831.5</v>
      </c>
      <c r="BV183" s="5">
        <v>3794.9</v>
      </c>
      <c r="BW183" s="5">
        <v>3535.1</v>
      </c>
      <c r="BX183" s="5">
        <v>4053.4</v>
      </c>
      <c r="BY183" s="5">
        <v>3603.7</v>
      </c>
      <c r="BZ183" s="5">
        <v>3657.4</v>
      </c>
      <c r="CA183" s="5">
        <v>4368.6000000000004</v>
      </c>
      <c r="CB183" s="5">
        <v>4801.8999999999996</v>
      </c>
      <c r="CC183" s="5">
        <v>5738.8</v>
      </c>
      <c r="CD183" s="5">
        <v>6109.3</v>
      </c>
      <c r="CE183" s="5">
        <v>6835.9</v>
      </c>
      <c r="CF183" s="5">
        <v>7066.4</v>
      </c>
      <c r="CG183" s="5">
        <v>7931.6</v>
      </c>
      <c r="CH183" s="5">
        <v>8124.4</v>
      </c>
      <c r="CI183" s="5">
        <v>8138.6</v>
      </c>
      <c r="CJ183" s="5">
        <v>8373.2999999999993</v>
      </c>
      <c r="CK183" s="5">
        <v>9067.9</v>
      </c>
      <c r="CL183" s="5">
        <v>9569.2000000000007</v>
      </c>
      <c r="CM183" s="5">
        <v>9730.6</v>
      </c>
      <c r="CN183" s="5">
        <v>9762.4</v>
      </c>
      <c r="CO183" s="5">
        <v>10745.8</v>
      </c>
      <c r="CP183" s="5">
        <v>10808.1</v>
      </c>
      <c r="CQ183" s="5">
        <v>11159</v>
      </c>
      <c r="CR183" s="5">
        <v>11240.1</v>
      </c>
      <c r="CS183" s="5">
        <v>11266.6</v>
      </c>
      <c r="CT183" s="5">
        <v>11287.4</v>
      </c>
    </row>
    <row r="184" spans="1:98" ht="25.5">
      <c r="A184" s="2" t="s">
        <v>280</v>
      </c>
      <c r="B184" s="3"/>
      <c r="C184" s="3"/>
      <c r="D184" s="3"/>
      <c r="E184" s="3"/>
      <c r="F184" s="3"/>
      <c r="G184" s="3"/>
      <c r="H184" s="3"/>
      <c r="I184" s="3"/>
      <c r="J184" s="3">
        <v>119.1</v>
      </c>
      <c r="K184" s="3">
        <v>120.6</v>
      </c>
      <c r="L184" s="3">
        <v>121</v>
      </c>
      <c r="M184" s="3">
        <v>127.8</v>
      </c>
      <c r="N184" s="3">
        <v>128</v>
      </c>
      <c r="O184" s="3">
        <v>131.6</v>
      </c>
      <c r="P184" s="3">
        <v>131.6</v>
      </c>
      <c r="Q184" s="3">
        <v>144.19999999999999</v>
      </c>
      <c r="R184" s="3">
        <v>144.19999999999999</v>
      </c>
      <c r="S184" s="3">
        <v>147.5</v>
      </c>
      <c r="T184" s="3">
        <v>149.30000000000001</v>
      </c>
      <c r="U184" s="3">
        <v>145</v>
      </c>
      <c r="V184" s="3">
        <v>150.30000000000001</v>
      </c>
      <c r="W184" s="3">
        <v>155.69999999999999</v>
      </c>
      <c r="X184" s="3">
        <v>159.1</v>
      </c>
      <c r="Y184" s="3">
        <v>138</v>
      </c>
      <c r="Z184" s="3">
        <v>138.1</v>
      </c>
      <c r="AA184" s="3">
        <v>158.4</v>
      </c>
      <c r="AB184" s="3">
        <v>156.19999999999999</v>
      </c>
      <c r="AC184" s="3">
        <v>156.80000000000001</v>
      </c>
      <c r="AD184" s="3">
        <v>159</v>
      </c>
      <c r="AE184" s="3">
        <v>164.4</v>
      </c>
      <c r="AF184" s="3">
        <v>169.4</v>
      </c>
      <c r="AG184" s="3">
        <v>161.69999999999999</v>
      </c>
      <c r="AH184" s="3">
        <v>178.8</v>
      </c>
      <c r="AI184" s="3">
        <v>217</v>
      </c>
      <c r="AJ184" s="3">
        <v>223</v>
      </c>
      <c r="AK184" s="3">
        <v>232.1</v>
      </c>
      <c r="AL184" s="3">
        <v>315.39999999999998</v>
      </c>
      <c r="AM184" s="3">
        <v>274.39999999999998</v>
      </c>
      <c r="AN184" s="3">
        <v>285.10000000000002</v>
      </c>
      <c r="AO184" s="3">
        <v>382.9</v>
      </c>
      <c r="AP184" s="3">
        <v>397</v>
      </c>
      <c r="AQ184" s="3">
        <v>407.2</v>
      </c>
      <c r="AR184" s="3">
        <v>409.1</v>
      </c>
      <c r="AS184" s="3">
        <v>414.5</v>
      </c>
      <c r="AT184" s="3">
        <v>427.5</v>
      </c>
      <c r="AU184" s="3">
        <v>479.5</v>
      </c>
      <c r="AV184" s="3">
        <v>484.5</v>
      </c>
      <c r="AW184" s="3">
        <v>485.5</v>
      </c>
      <c r="AX184" s="3">
        <v>487.1</v>
      </c>
      <c r="AY184" s="3">
        <v>498.7</v>
      </c>
      <c r="AZ184" s="3">
        <v>515.1</v>
      </c>
      <c r="BA184" s="3">
        <v>489.3</v>
      </c>
      <c r="BB184" s="3">
        <v>481.9</v>
      </c>
      <c r="BC184" s="3">
        <v>495.8</v>
      </c>
      <c r="BD184" s="3">
        <v>505.4</v>
      </c>
      <c r="BE184" s="3">
        <v>505.8</v>
      </c>
      <c r="BF184" s="3">
        <v>523.29999999999995</v>
      </c>
      <c r="BG184" s="3">
        <v>539.20000000000005</v>
      </c>
      <c r="BH184" s="3">
        <v>543.20000000000005</v>
      </c>
      <c r="BI184" s="3">
        <v>591.79999999999995</v>
      </c>
      <c r="BJ184" s="3">
        <v>638.29999999999995</v>
      </c>
      <c r="BK184" s="3">
        <v>708.7</v>
      </c>
      <c r="BL184" s="3">
        <v>1007.1</v>
      </c>
      <c r="BM184" s="3">
        <v>855.1</v>
      </c>
      <c r="BN184" s="3">
        <v>985.8</v>
      </c>
      <c r="BO184" s="3">
        <v>977.4</v>
      </c>
      <c r="BP184" s="3">
        <v>1147.3</v>
      </c>
      <c r="BQ184" s="3">
        <v>1132</v>
      </c>
      <c r="BR184" s="3">
        <v>1116.5</v>
      </c>
      <c r="BS184" s="3">
        <v>1111.5</v>
      </c>
      <c r="BT184" s="3">
        <v>1146.8</v>
      </c>
      <c r="BU184" s="3">
        <v>1500.7</v>
      </c>
      <c r="BV184" s="3">
        <v>2272.1</v>
      </c>
      <c r="BW184" s="3">
        <v>1595.9</v>
      </c>
      <c r="BX184" s="3">
        <v>2331.4</v>
      </c>
      <c r="BY184" s="3">
        <v>1730.1</v>
      </c>
      <c r="BZ184" s="3">
        <v>1931.4</v>
      </c>
      <c r="CA184" s="3">
        <v>2685.8</v>
      </c>
      <c r="CB184" s="3">
        <v>2743</v>
      </c>
      <c r="CC184" s="3">
        <v>2770.7</v>
      </c>
      <c r="CD184" s="3">
        <v>2782.4</v>
      </c>
      <c r="CE184" s="3">
        <v>3445</v>
      </c>
      <c r="CF184" s="3">
        <v>3465.2</v>
      </c>
      <c r="CG184" s="3">
        <v>3551.1</v>
      </c>
      <c r="CH184" s="3">
        <v>3509.2</v>
      </c>
      <c r="CI184" s="3">
        <v>3783.3</v>
      </c>
      <c r="CJ184" s="3">
        <v>4059.6</v>
      </c>
      <c r="CK184" s="3">
        <v>4317.8999999999996</v>
      </c>
      <c r="CL184" s="3">
        <v>4245.7</v>
      </c>
      <c r="CM184" s="3">
        <v>4543.2</v>
      </c>
      <c r="CN184" s="3">
        <v>4610.8999999999996</v>
      </c>
      <c r="CO184" s="3">
        <v>4971.7</v>
      </c>
      <c r="CP184" s="3">
        <v>5071.1000000000004</v>
      </c>
      <c r="CQ184" s="3">
        <v>5521.5</v>
      </c>
      <c r="CR184" s="3">
        <v>5614.5</v>
      </c>
      <c r="CS184" s="3">
        <v>6136.4</v>
      </c>
      <c r="CT184" s="3">
        <v>6161.5</v>
      </c>
    </row>
    <row r="185" spans="1:98" ht="25.5">
      <c r="A185" s="4" t="s">
        <v>281</v>
      </c>
      <c r="B185" s="5"/>
      <c r="C185" s="5"/>
      <c r="D185" s="5"/>
      <c r="E185" s="5"/>
      <c r="F185" s="5"/>
      <c r="G185" s="5"/>
      <c r="H185" s="5"/>
      <c r="I185" s="5"/>
      <c r="J185" s="5">
        <v>131.1</v>
      </c>
      <c r="K185" s="5">
        <v>140.69999999999999</v>
      </c>
      <c r="L185" s="5">
        <v>140.9</v>
      </c>
      <c r="M185" s="5">
        <v>144.4</v>
      </c>
      <c r="N185" s="5">
        <v>144.5</v>
      </c>
      <c r="O185" s="5">
        <v>161.6</v>
      </c>
      <c r="P185" s="5">
        <v>161.6</v>
      </c>
      <c r="Q185" s="5">
        <v>183.1</v>
      </c>
      <c r="R185" s="5">
        <v>183.2</v>
      </c>
      <c r="S185" s="5">
        <v>184.9</v>
      </c>
      <c r="T185" s="5">
        <v>185.9</v>
      </c>
      <c r="U185" s="5">
        <v>215.3</v>
      </c>
      <c r="V185" s="5">
        <v>215.7</v>
      </c>
      <c r="W185" s="5">
        <v>217.8</v>
      </c>
      <c r="X185" s="5">
        <v>219</v>
      </c>
      <c r="Y185" s="5">
        <v>228.1</v>
      </c>
      <c r="Z185" s="5">
        <v>228.1</v>
      </c>
      <c r="AA185" s="5">
        <v>229.8</v>
      </c>
      <c r="AB185" s="5">
        <v>230.1</v>
      </c>
      <c r="AC185" s="5">
        <v>225.3</v>
      </c>
      <c r="AD185" s="5">
        <v>226.3</v>
      </c>
      <c r="AE185" s="5">
        <v>247.5</v>
      </c>
      <c r="AF185" s="5">
        <v>248.3</v>
      </c>
      <c r="AG185" s="5">
        <v>248.8</v>
      </c>
      <c r="AH185" s="5">
        <v>251.3</v>
      </c>
      <c r="AI185" s="5">
        <v>268.60000000000002</v>
      </c>
      <c r="AJ185" s="5">
        <v>269.8</v>
      </c>
      <c r="AK185" s="5">
        <v>303</v>
      </c>
      <c r="AL185" s="5">
        <v>340.1</v>
      </c>
      <c r="AM185" s="5">
        <v>335.9</v>
      </c>
      <c r="AN185" s="5">
        <v>366.7</v>
      </c>
      <c r="AO185" s="5">
        <v>486.6</v>
      </c>
      <c r="AP185" s="5">
        <v>489.7</v>
      </c>
      <c r="AQ185" s="5">
        <v>493.7</v>
      </c>
      <c r="AR185" s="5">
        <v>495.9</v>
      </c>
      <c r="AS185" s="5">
        <v>549.9</v>
      </c>
      <c r="AT185" s="5">
        <v>552</v>
      </c>
      <c r="AU185" s="5">
        <v>560</v>
      </c>
      <c r="AV185" s="5">
        <v>561.70000000000005</v>
      </c>
      <c r="AW185" s="5">
        <v>575.9</v>
      </c>
      <c r="AX185" s="5">
        <v>576.6</v>
      </c>
      <c r="AY185" s="5">
        <v>653.79999999999995</v>
      </c>
      <c r="AZ185" s="5">
        <v>654.29999999999995</v>
      </c>
      <c r="BA185" s="5">
        <v>651.79999999999995</v>
      </c>
      <c r="BB185" s="5">
        <v>652.20000000000005</v>
      </c>
      <c r="BC185" s="5">
        <v>653.9</v>
      </c>
      <c r="BD185" s="5">
        <v>655.4</v>
      </c>
      <c r="BE185" s="5">
        <v>650.79999999999995</v>
      </c>
      <c r="BF185" s="5">
        <v>652.79999999999995</v>
      </c>
      <c r="BG185" s="5">
        <v>688</v>
      </c>
      <c r="BH185" s="5">
        <v>689.1</v>
      </c>
      <c r="BI185" s="5">
        <v>787.7</v>
      </c>
      <c r="BJ185" s="5">
        <v>796</v>
      </c>
      <c r="BK185" s="5">
        <v>942.6</v>
      </c>
      <c r="BL185" s="5">
        <v>1462.4</v>
      </c>
      <c r="BM185" s="5">
        <v>1410.6</v>
      </c>
      <c r="BN185" s="5">
        <v>1470.1</v>
      </c>
      <c r="BO185" s="5">
        <v>1620.7</v>
      </c>
      <c r="BP185" s="5">
        <v>1513.4</v>
      </c>
      <c r="BQ185" s="5">
        <v>1856.6</v>
      </c>
      <c r="BR185" s="5">
        <v>1868.1</v>
      </c>
      <c r="BS185" s="5">
        <v>1808.7</v>
      </c>
      <c r="BT185" s="5">
        <v>1819.1</v>
      </c>
      <c r="BU185" s="5">
        <v>2279.5</v>
      </c>
      <c r="BV185" s="5">
        <v>4328.7</v>
      </c>
      <c r="BW185" s="5">
        <v>2367.6999999999998</v>
      </c>
      <c r="BX185" s="5">
        <v>4340.5</v>
      </c>
      <c r="BY185" s="5">
        <v>2844</v>
      </c>
      <c r="BZ185" s="5">
        <v>2979.5</v>
      </c>
      <c r="CA185" s="5">
        <v>4987.6000000000004</v>
      </c>
      <c r="CB185" s="5">
        <v>5110.5</v>
      </c>
      <c r="CC185" s="5">
        <v>5268.1</v>
      </c>
      <c r="CD185" s="5">
        <v>5790.9</v>
      </c>
      <c r="CE185" s="5">
        <v>6406.6</v>
      </c>
      <c r="CF185" s="5">
        <v>6862.9</v>
      </c>
      <c r="CG185" s="5">
        <v>7092.5</v>
      </c>
      <c r="CH185" s="5">
        <v>7572.4</v>
      </c>
      <c r="CI185" s="5">
        <v>7572.5</v>
      </c>
      <c r="CJ185" s="5">
        <v>7573.4</v>
      </c>
      <c r="CK185" s="5">
        <v>7683.2</v>
      </c>
      <c r="CL185" s="5">
        <v>7704.9</v>
      </c>
      <c r="CM185" s="5">
        <v>8363.5</v>
      </c>
      <c r="CN185" s="5">
        <v>8386.7999999999993</v>
      </c>
      <c r="CO185" s="5">
        <v>11042.3</v>
      </c>
      <c r="CP185" s="5">
        <v>11077.1</v>
      </c>
      <c r="CQ185" s="5">
        <v>10892.1</v>
      </c>
      <c r="CR185" s="5">
        <v>10965.1</v>
      </c>
      <c r="CS185" s="5">
        <v>10974.7</v>
      </c>
      <c r="CT185" s="5">
        <v>10986</v>
      </c>
    </row>
    <row r="186" spans="1:98" ht="25.5">
      <c r="A186" s="2" t="s">
        <v>282</v>
      </c>
      <c r="B186" s="3"/>
      <c r="C186" s="3"/>
      <c r="D186" s="3"/>
      <c r="E186" s="3"/>
      <c r="F186" s="3"/>
      <c r="G186" s="3"/>
      <c r="H186" s="3"/>
      <c r="I186" s="3"/>
      <c r="J186" s="3">
        <v>141.19999999999999</v>
      </c>
      <c r="K186" s="3">
        <v>148.1</v>
      </c>
      <c r="L186" s="3">
        <v>150.9</v>
      </c>
      <c r="M186" s="3">
        <v>152.4</v>
      </c>
      <c r="N186" s="3">
        <v>152.9</v>
      </c>
      <c r="O186" s="3">
        <v>162</v>
      </c>
      <c r="P186" s="3">
        <v>163.30000000000001</v>
      </c>
      <c r="Q186" s="3">
        <v>165.3</v>
      </c>
      <c r="R186" s="3">
        <v>165.5</v>
      </c>
      <c r="S186" s="3">
        <v>180</v>
      </c>
      <c r="T186" s="3">
        <v>181.3</v>
      </c>
      <c r="U186" s="3">
        <v>189.5</v>
      </c>
      <c r="V186" s="3">
        <v>195.1</v>
      </c>
      <c r="W186" s="3">
        <v>217.1</v>
      </c>
      <c r="X186" s="3">
        <v>230</v>
      </c>
      <c r="Y186" s="3">
        <v>234.7</v>
      </c>
      <c r="Z186" s="3">
        <v>232.1</v>
      </c>
      <c r="AA186" s="3">
        <v>238</v>
      </c>
      <c r="AB186" s="3">
        <v>240.5</v>
      </c>
      <c r="AC186" s="3">
        <v>244.1</v>
      </c>
      <c r="AD186" s="3">
        <v>245.8</v>
      </c>
      <c r="AE186" s="3">
        <v>264.7</v>
      </c>
      <c r="AF186" s="3">
        <v>265.7</v>
      </c>
      <c r="AG186" s="3">
        <v>269.10000000000002</v>
      </c>
      <c r="AH186" s="3">
        <v>288.39999999999998</v>
      </c>
      <c r="AI186" s="3">
        <v>304.5</v>
      </c>
      <c r="AJ186" s="3">
        <v>315.5</v>
      </c>
      <c r="AK186" s="3">
        <v>323.10000000000002</v>
      </c>
      <c r="AL186" s="3">
        <v>281.89999999999998</v>
      </c>
      <c r="AM186" s="3">
        <v>362.4</v>
      </c>
      <c r="AN186" s="3">
        <v>381.4</v>
      </c>
      <c r="AO186" s="3">
        <v>411.5</v>
      </c>
      <c r="AP186" s="3">
        <v>433.9</v>
      </c>
      <c r="AQ186" s="3">
        <v>476.2</v>
      </c>
      <c r="AR186" s="3">
        <v>486.9</v>
      </c>
      <c r="AS186" s="3">
        <v>491.7</v>
      </c>
      <c r="AT186" s="3">
        <v>496.4</v>
      </c>
      <c r="AU186" s="3">
        <v>540.5</v>
      </c>
      <c r="AV186" s="3">
        <v>564.70000000000005</v>
      </c>
      <c r="AW186" s="3">
        <v>561.29999999999995</v>
      </c>
      <c r="AX186" s="3">
        <v>558.70000000000005</v>
      </c>
      <c r="AY186" s="3">
        <v>584</v>
      </c>
      <c r="AZ186" s="3">
        <v>586.1</v>
      </c>
      <c r="BA186" s="3">
        <v>583.6</v>
      </c>
      <c r="BB186" s="3">
        <v>576.70000000000005</v>
      </c>
      <c r="BC186" s="3">
        <v>605.29999999999995</v>
      </c>
      <c r="BD186" s="3">
        <v>613.4</v>
      </c>
      <c r="BE186" s="3">
        <v>630.4</v>
      </c>
      <c r="BF186" s="3">
        <v>640.5</v>
      </c>
      <c r="BG186" s="3">
        <v>686.8</v>
      </c>
      <c r="BH186" s="3">
        <v>693.2</v>
      </c>
      <c r="BI186" s="3">
        <v>708.7</v>
      </c>
      <c r="BJ186" s="3">
        <v>723.2</v>
      </c>
      <c r="BK186" s="3">
        <v>816.8</v>
      </c>
      <c r="BL186" s="3">
        <v>1018.8</v>
      </c>
      <c r="BM186" s="3">
        <v>889.9</v>
      </c>
      <c r="BN186" s="3">
        <v>1019.9</v>
      </c>
      <c r="BO186" s="3">
        <v>946.4</v>
      </c>
      <c r="BP186" s="3">
        <v>1003.9</v>
      </c>
      <c r="BQ186" s="3">
        <v>1167.8</v>
      </c>
      <c r="BR186" s="3">
        <v>1230.5</v>
      </c>
      <c r="BS186" s="3">
        <v>1263.4000000000001</v>
      </c>
      <c r="BT186" s="3">
        <v>1311.8</v>
      </c>
      <c r="BU186" s="3">
        <v>1544.1</v>
      </c>
      <c r="BV186" s="3">
        <v>2207.6999999999998</v>
      </c>
      <c r="BW186" s="3">
        <v>1805</v>
      </c>
      <c r="BX186" s="3">
        <v>2352.4</v>
      </c>
      <c r="BY186" s="3">
        <v>1856.8</v>
      </c>
      <c r="BZ186" s="3">
        <v>1950.7</v>
      </c>
      <c r="CA186" s="3">
        <v>2963.1</v>
      </c>
      <c r="CB186" s="3">
        <v>3289</v>
      </c>
      <c r="CC186" s="3">
        <v>3477</v>
      </c>
      <c r="CD186" s="3">
        <v>3568.6</v>
      </c>
      <c r="CE186" s="3">
        <v>4342.8999999999996</v>
      </c>
      <c r="CF186" s="3">
        <v>4409.6000000000004</v>
      </c>
      <c r="CG186" s="3">
        <v>4689.5</v>
      </c>
      <c r="CH186" s="3">
        <v>4999.8</v>
      </c>
      <c r="CI186" s="3">
        <v>5045.1000000000004</v>
      </c>
      <c r="CJ186" s="3">
        <v>5294.5</v>
      </c>
      <c r="CK186" s="3">
        <v>6010</v>
      </c>
      <c r="CL186" s="3">
        <v>6205.6</v>
      </c>
      <c r="CM186" s="3">
        <v>6369.4</v>
      </c>
      <c r="CN186" s="3">
        <v>6419</v>
      </c>
      <c r="CO186" s="3">
        <v>7558.6</v>
      </c>
      <c r="CP186" s="3">
        <v>8053.5</v>
      </c>
      <c r="CQ186" s="3">
        <v>8246.1</v>
      </c>
      <c r="CR186" s="3">
        <v>8755.5</v>
      </c>
      <c r="CS186" s="3">
        <v>9166.6</v>
      </c>
      <c r="CT186" s="3">
        <v>9634.9</v>
      </c>
    </row>
    <row r="187" spans="1:98" ht="25.5">
      <c r="A187" s="4" t="s">
        <v>283</v>
      </c>
      <c r="B187" s="5"/>
      <c r="C187" s="5"/>
      <c r="D187" s="5"/>
      <c r="E187" s="5"/>
      <c r="F187" s="5"/>
      <c r="G187" s="5"/>
      <c r="H187" s="5"/>
      <c r="I187" s="5"/>
      <c r="J187" s="5">
        <v>131.9</v>
      </c>
      <c r="K187" s="5">
        <v>135.1</v>
      </c>
      <c r="L187" s="5">
        <v>135.30000000000001</v>
      </c>
      <c r="M187" s="5">
        <v>139.6</v>
      </c>
      <c r="N187" s="5">
        <v>139.69999999999999</v>
      </c>
      <c r="O187" s="5">
        <v>160.4</v>
      </c>
      <c r="P187" s="5">
        <v>160.4</v>
      </c>
      <c r="Q187" s="5">
        <v>175.8</v>
      </c>
      <c r="R187" s="5">
        <v>175.8</v>
      </c>
      <c r="S187" s="5">
        <v>184.6</v>
      </c>
      <c r="T187" s="5">
        <v>185</v>
      </c>
      <c r="U187" s="5">
        <v>206.4</v>
      </c>
      <c r="V187" s="5">
        <v>207</v>
      </c>
      <c r="W187" s="5">
        <v>219.3</v>
      </c>
      <c r="X187" s="5">
        <v>219.6</v>
      </c>
      <c r="Y187" s="5">
        <v>224.5</v>
      </c>
      <c r="Z187" s="5">
        <v>224.6</v>
      </c>
      <c r="AA187" s="5">
        <v>227</v>
      </c>
      <c r="AB187" s="5">
        <v>227.3</v>
      </c>
      <c r="AC187" s="5">
        <v>228</v>
      </c>
      <c r="AD187" s="5">
        <v>228.5</v>
      </c>
      <c r="AE187" s="5">
        <v>209.7</v>
      </c>
      <c r="AF187" s="5">
        <v>210.5</v>
      </c>
      <c r="AG187" s="5">
        <v>216.3</v>
      </c>
      <c r="AH187" s="5">
        <v>218.3</v>
      </c>
      <c r="AI187" s="5">
        <v>233.7</v>
      </c>
      <c r="AJ187" s="5">
        <v>234.6</v>
      </c>
      <c r="AK187" s="5">
        <v>277.39999999999998</v>
      </c>
      <c r="AL187" s="5">
        <v>338.4</v>
      </c>
      <c r="AM187" s="5">
        <v>380.4</v>
      </c>
      <c r="AN187" s="5">
        <v>433.7</v>
      </c>
      <c r="AO187" s="5">
        <v>597.6</v>
      </c>
      <c r="AP187" s="5">
        <v>599.5</v>
      </c>
      <c r="AQ187" s="5">
        <v>622.1</v>
      </c>
      <c r="AR187" s="5">
        <v>623.4</v>
      </c>
      <c r="AS187" s="5">
        <v>631.29999999999995</v>
      </c>
      <c r="AT187" s="5">
        <v>633.20000000000005</v>
      </c>
      <c r="AU187" s="5">
        <v>644</v>
      </c>
      <c r="AV187" s="5">
        <v>645.5</v>
      </c>
      <c r="AW187" s="5">
        <v>665</v>
      </c>
      <c r="AX187" s="5">
        <v>666.2</v>
      </c>
      <c r="AY187" s="5">
        <v>653.1</v>
      </c>
      <c r="AZ187" s="5">
        <v>653.29999999999995</v>
      </c>
      <c r="BA187" s="5">
        <v>661.8</v>
      </c>
      <c r="BB187" s="5">
        <v>662.5</v>
      </c>
      <c r="BC187" s="5">
        <v>708.9</v>
      </c>
      <c r="BD187" s="5">
        <v>702.7</v>
      </c>
      <c r="BE187" s="5">
        <v>831.2</v>
      </c>
      <c r="BF187" s="5">
        <v>813.7</v>
      </c>
      <c r="BG187" s="5">
        <v>856.1</v>
      </c>
      <c r="BH187" s="5">
        <v>857</v>
      </c>
      <c r="BI187" s="5">
        <v>915.3</v>
      </c>
      <c r="BJ187" s="5">
        <v>930.3</v>
      </c>
      <c r="BK187" s="5">
        <v>1103.3</v>
      </c>
      <c r="BL187" s="5">
        <v>1903.5</v>
      </c>
      <c r="BM187" s="5">
        <v>1289.2</v>
      </c>
      <c r="BN187" s="5">
        <v>1890.2</v>
      </c>
      <c r="BO187" s="5">
        <v>1475.6</v>
      </c>
      <c r="BP187" s="5">
        <v>1653.3</v>
      </c>
      <c r="BQ187" s="5">
        <v>2191.1</v>
      </c>
      <c r="BR187" s="5">
        <v>2096.6999999999998</v>
      </c>
      <c r="BS187" s="5">
        <v>2204.6999999999998</v>
      </c>
      <c r="BT187" s="5">
        <v>2106.9</v>
      </c>
      <c r="BU187" s="5">
        <v>2567.4</v>
      </c>
      <c r="BV187" s="5">
        <v>4196.8999999999996</v>
      </c>
      <c r="BW187" s="5">
        <v>2784.2</v>
      </c>
      <c r="BX187" s="5">
        <v>4212</v>
      </c>
      <c r="BY187" s="5">
        <v>3142.1</v>
      </c>
      <c r="BZ187" s="5">
        <v>3286.7</v>
      </c>
      <c r="CA187" s="5">
        <v>5020.8999999999996</v>
      </c>
      <c r="CB187" s="5">
        <v>5187.3999999999996</v>
      </c>
      <c r="CC187" s="5">
        <v>5280.3</v>
      </c>
      <c r="CD187" s="5">
        <v>5566.5</v>
      </c>
      <c r="CE187" s="5">
        <v>6395.1</v>
      </c>
      <c r="CF187" s="5">
        <v>6582.1</v>
      </c>
      <c r="CG187" s="5">
        <v>6794</v>
      </c>
      <c r="CH187" s="5">
        <v>7014.9</v>
      </c>
      <c r="CI187" s="5">
        <v>7015.2</v>
      </c>
      <c r="CJ187" s="5">
        <v>7015.4</v>
      </c>
      <c r="CK187" s="5">
        <v>7954.5</v>
      </c>
      <c r="CL187" s="5">
        <v>7940.8</v>
      </c>
      <c r="CM187" s="5">
        <v>8510.5</v>
      </c>
      <c r="CN187" s="5">
        <v>8532.6</v>
      </c>
      <c r="CO187" s="5">
        <v>10423.799999999999</v>
      </c>
      <c r="CP187" s="5">
        <v>10564</v>
      </c>
      <c r="CQ187" s="5">
        <v>10298</v>
      </c>
      <c r="CR187" s="5">
        <v>10854.5</v>
      </c>
      <c r="CS187" s="5">
        <v>11550</v>
      </c>
      <c r="CT187" s="5">
        <v>11723.5</v>
      </c>
    </row>
    <row r="188" spans="1:98" ht="25.5">
      <c r="A188" s="2" t="s">
        <v>284</v>
      </c>
      <c r="B188" s="3"/>
      <c r="C188" s="3"/>
      <c r="D188" s="3"/>
      <c r="E188" s="3"/>
      <c r="F188" s="3"/>
      <c r="G188" s="3"/>
      <c r="H188" s="3"/>
      <c r="I188" s="3"/>
      <c r="J188" s="3">
        <v>108.3</v>
      </c>
      <c r="K188" s="3">
        <v>112.1</v>
      </c>
      <c r="L188" s="3">
        <v>112.2</v>
      </c>
      <c r="M188" s="3">
        <v>119.2</v>
      </c>
      <c r="N188" s="3">
        <v>119.2</v>
      </c>
      <c r="O188" s="3">
        <v>155</v>
      </c>
      <c r="P188" s="3">
        <v>155</v>
      </c>
      <c r="Q188" s="3">
        <v>155.80000000000001</v>
      </c>
      <c r="R188" s="3">
        <v>155.80000000000001</v>
      </c>
      <c r="S188" s="3">
        <v>183.4</v>
      </c>
      <c r="T188" s="3">
        <v>183.4</v>
      </c>
      <c r="U188" s="3">
        <v>183.5</v>
      </c>
      <c r="V188" s="3">
        <v>196</v>
      </c>
      <c r="W188" s="3">
        <v>213.1</v>
      </c>
      <c r="X188" s="3">
        <v>213.1</v>
      </c>
      <c r="Y188" s="3">
        <v>178.3</v>
      </c>
      <c r="Z188" s="3">
        <v>180.5</v>
      </c>
      <c r="AA188" s="3">
        <v>192.6</v>
      </c>
      <c r="AB188" s="3">
        <v>212.3</v>
      </c>
      <c r="AC188" s="3">
        <v>229.1</v>
      </c>
      <c r="AD188" s="3">
        <v>242.5</v>
      </c>
      <c r="AE188" s="3">
        <v>258.8</v>
      </c>
      <c r="AF188" s="3">
        <v>258.8</v>
      </c>
      <c r="AG188" s="3">
        <v>259.89999999999998</v>
      </c>
      <c r="AH188" s="3">
        <v>277.39999999999998</v>
      </c>
      <c r="AI188" s="3">
        <v>279.39999999999998</v>
      </c>
      <c r="AJ188" s="3">
        <v>283.39999999999998</v>
      </c>
      <c r="AK188" s="3">
        <v>283.5</v>
      </c>
      <c r="AL188" s="3">
        <v>293.7</v>
      </c>
      <c r="AM188" s="3">
        <v>404.6</v>
      </c>
      <c r="AN188" s="3">
        <v>531.6</v>
      </c>
      <c r="AO188" s="3">
        <v>623.70000000000005</v>
      </c>
      <c r="AP188" s="3">
        <v>623.9</v>
      </c>
      <c r="AQ188" s="3">
        <v>625.9</v>
      </c>
      <c r="AR188" s="3">
        <v>593.6</v>
      </c>
      <c r="AS188" s="3">
        <v>584.6</v>
      </c>
      <c r="AT188" s="3">
        <v>584.70000000000005</v>
      </c>
      <c r="AU188" s="3">
        <v>590.5</v>
      </c>
      <c r="AV188" s="3">
        <v>590.6</v>
      </c>
      <c r="AW188" s="3">
        <v>598.1</v>
      </c>
      <c r="AX188" s="3">
        <v>597.9</v>
      </c>
      <c r="AY188" s="3">
        <v>598.4</v>
      </c>
      <c r="AZ188" s="3">
        <v>598.4</v>
      </c>
      <c r="BA188" s="3">
        <v>536</v>
      </c>
      <c r="BB188" s="3">
        <v>536</v>
      </c>
      <c r="BC188" s="3">
        <v>528.4</v>
      </c>
      <c r="BD188" s="3">
        <v>528.5</v>
      </c>
      <c r="BE188" s="3">
        <v>614</v>
      </c>
      <c r="BF188" s="3">
        <v>643.4</v>
      </c>
      <c r="BG188" s="3">
        <v>680.2</v>
      </c>
      <c r="BH188" s="3">
        <v>697.5</v>
      </c>
      <c r="BI188" s="3">
        <v>781.1</v>
      </c>
      <c r="BJ188" s="3">
        <v>840.7</v>
      </c>
      <c r="BK188" s="3">
        <v>1123.2</v>
      </c>
      <c r="BL188" s="3">
        <v>1737.4</v>
      </c>
      <c r="BM188" s="3">
        <v>1395.6</v>
      </c>
      <c r="BN188" s="3">
        <v>1799.1</v>
      </c>
      <c r="BO188" s="3">
        <v>1445.1</v>
      </c>
      <c r="BP188" s="3">
        <v>1755.1</v>
      </c>
      <c r="BQ188" s="3">
        <v>2158.9</v>
      </c>
      <c r="BR188" s="3">
        <v>2128.8000000000002</v>
      </c>
      <c r="BS188" s="3">
        <v>2173</v>
      </c>
      <c r="BT188" s="3">
        <v>2220.6999999999998</v>
      </c>
      <c r="BU188" s="3">
        <v>2498.1999999999998</v>
      </c>
      <c r="BV188" s="3">
        <v>4508.7</v>
      </c>
      <c r="BW188" s="3">
        <v>3151.5</v>
      </c>
      <c r="BX188" s="3">
        <v>4842.1000000000004</v>
      </c>
      <c r="BY188" s="3">
        <v>3469.8</v>
      </c>
      <c r="BZ188" s="3">
        <v>3955.2</v>
      </c>
      <c r="CA188" s="3">
        <v>5152.2</v>
      </c>
      <c r="CB188" s="3">
        <v>5267.2</v>
      </c>
      <c r="CC188" s="3">
        <v>5597.9</v>
      </c>
      <c r="CD188" s="3">
        <v>5946.3</v>
      </c>
      <c r="CE188" s="3">
        <v>6154.6</v>
      </c>
      <c r="CF188" s="3">
        <v>6004.1</v>
      </c>
      <c r="CG188" s="3">
        <v>6865.8</v>
      </c>
      <c r="CH188" s="3">
        <v>7413.7</v>
      </c>
      <c r="CI188" s="3">
        <v>8690.1</v>
      </c>
      <c r="CJ188" s="3">
        <v>8791</v>
      </c>
      <c r="CK188" s="3">
        <v>8862.1</v>
      </c>
      <c r="CL188" s="3">
        <v>8735.6</v>
      </c>
      <c r="CM188" s="3">
        <v>9169.6</v>
      </c>
      <c r="CN188" s="3">
        <v>9931</v>
      </c>
      <c r="CO188" s="3">
        <v>11497.8</v>
      </c>
      <c r="CP188" s="3">
        <v>11670.5</v>
      </c>
      <c r="CQ188" s="3">
        <v>12298.3</v>
      </c>
      <c r="CR188" s="3">
        <v>14118.8</v>
      </c>
      <c r="CS188" s="3">
        <v>14124.8</v>
      </c>
      <c r="CT188" s="3">
        <v>15509.5</v>
      </c>
    </row>
    <row r="189" spans="1:98" ht="25.5">
      <c r="A189" s="4" t="s">
        <v>285</v>
      </c>
      <c r="B189" s="5"/>
      <c r="C189" s="5"/>
      <c r="D189" s="5"/>
      <c r="E189" s="5"/>
      <c r="F189" s="5"/>
      <c r="G189" s="5"/>
      <c r="H189" s="5"/>
      <c r="I189" s="5"/>
      <c r="J189" s="5">
        <v>139</v>
      </c>
      <c r="K189" s="5">
        <v>139.6</v>
      </c>
      <c r="L189" s="5">
        <v>139.80000000000001</v>
      </c>
      <c r="M189" s="5">
        <v>144.80000000000001</v>
      </c>
      <c r="N189" s="5">
        <v>144.80000000000001</v>
      </c>
      <c r="O189" s="5">
        <v>150.69999999999999</v>
      </c>
      <c r="P189" s="5">
        <v>169.4</v>
      </c>
      <c r="Q189" s="5">
        <v>174.8</v>
      </c>
      <c r="R189" s="5">
        <v>177.6</v>
      </c>
      <c r="S189" s="5">
        <v>234.2</v>
      </c>
      <c r="T189" s="5">
        <v>239.3</v>
      </c>
      <c r="U189" s="5">
        <v>240.1</v>
      </c>
      <c r="V189" s="5">
        <v>260.39999999999998</v>
      </c>
      <c r="W189" s="5">
        <v>268.7</v>
      </c>
      <c r="X189" s="5">
        <v>269.3</v>
      </c>
      <c r="Y189" s="5">
        <v>199.5</v>
      </c>
      <c r="Z189" s="5">
        <v>227.6</v>
      </c>
      <c r="AA189" s="5">
        <v>209.7</v>
      </c>
      <c r="AB189" s="5">
        <v>214</v>
      </c>
      <c r="AC189" s="5">
        <v>226.7</v>
      </c>
      <c r="AD189" s="5">
        <v>226.8</v>
      </c>
      <c r="AE189" s="5">
        <v>233.1</v>
      </c>
      <c r="AF189" s="5">
        <v>228.6</v>
      </c>
      <c r="AG189" s="5">
        <v>242.6</v>
      </c>
      <c r="AH189" s="5">
        <v>252.6</v>
      </c>
      <c r="AI189" s="5">
        <v>257.3</v>
      </c>
      <c r="AJ189" s="5">
        <v>272.8</v>
      </c>
      <c r="AK189" s="5">
        <v>284.5</v>
      </c>
      <c r="AL189" s="5">
        <v>273</v>
      </c>
      <c r="AM189" s="5">
        <v>332.1</v>
      </c>
      <c r="AN189" s="5">
        <v>383.6</v>
      </c>
      <c r="AO189" s="5">
        <v>421.2</v>
      </c>
      <c r="AP189" s="5">
        <v>610.5</v>
      </c>
      <c r="AQ189" s="5">
        <v>606.6</v>
      </c>
      <c r="AR189" s="5">
        <v>598.20000000000005</v>
      </c>
      <c r="AS189" s="5">
        <v>611.1</v>
      </c>
      <c r="AT189" s="5">
        <v>611.79999999999995</v>
      </c>
      <c r="AU189" s="5">
        <v>634.20000000000005</v>
      </c>
      <c r="AV189" s="5">
        <v>635.1</v>
      </c>
      <c r="AW189" s="5">
        <v>635.6</v>
      </c>
      <c r="AX189" s="5">
        <v>635.70000000000005</v>
      </c>
      <c r="AY189" s="5">
        <v>638.9</v>
      </c>
      <c r="AZ189" s="5">
        <v>638.9</v>
      </c>
      <c r="BA189" s="5">
        <v>589.9</v>
      </c>
      <c r="BB189" s="5">
        <v>589.6</v>
      </c>
      <c r="BC189" s="5">
        <v>608.9</v>
      </c>
      <c r="BD189" s="5">
        <v>630.4</v>
      </c>
      <c r="BE189" s="5">
        <v>713.2</v>
      </c>
      <c r="BF189" s="5">
        <v>714.7</v>
      </c>
      <c r="BG189" s="5">
        <v>718.7</v>
      </c>
      <c r="BH189" s="5">
        <v>828.8</v>
      </c>
      <c r="BI189" s="5">
        <v>914.8</v>
      </c>
      <c r="BJ189" s="5">
        <v>947.7</v>
      </c>
      <c r="BK189" s="5">
        <v>1085.5999999999999</v>
      </c>
      <c r="BL189" s="5">
        <v>1797.4</v>
      </c>
      <c r="BM189" s="5">
        <v>1153.8</v>
      </c>
      <c r="BN189" s="5">
        <v>1804.4</v>
      </c>
      <c r="BO189" s="5">
        <v>1348.4</v>
      </c>
      <c r="BP189" s="5">
        <v>1412.4</v>
      </c>
      <c r="BQ189" s="5">
        <v>2161.6999999999998</v>
      </c>
      <c r="BR189" s="5">
        <v>2099.1999999999998</v>
      </c>
      <c r="BS189" s="5">
        <v>1923.6</v>
      </c>
      <c r="BT189" s="5">
        <v>2360.4</v>
      </c>
      <c r="BU189" s="5">
        <v>2523.3000000000002</v>
      </c>
      <c r="BV189" s="5">
        <v>4681</v>
      </c>
      <c r="BW189" s="5">
        <v>2862.5</v>
      </c>
      <c r="BX189" s="5">
        <v>5030.7</v>
      </c>
      <c r="BY189" s="5">
        <v>3755.4</v>
      </c>
      <c r="BZ189" s="5">
        <v>3994.7</v>
      </c>
      <c r="CA189" s="5">
        <v>5173.5</v>
      </c>
      <c r="CB189" s="5">
        <v>5697.7</v>
      </c>
      <c r="CC189" s="5">
        <v>5431.7</v>
      </c>
      <c r="CD189" s="5">
        <v>5343.6</v>
      </c>
      <c r="CE189" s="5">
        <v>5798.8</v>
      </c>
      <c r="CF189" s="5">
        <v>5263.4</v>
      </c>
      <c r="CG189" s="5">
        <v>5602.9</v>
      </c>
      <c r="CH189" s="5">
        <v>6774.7</v>
      </c>
      <c r="CI189" s="5">
        <v>6904</v>
      </c>
      <c r="CJ189" s="5">
        <v>7005.1</v>
      </c>
      <c r="CK189" s="5">
        <v>8508.7999999999993</v>
      </c>
      <c r="CL189" s="5">
        <v>8328.7999999999993</v>
      </c>
      <c r="CM189" s="5">
        <v>9239.9</v>
      </c>
      <c r="CN189" s="5">
        <v>9591.6</v>
      </c>
      <c r="CO189" s="5">
        <v>10209.5</v>
      </c>
      <c r="CP189" s="5">
        <v>10468.700000000001</v>
      </c>
      <c r="CQ189" s="5">
        <v>10177.9</v>
      </c>
      <c r="CR189" s="5">
        <v>10241.700000000001</v>
      </c>
      <c r="CS189" s="5">
        <v>12374</v>
      </c>
      <c r="CT189" s="5">
        <v>13675.2</v>
      </c>
    </row>
    <row r="190" spans="1:98" ht="25.5">
      <c r="A190" s="2" t="s">
        <v>286</v>
      </c>
      <c r="B190" s="3"/>
      <c r="C190" s="3"/>
      <c r="D190" s="3"/>
      <c r="E190" s="3"/>
      <c r="F190" s="3"/>
      <c r="G190" s="3"/>
      <c r="H190" s="3"/>
      <c r="I190" s="3"/>
      <c r="J190" s="3">
        <v>109.4</v>
      </c>
      <c r="K190" s="3">
        <v>109.5</v>
      </c>
      <c r="L190" s="3">
        <v>109.5</v>
      </c>
      <c r="M190" s="3">
        <v>115.6</v>
      </c>
      <c r="N190" s="3">
        <v>115.6</v>
      </c>
      <c r="O190" s="3">
        <v>152</v>
      </c>
      <c r="P190" s="3">
        <v>152</v>
      </c>
      <c r="Q190" s="3">
        <v>152.69999999999999</v>
      </c>
      <c r="R190" s="3">
        <v>152.69999999999999</v>
      </c>
      <c r="S190" s="3">
        <v>177.9</v>
      </c>
      <c r="T190" s="3">
        <v>177.9</v>
      </c>
      <c r="U190" s="3">
        <v>178</v>
      </c>
      <c r="V190" s="3">
        <v>178.1</v>
      </c>
      <c r="W190" s="3">
        <v>187.5</v>
      </c>
      <c r="X190" s="3">
        <v>187.5</v>
      </c>
      <c r="Y190" s="3">
        <v>174.9</v>
      </c>
      <c r="Z190" s="3">
        <v>174.9</v>
      </c>
      <c r="AA190" s="3">
        <v>238.5</v>
      </c>
      <c r="AB190" s="3">
        <v>232.8</v>
      </c>
      <c r="AC190" s="3">
        <v>232.9</v>
      </c>
      <c r="AD190" s="3">
        <v>232.9</v>
      </c>
      <c r="AE190" s="3">
        <v>233.2</v>
      </c>
      <c r="AF190" s="3">
        <v>233.2</v>
      </c>
      <c r="AG190" s="3">
        <v>233.3</v>
      </c>
      <c r="AH190" s="3">
        <v>233.7</v>
      </c>
      <c r="AI190" s="3">
        <v>272.60000000000002</v>
      </c>
      <c r="AJ190" s="3">
        <v>272.7</v>
      </c>
      <c r="AK190" s="3">
        <v>272.8</v>
      </c>
      <c r="AL190" s="3">
        <v>258.39999999999998</v>
      </c>
      <c r="AM190" s="3">
        <v>305.60000000000002</v>
      </c>
      <c r="AN190" s="3">
        <v>327.3</v>
      </c>
      <c r="AO190" s="3">
        <v>327.8</v>
      </c>
      <c r="AP190" s="3">
        <v>328</v>
      </c>
      <c r="AQ190" s="3">
        <v>348</v>
      </c>
      <c r="AR190" s="3">
        <v>353.6</v>
      </c>
      <c r="AS190" s="3">
        <v>351.6</v>
      </c>
      <c r="AT190" s="3">
        <v>351.8</v>
      </c>
      <c r="AU190" s="3">
        <v>353</v>
      </c>
      <c r="AV190" s="3">
        <v>353.2</v>
      </c>
      <c r="AW190" s="3">
        <v>353.3</v>
      </c>
      <c r="AX190" s="3">
        <v>353.5</v>
      </c>
      <c r="AY190" s="3">
        <v>375</v>
      </c>
      <c r="AZ190" s="3">
        <v>375.1</v>
      </c>
      <c r="BA190" s="3">
        <v>388.9</v>
      </c>
      <c r="BB190" s="3">
        <v>389</v>
      </c>
      <c r="BC190" s="3">
        <v>393.2</v>
      </c>
      <c r="BD190" s="3">
        <v>393.3</v>
      </c>
      <c r="BE190" s="3">
        <v>381</v>
      </c>
      <c r="BF190" s="3">
        <v>381.1</v>
      </c>
      <c r="BG190" s="3">
        <v>400.5</v>
      </c>
      <c r="BH190" s="3">
        <v>400.6</v>
      </c>
      <c r="BI190" s="3">
        <v>415.7</v>
      </c>
      <c r="BJ190" s="3">
        <v>415.9</v>
      </c>
      <c r="BK190" s="3">
        <v>458</v>
      </c>
      <c r="BL190" s="3">
        <v>658.6</v>
      </c>
      <c r="BM190" s="3">
        <v>499.2</v>
      </c>
      <c r="BN190" s="3">
        <v>659.3</v>
      </c>
      <c r="BO190" s="3">
        <v>539.79999999999995</v>
      </c>
      <c r="BP190" s="3">
        <v>540.1</v>
      </c>
      <c r="BQ190" s="3">
        <v>814.6</v>
      </c>
      <c r="BR190" s="3">
        <v>815.8</v>
      </c>
      <c r="BS190" s="3">
        <v>842.7</v>
      </c>
      <c r="BT190" s="3">
        <v>869.8</v>
      </c>
      <c r="BU190" s="3">
        <v>1059.4000000000001</v>
      </c>
      <c r="BV190" s="3">
        <v>1728.7</v>
      </c>
      <c r="BW190" s="3">
        <v>1351.4</v>
      </c>
      <c r="BX190" s="3">
        <v>1730.7</v>
      </c>
      <c r="BY190" s="3">
        <v>1377.8</v>
      </c>
      <c r="BZ190" s="3">
        <v>1408.5</v>
      </c>
      <c r="CA190" s="3">
        <v>2120.1</v>
      </c>
      <c r="CB190" s="3">
        <v>2200.6999999999998</v>
      </c>
      <c r="CC190" s="3">
        <v>2283.9</v>
      </c>
      <c r="CD190" s="3">
        <v>2336.9</v>
      </c>
      <c r="CE190" s="3">
        <v>2738.3</v>
      </c>
      <c r="CF190" s="3">
        <v>2612.5</v>
      </c>
      <c r="CG190" s="3">
        <v>3053.2</v>
      </c>
      <c r="CH190" s="3">
        <v>3155.6</v>
      </c>
      <c r="CI190" s="3">
        <v>3155.6</v>
      </c>
      <c r="CJ190" s="3">
        <v>3155.7</v>
      </c>
      <c r="CK190" s="3">
        <v>3563</v>
      </c>
      <c r="CL190" s="3">
        <v>3726.6</v>
      </c>
      <c r="CM190" s="3">
        <v>3802.1</v>
      </c>
      <c r="CN190" s="3">
        <v>3805.2</v>
      </c>
      <c r="CO190" s="3">
        <v>4297</v>
      </c>
      <c r="CP190" s="3">
        <v>4303.2</v>
      </c>
      <c r="CQ190" s="3">
        <v>4323.8</v>
      </c>
      <c r="CR190" s="3">
        <v>4331</v>
      </c>
      <c r="CS190" s="3">
        <v>4332.7</v>
      </c>
      <c r="CT190" s="3">
        <v>4334.5</v>
      </c>
    </row>
    <row r="191" spans="1:98" ht="25.5">
      <c r="A191" s="4" t="s">
        <v>287</v>
      </c>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v>1000</v>
      </c>
      <c r="BO191" s="5"/>
      <c r="BP191" s="5"/>
      <c r="BQ191" s="5">
        <v>1124</v>
      </c>
      <c r="BR191" s="5">
        <v>1220</v>
      </c>
      <c r="BS191" s="5">
        <v>1280</v>
      </c>
      <c r="BT191" s="5">
        <v>1380</v>
      </c>
      <c r="BU191" s="5">
        <v>1540.1</v>
      </c>
      <c r="BV191" s="5">
        <v>2495</v>
      </c>
      <c r="BW191" s="5">
        <v>2030</v>
      </c>
      <c r="BX191" s="5">
        <v>2800</v>
      </c>
      <c r="BY191" s="5">
        <v>2141.8000000000002</v>
      </c>
      <c r="BZ191" s="5">
        <v>2376.4</v>
      </c>
      <c r="CA191" s="5">
        <v>3052</v>
      </c>
      <c r="CB191" s="5">
        <v>3780</v>
      </c>
      <c r="CC191" s="5">
        <v>3777.8</v>
      </c>
      <c r="CD191" s="5">
        <v>3781.4</v>
      </c>
      <c r="CE191" s="5">
        <v>4344.3</v>
      </c>
      <c r="CF191" s="5">
        <v>4528.8999999999996</v>
      </c>
      <c r="CG191" s="5">
        <v>4656.6000000000004</v>
      </c>
      <c r="CH191" s="5">
        <v>4953.6000000000004</v>
      </c>
      <c r="CI191" s="5">
        <v>5180.5</v>
      </c>
      <c r="CJ191" s="5">
        <v>5933.3</v>
      </c>
      <c r="CK191" s="5">
        <v>6478.9</v>
      </c>
      <c r="CL191" s="5">
        <v>6574.9</v>
      </c>
      <c r="CM191" s="5">
        <v>6759.8</v>
      </c>
      <c r="CN191" s="5">
        <v>6901.7</v>
      </c>
      <c r="CO191" s="5">
        <v>7369</v>
      </c>
      <c r="CP191" s="5">
        <v>7770.5</v>
      </c>
      <c r="CQ191" s="5">
        <v>8337.2999999999993</v>
      </c>
      <c r="CR191" s="5">
        <v>8861.7999999999993</v>
      </c>
      <c r="CS191" s="5">
        <v>9096.4</v>
      </c>
      <c r="CT191" s="5">
        <v>9552</v>
      </c>
    </row>
    <row r="192" spans="1:98" ht="25.5">
      <c r="A192" s="2" t="s">
        <v>288</v>
      </c>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v>1000</v>
      </c>
      <c r="BO192" s="3"/>
      <c r="BP192" s="3"/>
      <c r="BQ192" s="3">
        <v>1210</v>
      </c>
      <c r="BR192" s="3">
        <v>1120</v>
      </c>
      <c r="BS192" s="3">
        <v>1180</v>
      </c>
      <c r="BT192" s="3">
        <v>1234</v>
      </c>
      <c r="BU192" s="3">
        <v>1409.2</v>
      </c>
      <c r="BV192" s="3">
        <v>2425</v>
      </c>
      <c r="BW192" s="3">
        <v>2000.9</v>
      </c>
      <c r="BX192" s="3">
        <v>2511.5</v>
      </c>
      <c r="BY192" s="3">
        <v>2336.6</v>
      </c>
      <c r="BZ192" s="3">
        <v>2405.1</v>
      </c>
      <c r="CA192" s="3">
        <v>2888.2</v>
      </c>
      <c r="CB192" s="3">
        <v>3139.4</v>
      </c>
      <c r="CC192" s="3">
        <v>3139.4</v>
      </c>
      <c r="CD192" s="3">
        <v>3139.4</v>
      </c>
      <c r="CE192" s="3">
        <v>3293.8</v>
      </c>
      <c r="CF192" s="3">
        <v>3231.4</v>
      </c>
      <c r="CG192" s="3">
        <v>3410.2</v>
      </c>
      <c r="CH192" s="3">
        <v>4251.8999999999996</v>
      </c>
      <c r="CI192" s="3">
        <v>4388.8999999999996</v>
      </c>
      <c r="CJ192" s="3">
        <v>5085</v>
      </c>
      <c r="CK192" s="3">
        <v>5253.3</v>
      </c>
      <c r="CL192" s="3">
        <v>4927.8999999999996</v>
      </c>
      <c r="CM192" s="3">
        <v>5116</v>
      </c>
      <c r="CN192" s="3">
        <v>5859.5</v>
      </c>
      <c r="CO192" s="3">
        <v>6733.2</v>
      </c>
      <c r="CP192" s="3">
        <v>6679.8</v>
      </c>
      <c r="CQ192" s="3">
        <v>6679.8</v>
      </c>
      <c r="CR192" s="3">
        <v>7043.1</v>
      </c>
      <c r="CS192" s="3">
        <v>7172</v>
      </c>
      <c r="CT192" s="3">
        <v>7207.2</v>
      </c>
    </row>
    <row r="193" spans="1:98" ht="25.5">
      <c r="A193" s="4" t="s">
        <v>289</v>
      </c>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v>1000</v>
      </c>
      <c r="BO193" s="5"/>
      <c r="BP193" s="5"/>
      <c r="BQ193" s="5">
        <v>1125</v>
      </c>
      <c r="BR193" s="5">
        <v>1208.3</v>
      </c>
      <c r="BS193" s="5">
        <v>1243.8</v>
      </c>
      <c r="BT193" s="5">
        <v>1300</v>
      </c>
      <c r="BU193" s="5">
        <v>1584.2</v>
      </c>
      <c r="BV193" s="5">
        <v>2535</v>
      </c>
      <c r="BW193" s="5">
        <v>1941.3</v>
      </c>
      <c r="BX193" s="5">
        <v>2470</v>
      </c>
      <c r="BY193" s="5">
        <v>1933.9</v>
      </c>
      <c r="BZ193" s="5">
        <v>2426.6999999999998</v>
      </c>
      <c r="CA193" s="5">
        <v>2667.6</v>
      </c>
      <c r="CB193" s="5">
        <v>2840.5</v>
      </c>
      <c r="CC193" s="5">
        <v>2920</v>
      </c>
      <c r="CD193" s="5">
        <v>2922.6</v>
      </c>
      <c r="CE193" s="5">
        <v>3084.4</v>
      </c>
      <c r="CF193" s="5">
        <v>3129.6</v>
      </c>
      <c r="CG193" s="5">
        <v>3371</v>
      </c>
      <c r="CH193" s="5">
        <v>3582.4</v>
      </c>
      <c r="CI193" s="5">
        <v>3851.6</v>
      </c>
      <c r="CJ193" s="5">
        <v>4057.7</v>
      </c>
      <c r="CK193" s="5">
        <v>4553.3</v>
      </c>
      <c r="CL193" s="5">
        <v>4484.1000000000004</v>
      </c>
      <c r="CM193" s="5">
        <v>4647.6000000000004</v>
      </c>
      <c r="CN193" s="5">
        <v>5074.5</v>
      </c>
      <c r="CO193" s="5">
        <v>5611.8</v>
      </c>
      <c r="CP193" s="5">
        <v>6021.1</v>
      </c>
      <c r="CQ193" s="5">
        <v>6551.2</v>
      </c>
      <c r="CR193" s="5">
        <v>7576.2</v>
      </c>
      <c r="CS193" s="5">
        <v>7789.4</v>
      </c>
      <c r="CT193" s="5">
        <v>8038</v>
      </c>
    </row>
    <row r="194" spans="1:98" ht="25.5">
      <c r="A194" s="2" t="s">
        <v>290</v>
      </c>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v>1000</v>
      </c>
      <c r="BO194" s="3"/>
      <c r="BP194" s="3"/>
      <c r="BQ194" s="3">
        <v>1120</v>
      </c>
      <c r="BR194" s="3">
        <v>1067</v>
      </c>
      <c r="BS194" s="3">
        <v>1150</v>
      </c>
      <c r="BT194" s="3">
        <v>1220</v>
      </c>
      <c r="BU194" s="3">
        <v>1488.4</v>
      </c>
      <c r="BV194" s="3">
        <v>2196</v>
      </c>
      <c r="BW194" s="3">
        <v>1756.8</v>
      </c>
      <c r="BX194" s="3">
        <v>2074</v>
      </c>
      <c r="BY194" s="3">
        <v>1952</v>
      </c>
      <c r="BZ194" s="3">
        <v>2232.6</v>
      </c>
      <c r="CA194" s="3">
        <v>2281.4</v>
      </c>
      <c r="CB194" s="3">
        <v>2281.4</v>
      </c>
      <c r="CC194" s="3">
        <v>2281.5</v>
      </c>
      <c r="CD194" s="3">
        <v>2281.5</v>
      </c>
      <c r="CE194" s="3">
        <v>2505</v>
      </c>
      <c r="CF194" s="3">
        <v>2701</v>
      </c>
      <c r="CG194" s="3">
        <v>2814.5</v>
      </c>
      <c r="CH194" s="3">
        <v>3375.5</v>
      </c>
      <c r="CI194" s="3">
        <v>3375.5</v>
      </c>
      <c r="CJ194" s="3">
        <v>3749.9</v>
      </c>
      <c r="CK194" s="3">
        <v>4349.6000000000004</v>
      </c>
      <c r="CL194" s="3">
        <v>4349.6000000000004</v>
      </c>
      <c r="CM194" s="3">
        <v>4803</v>
      </c>
      <c r="CN194" s="3">
        <v>4888.3999999999996</v>
      </c>
      <c r="CO194" s="3">
        <v>5621.8</v>
      </c>
      <c r="CP194" s="3">
        <v>6015.3</v>
      </c>
      <c r="CQ194" s="3">
        <v>6286.5</v>
      </c>
      <c r="CR194" s="3">
        <v>7151.7</v>
      </c>
      <c r="CS194" s="3">
        <v>7313</v>
      </c>
      <c r="CT194" s="3">
        <v>7562.3</v>
      </c>
    </row>
    <row r="195" spans="1:98" ht="25.5">
      <c r="A195" s="4" t="s">
        <v>291</v>
      </c>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v>1000</v>
      </c>
      <c r="BO195" s="5"/>
      <c r="BP195" s="5"/>
      <c r="BQ195" s="5">
        <v>1147</v>
      </c>
      <c r="BR195" s="5">
        <v>1146</v>
      </c>
      <c r="BS195" s="5">
        <v>1165</v>
      </c>
      <c r="BT195" s="5">
        <v>1185</v>
      </c>
      <c r="BU195" s="5">
        <v>1439.8</v>
      </c>
      <c r="BV195" s="5">
        <v>2133</v>
      </c>
      <c r="BW195" s="5">
        <v>1694.6</v>
      </c>
      <c r="BX195" s="5">
        <v>2251.5</v>
      </c>
      <c r="BY195" s="5">
        <v>1896</v>
      </c>
      <c r="BZ195" s="5">
        <v>2192.3000000000002</v>
      </c>
      <c r="CA195" s="5">
        <v>2521.6999999999998</v>
      </c>
      <c r="CB195" s="5">
        <v>2589.1999999999998</v>
      </c>
      <c r="CC195" s="5">
        <v>2575.6</v>
      </c>
      <c r="CD195" s="5">
        <v>2601.9</v>
      </c>
      <c r="CE195" s="5">
        <v>2862.3</v>
      </c>
      <c r="CF195" s="5">
        <v>2913.7</v>
      </c>
      <c r="CG195" s="5">
        <v>3164.6</v>
      </c>
      <c r="CH195" s="5">
        <v>3321.8</v>
      </c>
      <c r="CI195" s="5">
        <v>3574</v>
      </c>
      <c r="CJ195" s="5">
        <v>4127.8</v>
      </c>
      <c r="CK195" s="5">
        <v>4545.6000000000004</v>
      </c>
      <c r="CL195" s="5">
        <v>4545.6000000000004</v>
      </c>
      <c r="CM195" s="5">
        <v>4639.2</v>
      </c>
      <c r="CN195" s="5">
        <v>4985.1000000000004</v>
      </c>
      <c r="CO195" s="5">
        <v>6170.2</v>
      </c>
      <c r="CP195" s="5">
        <v>6146.8</v>
      </c>
      <c r="CQ195" s="5">
        <v>6505.6</v>
      </c>
      <c r="CR195" s="5">
        <v>7039</v>
      </c>
      <c r="CS195" s="5">
        <v>7647.1</v>
      </c>
      <c r="CT195" s="5">
        <v>7702</v>
      </c>
    </row>
    <row r="196" spans="1:98" ht="25.5">
      <c r="A196" s="2" t="s">
        <v>292</v>
      </c>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v>1000</v>
      </c>
      <c r="BO196" s="3"/>
      <c r="BP196" s="3"/>
      <c r="BQ196" s="3">
        <v>1100</v>
      </c>
      <c r="BR196" s="3">
        <v>1010</v>
      </c>
      <c r="BS196" s="3">
        <v>1135</v>
      </c>
      <c r="BT196" s="3">
        <v>1180</v>
      </c>
      <c r="BU196" s="3">
        <v>1347.6</v>
      </c>
      <c r="BV196" s="3">
        <v>2318.8000000000002</v>
      </c>
      <c r="BW196" s="3">
        <v>1913.4</v>
      </c>
      <c r="BX196" s="3">
        <v>2401.6</v>
      </c>
      <c r="BY196" s="3">
        <v>2234.3000000000002</v>
      </c>
      <c r="BZ196" s="3">
        <v>2299.8000000000002</v>
      </c>
      <c r="CA196" s="3">
        <v>2833.9</v>
      </c>
      <c r="CB196" s="3">
        <v>2954</v>
      </c>
      <c r="CC196" s="3">
        <v>3094.7</v>
      </c>
      <c r="CD196" s="3">
        <v>3097.6</v>
      </c>
      <c r="CE196" s="3">
        <v>3359.3</v>
      </c>
      <c r="CF196" s="3">
        <v>3345.8</v>
      </c>
      <c r="CG196" s="3">
        <v>3723.1</v>
      </c>
      <c r="CH196" s="3">
        <v>4165.8999999999996</v>
      </c>
      <c r="CI196" s="3">
        <v>4519.1000000000004</v>
      </c>
      <c r="CJ196" s="3">
        <v>4793.8</v>
      </c>
      <c r="CK196" s="3">
        <v>4943</v>
      </c>
      <c r="CL196" s="3">
        <v>4758.2</v>
      </c>
      <c r="CM196" s="3">
        <v>5191.3999999999996</v>
      </c>
      <c r="CN196" s="3">
        <v>5528.3</v>
      </c>
      <c r="CO196" s="3">
        <v>6472.6</v>
      </c>
      <c r="CP196" s="3">
        <v>6472.6</v>
      </c>
      <c r="CQ196" s="3">
        <v>6523.3</v>
      </c>
      <c r="CR196" s="3">
        <v>6794.3</v>
      </c>
      <c r="CS196" s="3">
        <v>6844</v>
      </c>
      <c r="CT196" s="3">
        <v>6927</v>
      </c>
    </row>
    <row r="197" spans="1:98" ht="25.5">
      <c r="A197" s="4" t="s">
        <v>293</v>
      </c>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v>1000</v>
      </c>
      <c r="BO197" s="5"/>
      <c r="BP197" s="5"/>
      <c r="BQ197" s="5">
        <v>1000</v>
      </c>
      <c r="BR197" s="5">
        <v>960</v>
      </c>
      <c r="BS197" s="5">
        <v>1126</v>
      </c>
      <c r="BT197" s="5">
        <v>1171</v>
      </c>
      <c r="BU197" s="5">
        <v>1371.6</v>
      </c>
      <c r="BV197" s="5">
        <v>2131.1999999999998</v>
      </c>
      <c r="BW197" s="5">
        <v>1652.3</v>
      </c>
      <c r="BX197" s="5">
        <v>2082</v>
      </c>
      <c r="BY197" s="5">
        <v>1897</v>
      </c>
      <c r="BZ197" s="5">
        <v>2091.4</v>
      </c>
      <c r="CA197" s="5">
        <v>2227.6999999999998</v>
      </c>
      <c r="CB197" s="5">
        <v>2311</v>
      </c>
      <c r="CC197" s="5">
        <v>2344.6</v>
      </c>
      <c r="CD197" s="5">
        <v>2362.4</v>
      </c>
      <c r="CE197" s="5">
        <v>2520.1999999999998</v>
      </c>
      <c r="CF197" s="5">
        <v>2521.8000000000002</v>
      </c>
      <c r="CG197" s="5">
        <v>2631.1</v>
      </c>
      <c r="CH197" s="5">
        <v>3023.1</v>
      </c>
      <c r="CI197" s="5">
        <v>3023.1</v>
      </c>
      <c r="CJ197" s="5">
        <v>3023.1</v>
      </c>
      <c r="CK197" s="5">
        <v>3217</v>
      </c>
      <c r="CL197" s="5">
        <v>3217</v>
      </c>
      <c r="CM197" s="5">
        <v>3265</v>
      </c>
      <c r="CN197" s="5">
        <v>3295.2</v>
      </c>
      <c r="CO197" s="5">
        <v>3345.2</v>
      </c>
      <c r="CP197" s="5">
        <v>3403.2</v>
      </c>
      <c r="CQ197" s="5">
        <v>3459.9</v>
      </c>
      <c r="CR197" s="5">
        <v>3558.8</v>
      </c>
      <c r="CS197" s="5">
        <v>3608.2</v>
      </c>
      <c r="CT197" s="5">
        <v>3657.7</v>
      </c>
    </row>
    <row r="198" spans="1:98" ht="25.5">
      <c r="A198" s="2" t="s">
        <v>294</v>
      </c>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v>1000</v>
      </c>
      <c r="BO198" s="3"/>
      <c r="BP198" s="3"/>
      <c r="BQ198" s="3">
        <v>1080</v>
      </c>
      <c r="BR198" s="3">
        <v>1100</v>
      </c>
      <c r="BS198" s="3">
        <v>1180</v>
      </c>
      <c r="BT198" s="3">
        <v>1225</v>
      </c>
      <c r="BU198" s="3">
        <v>1456.5</v>
      </c>
      <c r="BV198" s="3">
        <v>2316.5</v>
      </c>
      <c r="BW198" s="3">
        <v>1687.4</v>
      </c>
      <c r="BX198" s="3">
        <v>2316.5</v>
      </c>
      <c r="BY198" s="3">
        <v>1855.9</v>
      </c>
      <c r="BZ198" s="3">
        <v>2074.1</v>
      </c>
      <c r="CA198" s="3">
        <v>2478.6999999999998</v>
      </c>
      <c r="CB198" s="3">
        <v>2664</v>
      </c>
      <c r="CC198" s="3">
        <v>2687.3</v>
      </c>
      <c r="CD198" s="3">
        <v>2687.3</v>
      </c>
      <c r="CE198" s="3">
        <v>2964.8</v>
      </c>
      <c r="CF198" s="3">
        <v>2965.2</v>
      </c>
      <c r="CG198" s="3">
        <v>3356.9</v>
      </c>
      <c r="CH198" s="3">
        <v>3436.9</v>
      </c>
      <c r="CI198" s="3">
        <v>3615.3</v>
      </c>
      <c r="CJ198" s="3">
        <v>4197.7</v>
      </c>
      <c r="CK198" s="3">
        <v>4713.6000000000004</v>
      </c>
      <c r="CL198" s="3">
        <v>4713.6000000000004</v>
      </c>
      <c r="CM198" s="3">
        <v>5035</v>
      </c>
      <c r="CN198" s="3">
        <v>5285</v>
      </c>
      <c r="CO198" s="3">
        <v>5612</v>
      </c>
      <c r="CP198" s="3">
        <v>5968.3</v>
      </c>
      <c r="CQ198" s="3">
        <v>6357.9</v>
      </c>
      <c r="CR198" s="3">
        <v>7266.9</v>
      </c>
      <c r="CS198" s="3">
        <v>7795.4</v>
      </c>
      <c r="CT198" s="3">
        <v>8112.5</v>
      </c>
    </row>
    <row r="199" spans="1:98" ht="25.5">
      <c r="A199" s="4" t="s">
        <v>295</v>
      </c>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v>1000</v>
      </c>
      <c r="BO199" s="5"/>
      <c r="BP199" s="5"/>
      <c r="BQ199" s="5">
        <v>1120</v>
      </c>
      <c r="BR199" s="5">
        <v>1040</v>
      </c>
      <c r="BS199" s="5">
        <v>1153</v>
      </c>
      <c r="BT199" s="5">
        <v>1198</v>
      </c>
      <c r="BU199" s="5">
        <v>1395.4</v>
      </c>
      <c r="BV199" s="5">
        <v>2232.4</v>
      </c>
      <c r="BW199" s="5">
        <v>1681.6</v>
      </c>
      <c r="BX199" s="5">
        <v>2163.6999999999998</v>
      </c>
      <c r="BY199" s="5">
        <v>1893.1</v>
      </c>
      <c r="BZ199" s="5">
        <v>2155.5</v>
      </c>
      <c r="CA199" s="5">
        <v>2250.1999999999998</v>
      </c>
      <c r="CB199" s="5">
        <v>2509.9</v>
      </c>
      <c r="CC199" s="5">
        <v>2519.9</v>
      </c>
      <c r="CD199" s="5">
        <v>2530.1999999999998</v>
      </c>
      <c r="CE199" s="5">
        <v>2725.4</v>
      </c>
      <c r="CF199" s="5">
        <v>2842.4</v>
      </c>
      <c r="CG199" s="5">
        <v>3312.9</v>
      </c>
      <c r="CH199" s="5">
        <v>3701.4</v>
      </c>
      <c r="CI199" s="5">
        <v>3780.7</v>
      </c>
      <c r="CJ199" s="5">
        <v>3814</v>
      </c>
      <c r="CK199" s="5">
        <v>4218.1000000000004</v>
      </c>
      <c r="CL199" s="5">
        <v>4218.1000000000004</v>
      </c>
      <c r="CM199" s="5">
        <v>4429.2</v>
      </c>
      <c r="CN199" s="5">
        <v>4513.8999999999996</v>
      </c>
      <c r="CO199" s="5">
        <v>5211.8999999999996</v>
      </c>
      <c r="CP199" s="5">
        <v>5463.5</v>
      </c>
      <c r="CQ199" s="5">
        <v>5822.9</v>
      </c>
      <c r="CR199" s="5">
        <v>6504.5</v>
      </c>
      <c r="CS199" s="5">
        <v>6779.9</v>
      </c>
      <c r="CT199" s="5">
        <v>6870.2</v>
      </c>
    </row>
    <row r="200" spans="1:98" ht="25.5">
      <c r="A200" s="2" t="s">
        <v>296</v>
      </c>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v>1000</v>
      </c>
      <c r="BO200" s="3"/>
      <c r="BP200" s="3"/>
      <c r="BQ200" s="3">
        <v>1124</v>
      </c>
      <c r="BR200" s="3">
        <v>1220</v>
      </c>
      <c r="BS200" s="3">
        <v>1280</v>
      </c>
      <c r="BT200" s="3">
        <v>1380</v>
      </c>
      <c r="BU200" s="3">
        <v>1540.1</v>
      </c>
      <c r="BV200" s="3">
        <v>2495</v>
      </c>
      <c r="BW200" s="3">
        <v>2030</v>
      </c>
      <c r="BX200" s="3">
        <v>2800</v>
      </c>
      <c r="BY200" s="3">
        <v>2141.8000000000002</v>
      </c>
      <c r="BZ200" s="3">
        <v>2376.4</v>
      </c>
      <c r="CA200" s="3">
        <v>3136</v>
      </c>
      <c r="CB200" s="3">
        <v>3444</v>
      </c>
      <c r="CC200" s="3">
        <v>3511.7</v>
      </c>
      <c r="CD200" s="3">
        <v>3620.1</v>
      </c>
      <c r="CE200" s="3">
        <v>4012</v>
      </c>
      <c r="CF200" s="3">
        <v>4482.5</v>
      </c>
      <c r="CG200" s="3">
        <v>4737.8</v>
      </c>
      <c r="CH200" s="3">
        <v>4892.3</v>
      </c>
      <c r="CI200" s="3">
        <v>4932.3</v>
      </c>
      <c r="CJ200" s="3">
        <v>5334.7</v>
      </c>
      <c r="CK200" s="3">
        <v>5473.9</v>
      </c>
      <c r="CL200" s="3">
        <v>6111.4</v>
      </c>
      <c r="CM200" s="3">
        <v>6546.3</v>
      </c>
      <c r="CN200" s="3">
        <v>6607.3</v>
      </c>
      <c r="CO200" s="3">
        <v>7988.2</v>
      </c>
      <c r="CP200" s="3">
        <v>8728.2000000000007</v>
      </c>
      <c r="CQ200" s="3">
        <v>8800.9</v>
      </c>
      <c r="CR200" s="3">
        <v>8900</v>
      </c>
      <c r="CS200" s="3">
        <v>9025.6</v>
      </c>
      <c r="CT200" s="3">
        <v>9131.2999999999993</v>
      </c>
    </row>
    <row r="201" spans="1:98" ht="25.5">
      <c r="A201" s="4" t="s">
        <v>297</v>
      </c>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v>1250</v>
      </c>
      <c r="BU201" s="5">
        <v>1506</v>
      </c>
      <c r="BV201" s="5">
        <v>1882.3</v>
      </c>
      <c r="BW201" s="5">
        <v>1589.7</v>
      </c>
      <c r="BX201" s="5">
        <v>1939.6</v>
      </c>
      <c r="BY201" s="5">
        <v>1589.7</v>
      </c>
      <c r="BZ201" s="5">
        <v>1589.7</v>
      </c>
      <c r="CA201" s="5">
        <v>2153</v>
      </c>
      <c r="CB201" s="5">
        <v>2327.5</v>
      </c>
      <c r="CC201" s="5">
        <v>2474.9</v>
      </c>
      <c r="CD201" s="5">
        <v>2474.9</v>
      </c>
      <c r="CE201" s="5">
        <v>2814</v>
      </c>
      <c r="CF201" s="5">
        <v>2867.9</v>
      </c>
      <c r="CG201" s="5">
        <v>3346.3</v>
      </c>
      <c r="CH201" s="5">
        <v>3453</v>
      </c>
      <c r="CI201" s="5">
        <v>3453</v>
      </c>
      <c r="CJ201" s="5">
        <v>3768.5</v>
      </c>
      <c r="CK201" s="5">
        <v>4155.8</v>
      </c>
      <c r="CL201" s="5">
        <v>4155.8</v>
      </c>
      <c r="CM201" s="5">
        <v>4155.8</v>
      </c>
      <c r="CN201" s="5">
        <v>4624.6000000000004</v>
      </c>
      <c r="CO201" s="5">
        <v>5530.7</v>
      </c>
      <c r="CP201" s="5">
        <v>5530.7</v>
      </c>
      <c r="CQ201" s="5">
        <v>5549.5</v>
      </c>
      <c r="CR201" s="5">
        <v>5780.8</v>
      </c>
      <c r="CS201" s="5">
        <v>6058.2</v>
      </c>
      <c r="CT201" s="5">
        <v>6053.6</v>
      </c>
    </row>
    <row r="202" spans="1:98" ht="25.5">
      <c r="A202" s="2" t="s">
        <v>298</v>
      </c>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v>1000</v>
      </c>
      <c r="BO202" s="3"/>
      <c r="BP202" s="3"/>
      <c r="BQ202" s="3">
        <v>1126</v>
      </c>
      <c r="BR202" s="3">
        <v>1147.5999999999999</v>
      </c>
      <c r="BS202" s="3">
        <v>1158.4000000000001</v>
      </c>
      <c r="BT202" s="3">
        <v>1192.5999999999999</v>
      </c>
      <c r="BU202" s="3">
        <v>1534.4</v>
      </c>
      <c r="BV202" s="3">
        <v>2328.3000000000002</v>
      </c>
      <c r="BW202" s="3">
        <v>1914.2</v>
      </c>
      <c r="BX202" s="3">
        <v>2397.1</v>
      </c>
      <c r="BY202" s="3">
        <v>1914.2</v>
      </c>
      <c r="BZ202" s="3">
        <v>2047.8</v>
      </c>
      <c r="CA202" s="3">
        <v>2540.9</v>
      </c>
      <c r="CB202" s="3">
        <v>2660.8</v>
      </c>
      <c r="CC202" s="3">
        <v>2812.5</v>
      </c>
      <c r="CD202" s="3">
        <v>2812.5</v>
      </c>
      <c r="CE202" s="3">
        <v>3121.9</v>
      </c>
      <c r="CF202" s="3">
        <v>3121.9</v>
      </c>
      <c r="CG202" s="3">
        <v>3564.3</v>
      </c>
      <c r="CH202" s="3">
        <v>3564.3</v>
      </c>
      <c r="CI202" s="3">
        <v>3564.3</v>
      </c>
      <c r="CJ202" s="3">
        <v>3564.3</v>
      </c>
      <c r="CK202" s="3">
        <v>3599.9</v>
      </c>
      <c r="CL202" s="3">
        <v>3564.3</v>
      </c>
      <c r="CM202" s="3">
        <v>4039</v>
      </c>
      <c r="CN202" s="3">
        <v>4039</v>
      </c>
      <c r="CO202" s="3">
        <v>4442.8999999999996</v>
      </c>
      <c r="CP202" s="3">
        <v>4584.3</v>
      </c>
      <c r="CQ202" s="3">
        <v>4564.1000000000004</v>
      </c>
      <c r="CR202" s="3">
        <v>4725.6000000000004</v>
      </c>
      <c r="CS202" s="3">
        <v>4846.8</v>
      </c>
      <c r="CT202" s="3">
        <v>4887.2</v>
      </c>
    </row>
    <row r="203" spans="1:98" ht="25.5">
      <c r="A203" s="4" t="s">
        <v>299</v>
      </c>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v>1225</v>
      </c>
      <c r="BU203" s="5">
        <v>1498.2</v>
      </c>
      <c r="BV203" s="5">
        <v>2454.9</v>
      </c>
      <c r="BW203" s="5">
        <v>1757.9</v>
      </c>
      <c r="BX203" s="5">
        <v>2327.5</v>
      </c>
      <c r="BY203" s="5">
        <v>1898.8</v>
      </c>
      <c r="BZ203" s="5">
        <v>2290.8000000000002</v>
      </c>
      <c r="CA203" s="5">
        <v>2606.8000000000002</v>
      </c>
      <c r="CB203" s="5">
        <v>2723.2</v>
      </c>
      <c r="CC203" s="5">
        <v>2967.3</v>
      </c>
      <c r="CD203" s="5">
        <v>3029.8</v>
      </c>
      <c r="CE203" s="5">
        <v>3454</v>
      </c>
      <c r="CF203" s="5">
        <v>3639.8</v>
      </c>
      <c r="CG203" s="5">
        <v>3759.8</v>
      </c>
      <c r="CH203" s="5">
        <v>4524.5</v>
      </c>
      <c r="CI203" s="5">
        <v>4787.2</v>
      </c>
      <c r="CJ203" s="5">
        <v>5139.2</v>
      </c>
      <c r="CK203" s="5">
        <v>5918.6</v>
      </c>
      <c r="CL203" s="5">
        <v>5918.6</v>
      </c>
      <c r="CM203" s="5">
        <v>6127.4</v>
      </c>
      <c r="CN203" s="5">
        <v>6301.5</v>
      </c>
      <c r="CO203" s="5">
        <v>7101.3</v>
      </c>
      <c r="CP203" s="5">
        <v>7684.3</v>
      </c>
      <c r="CQ203" s="5">
        <v>7958.8</v>
      </c>
      <c r="CR203" s="5">
        <v>8834.7000000000007</v>
      </c>
      <c r="CS203" s="5">
        <v>9042.7000000000007</v>
      </c>
      <c r="CT203" s="5">
        <v>9187.6</v>
      </c>
    </row>
    <row r="204" spans="1:98" ht="25.5">
      <c r="A204" s="2" t="s">
        <v>300</v>
      </c>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v>1225</v>
      </c>
      <c r="BU204" s="3">
        <v>1430.9</v>
      </c>
      <c r="BV204" s="3">
        <v>2080.4</v>
      </c>
      <c r="BW204" s="3">
        <v>1769.7</v>
      </c>
      <c r="BX204" s="3">
        <v>1929.5</v>
      </c>
      <c r="BY204" s="3">
        <v>1929.7</v>
      </c>
      <c r="BZ204" s="3">
        <v>2216.6999999999998</v>
      </c>
      <c r="CA204" s="3">
        <v>2122.5</v>
      </c>
      <c r="CB204" s="3">
        <v>2334.6999999999998</v>
      </c>
      <c r="CC204" s="3">
        <v>2334.6999999999998</v>
      </c>
      <c r="CD204" s="3">
        <v>2334.6999999999998</v>
      </c>
      <c r="CE204" s="3">
        <v>2504.4</v>
      </c>
      <c r="CF204" s="3">
        <v>2563.1999999999998</v>
      </c>
      <c r="CG204" s="3">
        <v>2569.6</v>
      </c>
      <c r="CH204" s="3">
        <v>2635.4</v>
      </c>
      <c r="CI204" s="3">
        <v>2938.5</v>
      </c>
      <c r="CJ204" s="3">
        <v>3661.2</v>
      </c>
      <c r="CK204" s="3">
        <v>4092.1</v>
      </c>
      <c r="CL204" s="3">
        <v>4092.1</v>
      </c>
      <c r="CM204" s="3">
        <v>4210.3999999999996</v>
      </c>
      <c r="CN204" s="3">
        <v>4247</v>
      </c>
      <c r="CO204" s="3">
        <v>4384</v>
      </c>
      <c r="CP204" s="3">
        <v>4498.3999999999996</v>
      </c>
      <c r="CQ204" s="3">
        <v>5134.6000000000004</v>
      </c>
      <c r="CR204" s="3">
        <v>5733.5</v>
      </c>
      <c r="CS204" s="3">
        <v>5848.1</v>
      </c>
      <c r="CT204" s="3">
        <v>6001</v>
      </c>
    </row>
    <row r="205" spans="1:98" ht="25.5">
      <c r="A205" s="4" t="s">
        <v>301</v>
      </c>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v>1220</v>
      </c>
      <c r="BU205" s="5">
        <v>1384.7</v>
      </c>
      <c r="BV205" s="5">
        <v>2340</v>
      </c>
      <c r="BW205" s="5">
        <v>1692.1</v>
      </c>
      <c r="BX205" s="5">
        <v>2307</v>
      </c>
      <c r="BY205" s="5">
        <v>1867.8</v>
      </c>
      <c r="BZ205" s="5">
        <v>2109.4</v>
      </c>
      <c r="CA205" s="5">
        <v>2537.6999999999998</v>
      </c>
      <c r="CB205" s="5">
        <v>2583.8000000000002</v>
      </c>
      <c r="CC205" s="5">
        <v>2665</v>
      </c>
      <c r="CD205" s="5">
        <v>2784.3</v>
      </c>
      <c r="CE205" s="5">
        <v>2963.5</v>
      </c>
      <c r="CF205" s="5">
        <v>3105.9</v>
      </c>
      <c r="CG205" s="5">
        <v>3196</v>
      </c>
      <c r="CH205" s="5">
        <v>3394.6</v>
      </c>
      <c r="CI205" s="5">
        <v>3394.6</v>
      </c>
      <c r="CJ205" s="5">
        <v>3606.7</v>
      </c>
      <c r="CK205" s="5">
        <v>4355.8999999999996</v>
      </c>
      <c r="CL205" s="5">
        <v>4328</v>
      </c>
      <c r="CM205" s="5">
        <v>4425.3</v>
      </c>
      <c r="CN205" s="5">
        <v>4646.5</v>
      </c>
      <c r="CO205" s="5">
        <v>5436.4</v>
      </c>
      <c r="CP205" s="5">
        <v>5639.8</v>
      </c>
      <c r="CQ205" s="5">
        <v>5915</v>
      </c>
      <c r="CR205" s="5">
        <v>6681.7</v>
      </c>
      <c r="CS205" s="5">
        <v>6988.3</v>
      </c>
      <c r="CT205" s="5">
        <v>7058</v>
      </c>
    </row>
    <row r="206" spans="1:98" ht="25.5">
      <c r="A206" s="2" t="s">
        <v>302</v>
      </c>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v>1220</v>
      </c>
      <c r="BU206" s="3">
        <v>1384.6</v>
      </c>
      <c r="BV206" s="3">
        <v>2366.8000000000002</v>
      </c>
      <c r="BW206" s="3">
        <v>1681.1</v>
      </c>
      <c r="BX206" s="3">
        <v>2440</v>
      </c>
      <c r="BY206" s="3">
        <v>2005.9</v>
      </c>
      <c r="BZ206" s="3">
        <v>2196.9</v>
      </c>
      <c r="CA206" s="3">
        <v>2659.6</v>
      </c>
      <c r="CB206" s="3">
        <v>2879.2</v>
      </c>
      <c r="CC206" s="3">
        <v>3105.5</v>
      </c>
      <c r="CD206" s="3">
        <v>3323.3</v>
      </c>
      <c r="CE206" s="3">
        <v>3755.3</v>
      </c>
      <c r="CF206" s="3">
        <v>3707.1</v>
      </c>
      <c r="CG206" s="3">
        <v>3788.6</v>
      </c>
      <c r="CH206" s="3">
        <v>4300.7</v>
      </c>
      <c r="CI206" s="3">
        <v>4691.7</v>
      </c>
      <c r="CJ206" s="3">
        <v>5082.7</v>
      </c>
      <c r="CK206" s="3">
        <v>5692.6</v>
      </c>
      <c r="CL206" s="3">
        <v>5438.5</v>
      </c>
      <c r="CM206" s="3">
        <v>5786.5</v>
      </c>
      <c r="CN206" s="3">
        <v>5966.7</v>
      </c>
      <c r="CO206" s="3">
        <v>6819.1</v>
      </c>
      <c r="CP206" s="3">
        <v>6819.1</v>
      </c>
      <c r="CQ206" s="3">
        <v>6897.5</v>
      </c>
      <c r="CR206" s="3">
        <v>7022.8</v>
      </c>
      <c r="CS206" s="3">
        <v>7124.2</v>
      </c>
      <c r="CT206" s="3">
        <v>7166</v>
      </c>
    </row>
    <row r="207" spans="1:98" ht="25.5">
      <c r="A207" s="4" t="s">
        <v>303</v>
      </c>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v>1185</v>
      </c>
      <c r="BU207" s="5">
        <v>1393</v>
      </c>
      <c r="BV207" s="5">
        <v>2133</v>
      </c>
      <c r="BW207" s="5">
        <v>1697.1</v>
      </c>
      <c r="BX207" s="5">
        <v>2275.1999999999998</v>
      </c>
      <c r="BY207" s="5">
        <v>1932.7</v>
      </c>
      <c r="BZ207" s="5">
        <v>2263.9</v>
      </c>
      <c r="CA207" s="5">
        <v>2593.6999999999998</v>
      </c>
      <c r="CB207" s="5">
        <v>2844</v>
      </c>
      <c r="CC207" s="5">
        <v>2845.7</v>
      </c>
      <c r="CD207" s="5">
        <v>2845.7</v>
      </c>
      <c r="CE207" s="5">
        <v>2977.2</v>
      </c>
      <c r="CF207" s="5">
        <v>2998.1</v>
      </c>
      <c r="CG207" s="5">
        <v>3526.4</v>
      </c>
      <c r="CH207" s="5">
        <v>4245.5</v>
      </c>
      <c r="CI207" s="5">
        <v>4336.8</v>
      </c>
      <c r="CJ207" s="5">
        <v>4361.7</v>
      </c>
      <c r="CK207" s="5">
        <v>4711.8</v>
      </c>
      <c r="CL207" s="5">
        <v>4716.3999999999996</v>
      </c>
      <c r="CM207" s="5">
        <v>4727.1000000000004</v>
      </c>
      <c r="CN207" s="5">
        <v>5044.1000000000004</v>
      </c>
      <c r="CO207" s="5">
        <v>5838.4</v>
      </c>
      <c r="CP207" s="5">
        <v>6053.4</v>
      </c>
      <c r="CQ207" s="5">
        <v>6088.2</v>
      </c>
      <c r="CR207" s="5">
        <v>6219.4</v>
      </c>
      <c r="CS207" s="5">
        <v>6325.3</v>
      </c>
      <c r="CT207" s="5">
        <v>6431.2</v>
      </c>
    </row>
    <row r="208" spans="1:98" ht="25.5">
      <c r="A208" s="2" t="s">
        <v>304</v>
      </c>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v>1316.4</v>
      </c>
      <c r="BU208" s="3">
        <v>1416.4</v>
      </c>
      <c r="BV208" s="3">
        <v>2830.2</v>
      </c>
      <c r="BW208" s="3">
        <v>1850.8</v>
      </c>
      <c r="BX208" s="3">
        <v>3277.7</v>
      </c>
      <c r="BY208" s="3">
        <v>2126</v>
      </c>
      <c r="BZ208" s="3">
        <v>2414.9</v>
      </c>
      <c r="CA208" s="3">
        <v>3769.4</v>
      </c>
      <c r="CB208" s="3">
        <v>3769.4</v>
      </c>
      <c r="CC208" s="3">
        <v>3966.8</v>
      </c>
      <c r="CD208" s="3">
        <v>4084.1</v>
      </c>
      <c r="CE208" s="3">
        <v>4191.1000000000004</v>
      </c>
      <c r="CF208" s="3">
        <v>4062.1</v>
      </c>
      <c r="CG208" s="3">
        <v>4388.1000000000004</v>
      </c>
      <c r="CH208" s="3">
        <v>5106.3999999999996</v>
      </c>
      <c r="CI208" s="3">
        <v>6221.4</v>
      </c>
      <c r="CJ208" s="3">
        <v>6946.5</v>
      </c>
      <c r="CK208" s="3">
        <v>6718.3</v>
      </c>
      <c r="CL208" s="3">
        <v>6569.3</v>
      </c>
      <c r="CM208" s="3">
        <v>7376</v>
      </c>
      <c r="CN208" s="3">
        <v>7628.1</v>
      </c>
      <c r="CO208" s="3">
        <v>10170.200000000001</v>
      </c>
      <c r="CP208" s="3">
        <v>9829.4</v>
      </c>
      <c r="CQ208" s="3">
        <v>9992.7999999999993</v>
      </c>
      <c r="CR208" s="3">
        <v>10984.5</v>
      </c>
      <c r="CS208" s="3">
        <v>12052.4</v>
      </c>
      <c r="CT208" s="3">
        <v>13425.5</v>
      </c>
    </row>
    <row r="209" spans="1:98" ht="25.5">
      <c r="A209" s="4" t="s">
        <v>305</v>
      </c>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v>1180</v>
      </c>
      <c r="BU209" s="5">
        <v>1306.8</v>
      </c>
      <c r="BV209" s="5">
        <v>2124</v>
      </c>
      <c r="BW209" s="5">
        <v>1678.2</v>
      </c>
      <c r="BX209" s="5">
        <v>2124</v>
      </c>
      <c r="BY209" s="5">
        <v>1841.5</v>
      </c>
      <c r="BZ209" s="5">
        <v>1992.6</v>
      </c>
      <c r="CA209" s="5">
        <v>2378.9</v>
      </c>
      <c r="CB209" s="5">
        <v>2633.8</v>
      </c>
      <c r="CC209" s="5">
        <v>2652.3</v>
      </c>
      <c r="CD209" s="5">
        <v>2891.5</v>
      </c>
      <c r="CE209" s="5">
        <v>3177.6</v>
      </c>
      <c r="CF209" s="5">
        <v>3271</v>
      </c>
      <c r="CG209" s="5">
        <v>3866.7</v>
      </c>
      <c r="CH209" s="5">
        <v>3903.1</v>
      </c>
      <c r="CI209" s="5">
        <v>3918.6</v>
      </c>
      <c r="CJ209" s="5">
        <v>4232.6000000000004</v>
      </c>
      <c r="CK209" s="5">
        <v>4736.7</v>
      </c>
      <c r="CL209" s="5">
        <v>4758.1000000000004</v>
      </c>
      <c r="CM209" s="5">
        <v>4982.8999999999996</v>
      </c>
      <c r="CN209" s="5">
        <v>5137</v>
      </c>
      <c r="CO209" s="5">
        <v>6399.1</v>
      </c>
      <c r="CP209" s="5">
        <v>6444.6</v>
      </c>
      <c r="CQ209" s="5">
        <v>6688.4</v>
      </c>
      <c r="CR209" s="5">
        <v>7376.7</v>
      </c>
      <c r="CS209" s="5">
        <v>7936.7</v>
      </c>
      <c r="CT209" s="5">
        <v>8383.6</v>
      </c>
    </row>
    <row r="210" spans="1:98" ht="25.5">
      <c r="A210" s="2" t="s">
        <v>306</v>
      </c>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v>1225</v>
      </c>
      <c r="BU210" s="3">
        <v>1438.2</v>
      </c>
      <c r="BV210" s="3">
        <v>2565.1</v>
      </c>
      <c r="BW210" s="3">
        <v>1756.7</v>
      </c>
      <c r="BX210" s="3">
        <v>2565.1</v>
      </c>
      <c r="BY210" s="3">
        <v>1929.4</v>
      </c>
      <c r="BZ210" s="3">
        <v>2160.6999999999998</v>
      </c>
      <c r="CA210" s="3">
        <v>2693.4</v>
      </c>
      <c r="CB210" s="3">
        <v>2770.3</v>
      </c>
      <c r="CC210" s="3">
        <v>2949.9</v>
      </c>
      <c r="CD210" s="3">
        <v>2949.9</v>
      </c>
      <c r="CE210" s="3">
        <v>3244.9</v>
      </c>
      <c r="CF210" s="3">
        <v>3244.9</v>
      </c>
      <c r="CG210" s="3">
        <v>3563.7</v>
      </c>
      <c r="CH210" s="3">
        <v>4158.2</v>
      </c>
      <c r="CI210" s="3">
        <v>4521.6000000000004</v>
      </c>
      <c r="CJ210" s="3">
        <v>4718.1000000000004</v>
      </c>
      <c r="CK210" s="3">
        <v>5354.4</v>
      </c>
      <c r="CL210" s="3">
        <v>5324.9</v>
      </c>
      <c r="CM210" s="3">
        <v>5425.8</v>
      </c>
      <c r="CN210" s="3">
        <v>5850.4</v>
      </c>
      <c r="CO210" s="3">
        <v>6552.4</v>
      </c>
      <c r="CP210" s="3">
        <v>6911.8</v>
      </c>
      <c r="CQ210" s="3">
        <v>7149.2</v>
      </c>
      <c r="CR210" s="3">
        <v>7471</v>
      </c>
      <c r="CS210" s="3">
        <v>8775.6</v>
      </c>
      <c r="CT210" s="3">
        <v>9056.4</v>
      </c>
    </row>
    <row r="211" spans="1:98" ht="25.5">
      <c r="A211" s="4" t="s">
        <v>307</v>
      </c>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v>1327</v>
      </c>
      <c r="BU211" s="5">
        <v>1620.3</v>
      </c>
      <c r="BV211" s="5">
        <v>1986.5</v>
      </c>
      <c r="BW211" s="5">
        <v>1770.2</v>
      </c>
      <c r="BX211" s="5">
        <v>2086</v>
      </c>
      <c r="BY211" s="5">
        <v>1782.2</v>
      </c>
      <c r="BZ211" s="5">
        <v>1808.7</v>
      </c>
      <c r="CA211" s="5">
        <v>2711.8</v>
      </c>
      <c r="CB211" s="5">
        <v>2889.1</v>
      </c>
      <c r="CC211" s="5">
        <v>2910</v>
      </c>
      <c r="CD211" s="5">
        <v>2962.1</v>
      </c>
      <c r="CE211" s="5">
        <v>3822.6</v>
      </c>
      <c r="CF211" s="5">
        <v>3919.8</v>
      </c>
      <c r="CG211" s="5">
        <v>4098.1000000000004</v>
      </c>
      <c r="CH211" s="5">
        <v>4301</v>
      </c>
      <c r="CI211" s="5">
        <v>4301</v>
      </c>
      <c r="CJ211" s="5">
        <v>4309.8999999999996</v>
      </c>
      <c r="CK211" s="5">
        <v>5264.5</v>
      </c>
      <c r="CL211" s="5">
        <v>5482.2</v>
      </c>
      <c r="CM211" s="5">
        <v>5668</v>
      </c>
      <c r="CN211" s="5">
        <v>5805.2</v>
      </c>
      <c r="CO211" s="5">
        <v>7125</v>
      </c>
      <c r="CP211" s="5">
        <v>7435.9</v>
      </c>
      <c r="CQ211" s="5">
        <v>7424.8</v>
      </c>
      <c r="CR211" s="5">
        <v>7825.4</v>
      </c>
      <c r="CS211" s="5">
        <v>7941.5</v>
      </c>
      <c r="CT211" s="5">
        <v>8046</v>
      </c>
    </row>
    <row r="212" spans="1:98" ht="25.5">
      <c r="A212" s="2" t="s">
        <v>308</v>
      </c>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v>1218</v>
      </c>
      <c r="BR212" s="3">
        <v>1273</v>
      </c>
      <c r="BS212" s="3">
        <v>1296</v>
      </c>
      <c r="BT212" s="3">
        <v>1327</v>
      </c>
      <c r="BU212" s="3">
        <v>1620.3</v>
      </c>
      <c r="BV212" s="3">
        <v>1986.5</v>
      </c>
      <c r="BW212" s="3">
        <v>1770.2</v>
      </c>
      <c r="BX212" s="3">
        <v>2086</v>
      </c>
      <c r="BY212" s="3">
        <v>1782.2</v>
      </c>
      <c r="BZ212" s="3">
        <v>1808.7</v>
      </c>
      <c r="CA212" s="3">
        <v>2719.1</v>
      </c>
      <c r="CB212" s="3">
        <v>2892.2</v>
      </c>
      <c r="CC212" s="3">
        <v>2904.8</v>
      </c>
      <c r="CD212" s="3">
        <v>2951.7</v>
      </c>
      <c r="CE212" s="3">
        <v>3683.2</v>
      </c>
      <c r="CF212" s="3">
        <v>3772.4</v>
      </c>
      <c r="CG212" s="3">
        <v>4220.3</v>
      </c>
      <c r="CH212" s="3">
        <v>4347.7</v>
      </c>
      <c r="CI212" s="3">
        <v>4347.7</v>
      </c>
      <c r="CJ212" s="3">
        <v>4358.2</v>
      </c>
      <c r="CK212" s="3">
        <v>5330.5</v>
      </c>
      <c r="CL212" s="3">
        <v>5531.9</v>
      </c>
      <c r="CM212" s="3">
        <v>5726.7</v>
      </c>
      <c r="CN212" s="3">
        <v>5864</v>
      </c>
      <c r="CO212" s="3">
        <v>7215.7</v>
      </c>
      <c r="CP212" s="3">
        <v>7523.5</v>
      </c>
      <c r="CQ212" s="3">
        <v>7535.1</v>
      </c>
      <c r="CR212" s="3">
        <v>7887.1</v>
      </c>
      <c r="CS212" s="3">
        <v>8033.7</v>
      </c>
      <c r="CT212" s="3">
        <v>8151</v>
      </c>
    </row>
    <row r="213" spans="1:98" ht="25.5">
      <c r="A213" s="4" t="s">
        <v>309</v>
      </c>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v>1000</v>
      </c>
      <c r="BO213" s="5"/>
      <c r="BP213" s="5"/>
      <c r="BQ213" s="5">
        <v>1130</v>
      </c>
      <c r="BR213" s="5">
        <v>1130</v>
      </c>
      <c r="BS213" s="5">
        <v>1180</v>
      </c>
      <c r="BT213" s="5">
        <v>1180</v>
      </c>
      <c r="BU213" s="5">
        <v>1374.7</v>
      </c>
      <c r="BV213" s="5">
        <v>2272.6999999999998</v>
      </c>
      <c r="BW213" s="5">
        <v>1614.2</v>
      </c>
      <c r="BX213" s="5">
        <v>2272.6999999999998</v>
      </c>
      <c r="BY213" s="5">
        <v>1793.6</v>
      </c>
      <c r="BZ213" s="5">
        <v>1996.6</v>
      </c>
      <c r="CA213" s="5">
        <v>2477.1999999999998</v>
      </c>
      <c r="CB213" s="5">
        <v>2613.6</v>
      </c>
      <c r="CC213" s="5">
        <v>3074.9</v>
      </c>
      <c r="CD213" s="5">
        <v>3079.4</v>
      </c>
      <c r="CE213" s="5">
        <v>3418.2</v>
      </c>
      <c r="CF213" s="5">
        <v>3454.2</v>
      </c>
      <c r="CG213" s="5">
        <v>3845.6</v>
      </c>
      <c r="CH213" s="5">
        <v>4506.8</v>
      </c>
      <c r="CI213" s="5">
        <v>4663.7</v>
      </c>
      <c r="CJ213" s="5">
        <v>5005.6000000000004</v>
      </c>
      <c r="CK213" s="5">
        <v>5652.5</v>
      </c>
      <c r="CL213" s="5">
        <v>5579.6</v>
      </c>
      <c r="CM213" s="5">
        <v>5684.3</v>
      </c>
      <c r="CN213" s="5">
        <v>6089.8</v>
      </c>
      <c r="CO213" s="5">
        <v>7349</v>
      </c>
      <c r="CP213" s="5">
        <v>7349</v>
      </c>
      <c r="CQ213" s="5">
        <v>7508.7</v>
      </c>
      <c r="CR213" s="5">
        <v>8050.7</v>
      </c>
      <c r="CS213" s="5">
        <v>8495.2999999999993</v>
      </c>
      <c r="CT213" s="5">
        <v>8647.5</v>
      </c>
    </row>
    <row r="214" spans="1:98" ht="25.5">
      <c r="A214" s="2" t="s">
        <v>310</v>
      </c>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v>1000</v>
      </c>
      <c r="BU214" s="3">
        <v>1263</v>
      </c>
      <c r="BV214" s="3">
        <v>1800</v>
      </c>
      <c r="BW214" s="3">
        <v>1540</v>
      </c>
      <c r="BX214" s="3">
        <v>1876</v>
      </c>
      <c r="BY214" s="3">
        <v>1580</v>
      </c>
      <c r="BZ214" s="3">
        <v>1700</v>
      </c>
      <c r="CA214" s="3">
        <v>2603.1</v>
      </c>
      <c r="CB214" s="3">
        <v>2749.5</v>
      </c>
      <c r="CC214" s="3">
        <v>2827.1</v>
      </c>
      <c r="CD214" s="3">
        <v>2896.5</v>
      </c>
      <c r="CE214" s="3">
        <v>3661.2</v>
      </c>
      <c r="CF214" s="3">
        <v>4113</v>
      </c>
      <c r="CG214" s="3">
        <v>4168.6000000000004</v>
      </c>
      <c r="CH214" s="3">
        <v>4223.1000000000004</v>
      </c>
      <c r="CI214" s="3">
        <v>4263.7</v>
      </c>
      <c r="CJ214" s="3">
        <v>4359.2</v>
      </c>
      <c r="CK214" s="3">
        <v>5196.2</v>
      </c>
      <c r="CL214" s="3">
        <v>5540.5</v>
      </c>
      <c r="CM214" s="3">
        <v>5884.9</v>
      </c>
      <c r="CN214" s="3">
        <v>5970.7</v>
      </c>
      <c r="CO214" s="3">
        <v>7433.5</v>
      </c>
      <c r="CP214" s="3">
        <v>7726.1</v>
      </c>
      <c r="CQ214" s="3">
        <v>7809.7</v>
      </c>
      <c r="CR214" s="3">
        <v>7988.8</v>
      </c>
      <c r="CS214" s="3">
        <v>8227.6</v>
      </c>
      <c r="CT214" s="3">
        <v>8359</v>
      </c>
    </row>
    <row r="215" spans="1:98" ht="25.5">
      <c r="A215" s="4" t="s">
        <v>311</v>
      </c>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v>1000</v>
      </c>
      <c r="BO215" s="5"/>
      <c r="BP215" s="5"/>
      <c r="BQ215" s="5">
        <v>1251</v>
      </c>
      <c r="BR215" s="5">
        <v>1213</v>
      </c>
      <c r="BS215" s="5">
        <v>1185</v>
      </c>
      <c r="BT215" s="5">
        <v>1294</v>
      </c>
      <c r="BU215" s="5">
        <v>1443.6</v>
      </c>
      <c r="BV215" s="5">
        <v>2841.1</v>
      </c>
      <c r="BW215" s="5">
        <v>1799.4</v>
      </c>
      <c r="BX215" s="5">
        <v>3210.2</v>
      </c>
      <c r="BY215" s="5">
        <v>1933.5</v>
      </c>
      <c r="BZ215" s="5">
        <v>2356.1999999999998</v>
      </c>
      <c r="CA215" s="5">
        <v>3467</v>
      </c>
      <c r="CB215" s="5">
        <v>3434.9</v>
      </c>
      <c r="CC215" s="5">
        <v>4046</v>
      </c>
      <c r="CD215" s="5">
        <v>4112.8999999999996</v>
      </c>
      <c r="CE215" s="5">
        <v>4158</v>
      </c>
      <c r="CF215" s="5">
        <v>4069.1</v>
      </c>
      <c r="CG215" s="5">
        <v>4528.3</v>
      </c>
      <c r="CH215" s="5">
        <v>5159.6000000000004</v>
      </c>
      <c r="CI215" s="5">
        <v>6288.6</v>
      </c>
      <c r="CJ215" s="5">
        <v>6798.2</v>
      </c>
      <c r="CK215" s="5">
        <v>6659.4</v>
      </c>
      <c r="CL215" s="5">
        <v>6569</v>
      </c>
      <c r="CM215" s="5">
        <v>7478</v>
      </c>
      <c r="CN215" s="5">
        <v>8129</v>
      </c>
      <c r="CO215" s="5">
        <v>9352.7999999999993</v>
      </c>
      <c r="CP215" s="5">
        <v>9245.7999999999993</v>
      </c>
      <c r="CQ215" s="5">
        <v>10080</v>
      </c>
      <c r="CR215" s="5">
        <v>11600.1</v>
      </c>
      <c r="CS215" s="5">
        <v>12681.2</v>
      </c>
      <c r="CT215" s="5">
        <v>13673</v>
      </c>
    </row>
    <row r="216" spans="1:98" ht="25.5">
      <c r="A216" s="2" t="s">
        <v>312</v>
      </c>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v>1000</v>
      </c>
      <c r="BO216" s="3"/>
      <c r="BP216" s="3"/>
      <c r="BQ216" s="3">
        <v>1180</v>
      </c>
      <c r="BR216" s="3">
        <v>1120</v>
      </c>
      <c r="BS216" s="3">
        <v>1185</v>
      </c>
      <c r="BT216" s="3">
        <v>1294</v>
      </c>
      <c r="BU216" s="3">
        <v>1371.6</v>
      </c>
      <c r="BV216" s="3">
        <v>2594.5</v>
      </c>
      <c r="BW216" s="3">
        <v>1877.6</v>
      </c>
      <c r="BX216" s="3">
        <v>2814.5</v>
      </c>
      <c r="BY216" s="3">
        <v>2073</v>
      </c>
      <c r="BZ216" s="3">
        <v>2228.3000000000002</v>
      </c>
      <c r="CA216" s="3">
        <v>2927.1</v>
      </c>
      <c r="CB216" s="3">
        <v>3236.7</v>
      </c>
      <c r="CC216" s="3">
        <v>3456.8</v>
      </c>
      <c r="CD216" s="3">
        <v>3626.4</v>
      </c>
      <c r="CE216" s="3">
        <v>3631.9</v>
      </c>
      <c r="CF216" s="3">
        <v>3622.9</v>
      </c>
      <c r="CG216" s="3">
        <v>3964.1</v>
      </c>
      <c r="CH216" s="3">
        <v>4297.8999999999996</v>
      </c>
      <c r="CI216" s="3">
        <v>4875</v>
      </c>
      <c r="CJ216" s="3">
        <v>5423.4</v>
      </c>
      <c r="CK216" s="3">
        <v>5499.9</v>
      </c>
      <c r="CL216" s="3">
        <v>5476.4</v>
      </c>
      <c r="CM216" s="3">
        <v>6137</v>
      </c>
      <c r="CN216" s="3">
        <v>6506.7</v>
      </c>
      <c r="CO216" s="3">
        <v>7647.5</v>
      </c>
      <c r="CP216" s="3">
        <v>7647.5</v>
      </c>
      <c r="CQ216" s="3">
        <v>8484.7000000000007</v>
      </c>
      <c r="CR216" s="3">
        <v>9597.4</v>
      </c>
      <c r="CS216" s="3">
        <v>10404.200000000001</v>
      </c>
      <c r="CT216" s="3">
        <v>10710</v>
      </c>
    </row>
    <row r="217" spans="1:98" ht="25.5">
      <c r="A217" s="4" t="s">
        <v>313</v>
      </c>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v>1000</v>
      </c>
      <c r="BO217" s="5"/>
      <c r="BP217" s="5"/>
      <c r="BQ217" s="5">
        <v>1287</v>
      </c>
      <c r="BR217" s="5">
        <v>1276</v>
      </c>
      <c r="BS217" s="5">
        <v>1265</v>
      </c>
      <c r="BT217" s="5">
        <v>1312</v>
      </c>
      <c r="BU217" s="5">
        <v>1463.7</v>
      </c>
      <c r="BV217" s="5">
        <v>2880.7</v>
      </c>
      <c r="BW217" s="5">
        <v>1824.4</v>
      </c>
      <c r="BX217" s="5">
        <v>3254.8</v>
      </c>
      <c r="BY217" s="5">
        <v>1960.4</v>
      </c>
      <c r="BZ217" s="5">
        <v>2388.9</v>
      </c>
      <c r="CA217" s="5">
        <v>3710.5</v>
      </c>
      <c r="CB217" s="5">
        <v>3808.1</v>
      </c>
      <c r="CC217" s="5">
        <v>3963.7</v>
      </c>
      <c r="CD217" s="5">
        <v>4020.2</v>
      </c>
      <c r="CE217" s="5">
        <v>4125.2</v>
      </c>
      <c r="CF217" s="5">
        <v>4097.1000000000004</v>
      </c>
      <c r="CG217" s="5">
        <v>4266.5</v>
      </c>
      <c r="CH217" s="5">
        <v>4925.1000000000004</v>
      </c>
      <c r="CI217" s="5">
        <v>6164</v>
      </c>
      <c r="CJ217" s="5">
        <v>6955.9</v>
      </c>
      <c r="CK217" s="5">
        <v>6933.4</v>
      </c>
      <c r="CL217" s="5">
        <v>6643.1</v>
      </c>
      <c r="CM217" s="5">
        <v>7532.1</v>
      </c>
      <c r="CN217" s="5">
        <v>8158.6</v>
      </c>
      <c r="CO217" s="5">
        <v>10499.4</v>
      </c>
      <c r="CP217" s="5">
        <v>10499.4</v>
      </c>
      <c r="CQ217" s="5">
        <v>10549.1</v>
      </c>
      <c r="CR217" s="5">
        <v>11748.4</v>
      </c>
      <c r="CS217" s="5">
        <v>12409.2</v>
      </c>
      <c r="CT217" s="5">
        <v>13820.7</v>
      </c>
    </row>
    <row r="218" spans="1:98" ht="25.5">
      <c r="A218" s="2" t="s">
        <v>314</v>
      </c>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v>1000</v>
      </c>
      <c r="BO218" s="3"/>
      <c r="BP218" s="3"/>
      <c r="BQ218" s="3">
        <v>1140</v>
      </c>
      <c r="BR218" s="3">
        <v>1100</v>
      </c>
      <c r="BS218" s="3">
        <v>1171</v>
      </c>
      <c r="BT218" s="3">
        <v>1261</v>
      </c>
      <c r="BU218" s="3">
        <v>1349.9</v>
      </c>
      <c r="BV218" s="3">
        <v>2570.6</v>
      </c>
      <c r="BW218" s="3">
        <v>1780.3</v>
      </c>
      <c r="BX218" s="3">
        <v>2657.1</v>
      </c>
      <c r="BY218" s="3">
        <v>2010.9</v>
      </c>
      <c r="BZ218" s="3">
        <v>2238.5</v>
      </c>
      <c r="CA218" s="3">
        <v>2869.7</v>
      </c>
      <c r="CB218" s="3">
        <v>3427.7</v>
      </c>
      <c r="CC218" s="3">
        <v>3543.9</v>
      </c>
      <c r="CD218" s="3">
        <v>3881.1</v>
      </c>
      <c r="CE218" s="3">
        <v>4021.8</v>
      </c>
      <c r="CF218" s="3">
        <v>4014.4</v>
      </c>
      <c r="CG218" s="3">
        <v>4075.2</v>
      </c>
      <c r="CH218" s="3">
        <v>4670.5</v>
      </c>
      <c r="CI218" s="3">
        <v>5014.1000000000004</v>
      </c>
      <c r="CJ218" s="3">
        <v>5657.7</v>
      </c>
      <c r="CK218" s="3">
        <v>5545.5</v>
      </c>
      <c r="CL218" s="3">
        <v>5377.9</v>
      </c>
      <c r="CM218" s="3">
        <v>6191.9</v>
      </c>
      <c r="CN218" s="3">
        <v>6824.3</v>
      </c>
      <c r="CO218" s="3">
        <v>8093.4</v>
      </c>
      <c r="CP218" s="3">
        <v>8369.2000000000007</v>
      </c>
      <c r="CQ218" s="3">
        <v>9247.2999999999993</v>
      </c>
      <c r="CR218" s="3">
        <v>10195.5</v>
      </c>
      <c r="CS218" s="3">
        <v>11178.2</v>
      </c>
      <c r="CT218" s="3">
        <v>11969.8</v>
      </c>
    </row>
    <row r="219" spans="1:98" ht="25.5">
      <c r="A219" s="4" t="s">
        <v>315</v>
      </c>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v>1000</v>
      </c>
      <c r="BO219" s="5"/>
      <c r="BP219" s="5"/>
      <c r="BQ219" s="5">
        <v>1171</v>
      </c>
      <c r="BR219" s="5">
        <v>1171</v>
      </c>
      <c r="BS219" s="5">
        <v>1200</v>
      </c>
      <c r="BT219" s="5">
        <v>1250</v>
      </c>
      <c r="BU219" s="5">
        <v>1437.5</v>
      </c>
      <c r="BV219" s="5">
        <v>2570.6</v>
      </c>
      <c r="BW219" s="5">
        <v>1790.8</v>
      </c>
      <c r="BX219" s="5">
        <v>2487.5</v>
      </c>
      <c r="BY219" s="5">
        <v>1983</v>
      </c>
      <c r="BZ219" s="5">
        <v>2258</v>
      </c>
      <c r="CA219" s="5">
        <v>2711.4</v>
      </c>
      <c r="CB219" s="5">
        <v>2835.8</v>
      </c>
      <c r="CC219" s="5">
        <v>2906.8</v>
      </c>
      <c r="CD219" s="5">
        <v>3110.7</v>
      </c>
      <c r="CE219" s="5">
        <v>3484</v>
      </c>
      <c r="CF219" s="5">
        <v>3619.1</v>
      </c>
      <c r="CG219" s="5">
        <v>3877.6</v>
      </c>
      <c r="CH219" s="5">
        <v>4387.3</v>
      </c>
      <c r="CI219" s="5">
        <v>4723</v>
      </c>
      <c r="CJ219" s="5">
        <v>4792.7</v>
      </c>
      <c r="CK219" s="5">
        <v>5289.1</v>
      </c>
      <c r="CL219" s="5">
        <v>5289.1</v>
      </c>
      <c r="CM219" s="5">
        <v>6009.2</v>
      </c>
      <c r="CN219" s="5">
        <v>6053</v>
      </c>
      <c r="CO219" s="5">
        <v>6843.5</v>
      </c>
      <c r="CP219" s="5">
        <v>7238</v>
      </c>
      <c r="CQ219" s="5">
        <v>7505.7</v>
      </c>
      <c r="CR219" s="5">
        <v>8831.2999999999993</v>
      </c>
      <c r="CS219" s="5">
        <v>9055.2999999999993</v>
      </c>
      <c r="CT219" s="5">
        <v>9551.6</v>
      </c>
    </row>
    <row r="220" spans="1:98" ht="25.5">
      <c r="A220" s="2" t="s">
        <v>316</v>
      </c>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v>1000</v>
      </c>
      <c r="BO220" s="3"/>
      <c r="BP220" s="3"/>
      <c r="BQ220" s="3">
        <v>1200</v>
      </c>
      <c r="BR220" s="3">
        <v>1190</v>
      </c>
      <c r="BS220" s="3">
        <v>1198</v>
      </c>
      <c r="BT220" s="3">
        <v>1261</v>
      </c>
      <c r="BU220" s="3">
        <v>1508.4</v>
      </c>
      <c r="BV220" s="3">
        <v>2660.7</v>
      </c>
      <c r="BW220" s="3">
        <v>1868.7</v>
      </c>
      <c r="BX220" s="3">
        <v>2597.6999999999998</v>
      </c>
      <c r="BY220" s="3">
        <v>2132</v>
      </c>
      <c r="BZ220" s="3">
        <v>2458.8000000000002</v>
      </c>
      <c r="CA220" s="3">
        <v>2753.6</v>
      </c>
      <c r="CB220" s="3">
        <v>2857.5</v>
      </c>
      <c r="CC220" s="3">
        <v>2989.2</v>
      </c>
      <c r="CD220" s="3">
        <v>3020.7</v>
      </c>
      <c r="CE220" s="3">
        <v>3236.5</v>
      </c>
      <c r="CF220" s="3">
        <v>3361.9</v>
      </c>
      <c r="CG220" s="3">
        <v>3721.3</v>
      </c>
      <c r="CH220" s="3">
        <v>4213.6000000000004</v>
      </c>
      <c r="CI220" s="3">
        <v>4261.3999999999996</v>
      </c>
      <c r="CJ220" s="3">
        <v>4443.3</v>
      </c>
      <c r="CK220" s="3">
        <v>4906.8</v>
      </c>
      <c r="CL220" s="3">
        <v>4861.7</v>
      </c>
      <c r="CM220" s="3">
        <v>5373.5</v>
      </c>
      <c r="CN220" s="3">
        <v>5396</v>
      </c>
      <c r="CO220" s="3">
        <v>5992</v>
      </c>
      <c r="CP220" s="3">
        <v>6371.3</v>
      </c>
      <c r="CQ220" s="3">
        <v>6761.2</v>
      </c>
      <c r="CR220" s="3">
        <v>7948.3</v>
      </c>
      <c r="CS220" s="3">
        <v>8142.6</v>
      </c>
      <c r="CT220" s="3">
        <v>8423.2000000000007</v>
      </c>
    </row>
    <row r="221" spans="1:98">
      <c r="A221" s="4" t="s">
        <v>317</v>
      </c>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v>5000</v>
      </c>
      <c r="CK221" s="5">
        <v>5957.8</v>
      </c>
      <c r="CL221" s="5">
        <v>6208.7</v>
      </c>
      <c r="CM221" s="5">
        <v>6361.1</v>
      </c>
      <c r="CN221" s="5">
        <v>6546.1</v>
      </c>
      <c r="CO221" s="5">
        <v>7803.6</v>
      </c>
      <c r="CP221" s="5">
        <v>8070.1</v>
      </c>
      <c r="CQ221" s="5">
        <v>8149.9</v>
      </c>
      <c r="CR221" s="5">
        <v>8483.7000000000007</v>
      </c>
      <c r="CS221" s="5">
        <v>8575.4</v>
      </c>
      <c r="CT221" s="5">
        <v>8693.2000000000007</v>
      </c>
    </row>
    <row r="222" spans="1:98">
      <c r="A222" s="2" t="s">
        <v>318</v>
      </c>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c r="CE222" s="3"/>
      <c r="CF222" s="3"/>
      <c r="CG222" s="3"/>
      <c r="CH222" s="3"/>
      <c r="CI222" s="3"/>
      <c r="CJ222" s="3">
        <v>5000</v>
      </c>
      <c r="CK222" s="3">
        <v>5867.6</v>
      </c>
      <c r="CL222" s="3">
        <v>6076.5</v>
      </c>
      <c r="CM222" s="3">
        <v>6277.2</v>
      </c>
      <c r="CN222" s="3">
        <v>6443.2</v>
      </c>
      <c r="CO222" s="3">
        <v>7534.3</v>
      </c>
      <c r="CP222" s="3">
        <v>7728.6</v>
      </c>
      <c r="CQ222" s="3">
        <v>7815.6</v>
      </c>
      <c r="CR222" s="3">
        <v>8208.6</v>
      </c>
      <c r="CS222" s="3">
        <v>8401.9</v>
      </c>
      <c r="CT222" s="3">
        <v>8653.2000000000007</v>
      </c>
    </row>
    <row r="223" spans="1:98">
      <c r="A223" s="4" t="s">
        <v>319</v>
      </c>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v>5000</v>
      </c>
      <c r="CK223" s="5">
        <v>6150.5</v>
      </c>
      <c r="CL223" s="5">
        <v>6357.6</v>
      </c>
      <c r="CM223" s="5">
        <v>6556.8</v>
      </c>
      <c r="CN223" s="5">
        <v>6732.3</v>
      </c>
      <c r="CO223" s="5">
        <v>8253.9</v>
      </c>
      <c r="CP223" s="5">
        <v>8556</v>
      </c>
      <c r="CQ223" s="5">
        <v>8597.1</v>
      </c>
      <c r="CR223" s="5">
        <v>8913.6</v>
      </c>
      <c r="CS223" s="5">
        <v>9014.5</v>
      </c>
      <c r="CT223" s="5">
        <v>9115.5</v>
      </c>
    </row>
    <row r="224" spans="1:98">
      <c r="A224" s="2" t="s">
        <v>320</v>
      </c>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c r="CE224" s="3"/>
      <c r="CF224" s="3"/>
      <c r="CG224" s="3"/>
      <c r="CH224" s="3"/>
      <c r="CI224" s="3"/>
      <c r="CJ224" s="3">
        <v>5000</v>
      </c>
      <c r="CK224" s="3">
        <v>5790.8</v>
      </c>
      <c r="CL224" s="3">
        <v>5883</v>
      </c>
      <c r="CM224" s="3">
        <v>6044.5</v>
      </c>
      <c r="CN224" s="3">
        <v>6229.6</v>
      </c>
      <c r="CO224" s="3">
        <v>7072.5</v>
      </c>
      <c r="CP224" s="3">
        <v>7307.1</v>
      </c>
      <c r="CQ224" s="3">
        <v>7095.5</v>
      </c>
      <c r="CR224" s="3">
        <v>7375.8</v>
      </c>
      <c r="CS224" s="3">
        <v>7737.2</v>
      </c>
      <c r="CT224" s="3">
        <v>8167</v>
      </c>
    </row>
    <row r="225" spans="1:98">
      <c r="A225" s="4" t="s">
        <v>321</v>
      </c>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v>5000</v>
      </c>
      <c r="CK225" s="5">
        <v>5988.3</v>
      </c>
      <c r="CL225" s="5">
        <v>6320.7</v>
      </c>
      <c r="CM225" s="5">
        <v>6413.4</v>
      </c>
      <c r="CN225" s="5">
        <v>6623.1</v>
      </c>
      <c r="CO225" s="5">
        <v>7983.9</v>
      </c>
      <c r="CP225" s="5">
        <v>8404.5</v>
      </c>
      <c r="CQ225" s="5">
        <v>8411.2999999999993</v>
      </c>
      <c r="CR225" s="5">
        <v>8961.1</v>
      </c>
      <c r="CS225" s="5">
        <v>9067</v>
      </c>
      <c r="CT225" s="5">
        <v>9166.4</v>
      </c>
    </row>
    <row r="226" spans="1:98" ht="25.5">
      <c r="A226" s="2" t="s">
        <v>322</v>
      </c>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v>1500</v>
      </c>
      <c r="BU226" s="3">
        <v>1995</v>
      </c>
      <c r="BV226" s="3">
        <v>1995</v>
      </c>
      <c r="BW226" s="3">
        <v>1995</v>
      </c>
      <c r="BX226" s="3">
        <v>1995</v>
      </c>
      <c r="BY226" s="3">
        <v>1995</v>
      </c>
      <c r="BZ226" s="3">
        <v>1995</v>
      </c>
      <c r="CA226" s="3">
        <v>2852.9</v>
      </c>
      <c r="CB226" s="3">
        <v>2852.9</v>
      </c>
      <c r="CC226" s="3">
        <v>2852.9</v>
      </c>
      <c r="CD226" s="3">
        <v>2852.9</v>
      </c>
      <c r="CE226" s="3">
        <v>3857.1</v>
      </c>
      <c r="CF226" s="3">
        <v>3885.6</v>
      </c>
      <c r="CG226" s="3">
        <v>3908.5</v>
      </c>
      <c r="CH226" s="3">
        <v>3937</v>
      </c>
      <c r="CI226" s="3">
        <v>3937</v>
      </c>
      <c r="CJ226" s="3">
        <v>3937</v>
      </c>
      <c r="CK226" s="3">
        <v>4842.5</v>
      </c>
      <c r="CL226" s="3">
        <v>4881.8999999999996</v>
      </c>
      <c r="CM226" s="3">
        <v>4960.6000000000004</v>
      </c>
      <c r="CN226" s="3">
        <v>5039.3999999999996</v>
      </c>
      <c r="CO226" s="3">
        <v>6903.9</v>
      </c>
      <c r="CP226" s="3">
        <v>6854.3</v>
      </c>
      <c r="CQ226" s="3">
        <v>6999.7</v>
      </c>
      <c r="CR226" s="3">
        <v>7019.9</v>
      </c>
      <c r="CS226" s="3">
        <v>7030</v>
      </c>
      <c r="CT226" s="3">
        <v>7050.1</v>
      </c>
    </row>
    <row r="227" spans="1:98" ht="25.5">
      <c r="A227" s="4" t="s">
        <v>323</v>
      </c>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v>1500</v>
      </c>
      <c r="BU227" s="5">
        <v>1743.8</v>
      </c>
      <c r="BV227" s="5">
        <v>2515.6999999999998</v>
      </c>
      <c r="BW227" s="5">
        <v>2061</v>
      </c>
      <c r="BX227" s="5">
        <v>2785.7</v>
      </c>
      <c r="BY227" s="5">
        <v>2148.4</v>
      </c>
      <c r="BZ227" s="5">
        <v>2247.6</v>
      </c>
      <c r="CA227" s="5">
        <v>3542.7</v>
      </c>
      <c r="CB227" s="5">
        <v>3858.9</v>
      </c>
      <c r="CC227" s="5">
        <v>3872</v>
      </c>
      <c r="CD227" s="5">
        <v>3851.8</v>
      </c>
      <c r="CE227" s="5">
        <v>4657.3999999999996</v>
      </c>
      <c r="CF227" s="5">
        <v>4540.8999999999996</v>
      </c>
      <c r="CG227" s="5">
        <v>4799</v>
      </c>
      <c r="CH227" s="5">
        <v>5292.4</v>
      </c>
      <c r="CI227" s="5">
        <v>5622.8</v>
      </c>
      <c r="CJ227" s="5">
        <v>5701.9</v>
      </c>
      <c r="CK227" s="5">
        <v>6361</v>
      </c>
      <c r="CL227" s="5">
        <v>6383.1</v>
      </c>
      <c r="CM227" s="5">
        <v>6597.9</v>
      </c>
      <c r="CN227" s="5">
        <v>6974.7</v>
      </c>
      <c r="CO227" s="5">
        <v>8243.7000000000007</v>
      </c>
      <c r="CP227" s="5">
        <v>8340.7999999999993</v>
      </c>
      <c r="CQ227" s="5">
        <v>8934.6</v>
      </c>
      <c r="CR227" s="5">
        <v>9346.1</v>
      </c>
      <c r="CS227" s="5">
        <v>9415.7999999999993</v>
      </c>
      <c r="CT227" s="5">
        <v>9555.2999999999993</v>
      </c>
    </row>
    <row r="228" spans="1:98" ht="25.5">
      <c r="A228" s="2" t="s">
        <v>324</v>
      </c>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v>1500</v>
      </c>
      <c r="BU228" s="3">
        <v>1894.5</v>
      </c>
      <c r="BV228" s="3">
        <v>2700</v>
      </c>
      <c r="BW228" s="3">
        <v>2310</v>
      </c>
      <c r="BX228" s="3">
        <v>2814</v>
      </c>
      <c r="BY228" s="3">
        <v>2370</v>
      </c>
      <c r="BZ228" s="3">
        <v>2550</v>
      </c>
      <c r="CA228" s="3">
        <v>3904.7</v>
      </c>
      <c r="CB228" s="3">
        <v>4124.2</v>
      </c>
      <c r="CC228" s="3">
        <v>4241.1000000000004</v>
      </c>
      <c r="CD228" s="3">
        <v>4344.8</v>
      </c>
      <c r="CE228" s="3">
        <v>5491.8</v>
      </c>
      <c r="CF228" s="3">
        <v>6169.6</v>
      </c>
      <c r="CG228" s="3">
        <v>6252.3</v>
      </c>
      <c r="CH228" s="3">
        <v>6334.7</v>
      </c>
      <c r="CI228" s="3">
        <v>6395.5</v>
      </c>
      <c r="CJ228" s="3">
        <v>6538.9</v>
      </c>
      <c r="CK228" s="3">
        <v>7794.4</v>
      </c>
      <c r="CL228" s="3">
        <v>8310.9</v>
      </c>
      <c r="CM228" s="3">
        <v>8827.5</v>
      </c>
      <c r="CN228" s="3">
        <v>8958.2999999999993</v>
      </c>
      <c r="CO228" s="3">
        <v>11153.1</v>
      </c>
      <c r="CP228" s="3">
        <v>11592</v>
      </c>
      <c r="CQ228" s="3">
        <v>11717.5</v>
      </c>
      <c r="CR228" s="3">
        <v>11986.2</v>
      </c>
      <c r="CS228" s="3">
        <v>12344.5</v>
      </c>
      <c r="CT228" s="3">
        <v>12541.6</v>
      </c>
    </row>
    <row r="229" spans="1:98" ht="25.5">
      <c r="A229" s="4" t="s">
        <v>325</v>
      </c>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v>1500</v>
      </c>
      <c r="BU229" s="5">
        <v>1636.2</v>
      </c>
      <c r="BV229" s="5">
        <v>3410.3</v>
      </c>
      <c r="BW229" s="5">
        <v>2124.8000000000002</v>
      </c>
      <c r="BX229" s="5">
        <v>3741.8</v>
      </c>
      <c r="BY229" s="5">
        <v>2417.3000000000002</v>
      </c>
      <c r="BZ229" s="5">
        <v>2762.3</v>
      </c>
      <c r="CA229" s="5">
        <v>3864.9</v>
      </c>
      <c r="CB229" s="5">
        <v>3897.6</v>
      </c>
      <c r="CC229" s="5">
        <v>4535.5</v>
      </c>
      <c r="CD229" s="5">
        <v>4685.2</v>
      </c>
      <c r="CE229" s="5">
        <v>4853.8</v>
      </c>
      <c r="CF229" s="5">
        <v>4737.8999999999996</v>
      </c>
      <c r="CG229" s="5">
        <v>5589.2</v>
      </c>
      <c r="CH229" s="5">
        <v>6424.1</v>
      </c>
      <c r="CI229" s="5">
        <v>7438.5</v>
      </c>
      <c r="CJ229" s="5">
        <v>8239.6</v>
      </c>
      <c r="CK229" s="5">
        <v>8208.4</v>
      </c>
      <c r="CL229" s="5">
        <v>8173</v>
      </c>
      <c r="CM229" s="5">
        <v>8636.4</v>
      </c>
      <c r="CN229" s="5">
        <v>9255.4</v>
      </c>
      <c r="CO229" s="5">
        <v>10535.1</v>
      </c>
      <c r="CP229" s="5">
        <v>10442.6</v>
      </c>
      <c r="CQ229" s="5">
        <v>11569.2</v>
      </c>
      <c r="CR229" s="5">
        <v>13235.2</v>
      </c>
      <c r="CS229" s="5">
        <v>14262.6</v>
      </c>
      <c r="CT229" s="5">
        <v>15206.6</v>
      </c>
    </row>
    <row r="230" spans="1:98" ht="25.5">
      <c r="A230" s="2" t="s">
        <v>326</v>
      </c>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v>1500</v>
      </c>
      <c r="BU230" s="3">
        <v>1636.2</v>
      </c>
      <c r="BV230" s="3">
        <v>3345</v>
      </c>
      <c r="BW230" s="3">
        <v>2124.8000000000002</v>
      </c>
      <c r="BX230" s="3">
        <v>3687.9</v>
      </c>
      <c r="BY230" s="3">
        <v>2417.3000000000002</v>
      </c>
      <c r="BZ230" s="3">
        <v>2762.3</v>
      </c>
      <c r="CA230" s="3">
        <v>3761.7</v>
      </c>
      <c r="CB230" s="3">
        <v>3835.4</v>
      </c>
      <c r="CC230" s="3">
        <v>4387.8</v>
      </c>
      <c r="CD230" s="3">
        <v>4498.5</v>
      </c>
      <c r="CE230" s="3">
        <v>4740.7</v>
      </c>
      <c r="CF230" s="3">
        <v>4735.1000000000004</v>
      </c>
      <c r="CG230" s="3">
        <v>5366.5</v>
      </c>
      <c r="CH230" s="3">
        <v>6168.1</v>
      </c>
      <c r="CI230" s="3">
        <v>7142</v>
      </c>
      <c r="CJ230" s="3">
        <v>7911.3</v>
      </c>
      <c r="CK230" s="3">
        <v>7796.1</v>
      </c>
      <c r="CL230" s="3">
        <v>7783.3</v>
      </c>
      <c r="CM230" s="3">
        <v>8441.7999999999993</v>
      </c>
      <c r="CN230" s="3">
        <v>9160.2999999999993</v>
      </c>
      <c r="CO230" s="3">
        <v>10817.3</v>
      </c>
      <c r="CP230" s="3">
        <v>10634.1</v>
      </c>
      <c r="CQ230" s="3">
        <v>11487</v>
      </c>
      <c r="CR230" s="3">
        <v>13135.9</v>
      </c>
      <c r="CS230" s="3">
        <v>14152.7</v>
      </c>
      <c r="CT230" s="3">
        <v>15132.8</v>
      </c>
    </row>
    <row r="231" spans="1:98" ht="25.5">
      <c r="A231" s="4" t="s">
        <v>327</v>
      </c>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v>1500</v>
      </c>
      <c r="BU231" s="5">
        <v>1605.7</v>
      </c>
      <c r="BV231" s="5">
        <v>3057.9</v>
      </c>
      <c r="BW231" s="5">
        <v>2117.6999999999998</v>
      </c>
      <c r="BX231" s="5">
        <v>3160.7</v>
      </c>
      <c r="BY231" s="5">
        <v>2392</v>
      </c>
      <c r="BZ231" s="5">
        <v>2662.7</v>
      </c>
      <c r="CA231" s="5">
        <v>3222.4</v>
      </c>
      <c r="CB231" s="5">
        <v>3394.1</v>
      </c>
      <c r="CC231" s="5">
        <v>3882.9</v>
      </c>
      <c r="CD231" s="5">
        <v>4123.6000000000004</v>
      </c>
      <c r="CE231" s="5">
        <v>4274.3</v>
      </c>
      <c r="CF231" s="5">
        <v>4286.7</v>
      </c>
      <c r="CG231" s="5">
        <v>4683.6000000000004</v>
      </c>
      <c r="CH231" s="5">
        <v>5877.6</v>
      </c>
      <c r="CI231" s="5">
        <v>6543.5</v>
      </c>
      <c r="CJ231" s="5">
        <v>6607.9</v>
      </c>
      <c r="CK231" s="5">
        <v>6368.8</v>
      </c>
      <c r="CL231" s="5">
        <v>6309</v>
      </c>
      <c r="CM231" s="5">
        <v>7373.8</v>
      </c>
      <c r="CN231" s="5">
        <v>7969.1</v>
      </c>
      <c r="CO231" s="5">
        <v>9187.1</v>
      </c>
      <c r="CP231" s="5">
        <v>9182.2000000000007</v>
      </c>
      <c r="CQ231" s="5">
        <v>10144.700000000001</v>
      </c>
      <c r="CR231" s="5">
        <v>11834.1</v>
      </c>
      <c r="CS231" s="5">
        <v>12415.9</v>
      </c>
      <c r="CT231" s="5">
        <v>13404.3</v>
      </c>
    </row>
    <row r="232" spans="1:98" ht="25.5">
      <c r="A232" s="2" t="s">
        <v>328</v>
      </c>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v>1500</v>
      </c>
      <c r="BU232" s="3">
        <v>1608.8</v>
      </c>
      <c r="BV232" s="3">
        <v>3240</v>
      </c>
      <c r="BW232" s="3">
        <v>2118.6</v>
      </c>
      <c r="BX232" s="3">
        <v>3300</v>
      </c>
      <c r="BY232" s="3">
        <v>2400.8000000000002</v>
      </c>
      <c r="BZ232" s="3">
        <v>2689.2</v>
      </c>
      <c r="CA232" s="3">
        <v>3308.9</v>
      </c>
      <c r="CB232" s="3">
        <v>3516.6</v>
      </c>
      <c r="CC232" s="3">
        <v>3872.6</v>
      </c>
      <c r="CD232" s="3">
        <v>4136.6000000000004</v>
      </c>
      <c r="CE232" s="3">
        <v>4287.8</v>
      </c>
      <c r="CF232" s="3">
        <v>4300.2</v>
      </c>
      <c r="CG232" s="3">
        <v>4751.1000000000004</v>
      </c>
      <c r="CH232" s="3">
        <v>5944.9</v>
      </c>
      <c r="CI232" s="3">
        <v>6635.1</v>
      </c>
      <c r="CJ232" s="3">
        <v>6672.3</v>
      </c>
      <c r="CK232" s="3">
        <v>6590.8</v>
      </c>
      <c r="CL232" s="3">
        <v>6570.4</v>
      </c>
      <c r="CM232" s="3">
        <v>7022.7</v>
      </c>
      <c r="CN232" s="3">
        <v>7705.5</v>
      </c>
      <c r="CO232" s="3">
        <v>8467.5</v>
      </c>
      <c r="CP232" s="3">
        <v>8467.5</v>
      </c>
      <c r="CQ232" s="3">
        <v>9685.7999999999993</v>
      </c>
      <c r="CR232" s="3">
        <v>11265.4</v>
      </c>
      <c r="CS232" s="3">
        <v>11758.6</v>
      </c>
      <c r="CT232" s="3">
        <v>12683.2</v>
      </c>
    </row>
    <row r="233" spans="1:98" ht="25.5">
      <c r="A233" s="4" t="s">
        <v>329</v>
      </c>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v>1500</v>
      </c>
      <c r="BU233" s="5">
        <v>1794.3</v>
      </c>
      <c r="BV233" s="5">
        <v>3165</v>
      </c>
      <c r="BW233" s="5">
        <v>2222.9</v>
      </c>
      <c r="BX233" s="5">
        <v>3090</v>
      </c>
      <c r="BY233" s="5">
        <v>2536.1</v>
      </c>
      <c r="BZ233" s="5">
        <v>2924.9</v>
      </c>
      <c r="CA233" s="5">
        <v>3337.2</v>
      </c>
      <c r="CB233" s="5">
        <v>3423.3</v>
      </c>
      <c r="CC233" s="5">
        <v>3433.3</v>
      </c>
      <c r="CD233" s="5">
        <v>3512.3</v>
      </c>
      <c r="CE233" s="5">
        <v>3783.7</v>
      </c>
      <c r="CF233" s="5">
        <v>3862.4</v>
      </c>
      <c r="CG233" s="5">
        <v>4596.5</v>
      </c>
      <c r="CH233" s="5">
        <v>4681.7</v>
      </c>
      <c r="CI233" s="5">
        <v>4681.7</v>
      </c>
      <c r="CJ233" s="5">
        <v>5266.9</v>
      </c>
      <c r="CK233" s="5">
        <v>5794.2</v>
      </c>
      <c r="CL233" s="5">
        <v>5769.6</v>
      </c>
      <c r="CM233" s="5">
        <v>6048.9</v>
      </c>
      <c r="CN233" s="5">
        <v>6378.8</v>
      </c>
      <c r="CO233" s="5">
        <v>6870.5</v>
      </c>
      <c r="CP233" s="5">
        <v>7376.9</v>
      </c>
      <c r="CQ233" s="5">
        <v>7686.5</v>
      </c>
      <c r="CR233" s="5">
        <v>9357.7000000000007</v>
      </c>
      <c r="CS233" s="5">
        <v>9581</v>
      </c>
      <c r="CT233" s="5">
        <v>9759.5</v>
      </c>
    </row>
    <row r="234" spans="1:98" ht="25.5">
      <c r="A234" s="2" t="s">
        <v>330</v>
      </c>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v>1500</v>
      </c>
      <c r="BU234" s="3">
        <v>1758.8</v>
      </c>
      <c r="BV234" s="3">
        <v>2641.8</v>
      </c>
      <c r="BW234" s="3">
        <v>2121.4</v>
      </c>
      <c r="BX234" s="3">
        <v>2641.8</v>
      </c>
      <c r="BY234" s="3">
        <v>2347</v>
      </c>
      <c r="BZ234" s="3">
        <v>2703.2</v>
      </c>
      <c r="CA234" s="3">
        <v>2773.3</v>
      </c>
      <c r="CB234" s="3">
        <v>2811.1</v>
      </c>
      <c r="CC234" s="3">
        <v>2918.7</v>
      </c>
      <c r="CD234" s="3">
        <v>2945.6</v>
      </c>
      <c r="CE234" s="3">
        <v>3190.5</v>
      </c>
      <c r="CF234" s="3">
        <v>3424.2</v>
      </c>
      <c r="CG234" s="3">
        <v>3347.8</v>
      </c>
      <c r="CH234" s="3">
        <v>3453.6</v>
      </c>
      <c r="CI234" s="3">
        <v>3514</v>
      </c>
      <c r="CJ234" s="3">
        <v>3578.6</v>
      </c>
      <c r="CK234" s="3">
        <v>3686.2</v>
      </c>
      <c r="CL234" s="3">
        <v>3713.1</v>
      </c>
      <c r="CM234" s="3">
        <v>4245.8</v>
      </c>
      <c r="CN234" s="3">
        <v>4469.2</v>
      </c>
      <c r="CO234" s="3">
        <v>5063.8</v>
      </c>
      <c r="CP234" s="3">
        <v>5075.5</v>
      </c>
      <c r="CQ234" s="3">
        <v>5349.6</v>
      </c>
      <c r="CR234" s="3">
        <v>6511.6</v>
      </c>
      <c r="CS234" s="3">
        <v>6672.5</v>
      </c>
      <c r="CT234" s="3">
        <v>6793.1</v>
      </c>
    </row>
    <row r="235" spans="1:98" ht="25.5">
      <c r="A235" s="4" t="s">
        <v>331</v>
      </c>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v>1500</v>
      </c>
      <c r="BU235" s="5">
        <v>1765.5</v>
      </c>
      <c r="BV235" s="5">
        <v>3036.5</v>
      </c>
      <c r="BW235" s="5">
        <v>2307.8000000000002</v>
      </c>
      <c r="BX235" s="5">
        <v>2910.2</v>
      </c>
      <c r="BY235" s="5">
        <v>2400.8000000000002</v>
      </c>
      <c r="BZ235" s="5">
        <v>2759.3</v>
      </c>
      <c r="CA235" s="5">
        <v>3256.6</v>
      </c>
      <c r="CB235" s="5">
        <v>3507.5</v>
      </c>
      <c r="CC235" s="5">
        <v>3360.2</v>
      </c>
      <c r="CD235" s="5">
        <v>3526.5</v>
      </c>
      <c r="CE235" s="5">
        <v>4174.3999999999996</v>
      </c>
      <c r="CF235" s="5">
        <v>4037.6</v>
      </c>
      <c r="CG235" s="5">
        <v>4562.8</v>
      </c>
      <c r="CH235" s="5">
        <v>5072</v>
      </c>
      <c r="CI235" s="5">
        <v>5837.2</v>
      </c>
      <c r="CJ235" s="5">
        <v>5957.1</v>
      </c>
      <c r="CK235" s="5">
        <v>6582.5</v>
      </c>
      <c r="CL235" s="5">
        <v>6397.7</v>
      </c>
      <c r="CM235" s="5">
        <v>6817.3</v>
      </c>
      <c r="CN235" s="5">
        <v>7043.9</v>
      </c>
      <c r="CO235" s="5">
        <v>7675</v>
      </c>
      <c r="CP235" s="5">
        <v>7916.3</v>
      </c>
      <c r="CQ235" s="5">
        <v>8459.7000000000007</v>
      </c>
      <c r="CR235" s="5">
        <v>9262.7000000000007</v>
      </c>
      <c r="CS235" s="5">
        <v>9678.2999999999993</v>
      </c>
      <c r="CT235" s="5">
        <v>10009.4</v>
      </c>
    </row>
    <row r="236" spans="1:98" ht="25.5">
      <c r="A236" s="2" t="s">
        <v>332</v>
      </c>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v>1500</v>
      </c>
      <c r="BU236" s="3">
        <v>1834.4</v>
      </c>
      <c r="BV236" s="3">
        <v>2302.4</v>
      </c>
      <c r="BW236" s="3">
        <v>2068.6</v>
      </c>
      <c r="BX236" s="3">
        <v>2415.3000000000002</v>
      </c>
      <c r="BY236" s="3">
        <v>2122.6999999999998</v>
      </c>
      <c r="BZ236" s="3">
        <v>2220.1</v>
      </c>
      <c r="CA236" s="3">
        <v>3189.7</v>
      </c>
      <c r="CB236" s="3">
        <v>3321.9</v>
      </c>
      <c r="CC236" s="3">
        <v>3330.5</v>
      </c>
      <c r="CD236" s="3">
        <v>3352</v>
      </c>
      <c r="CE236" s="3">
        <v>4223.3</v>
      </c>
      <c r="CF236" s="3">
        <v>4309.3999999999996</v>
      </c>
      <c r="CG236" s="3">
        <v>4782.8999999999996</v>
      </c>
      <c r="CH236" s="3">
        <v>4949.1000000000004</v>
      </c>
      <c r="CI236" s="3">
        <v>4949.1000000000004</v>
      </c>
      <c r="CJ236" s="3">
        <v>4961.5</v>
      </c>
      <c r="CK236" s="3">
        <v>6125.6</v>
      </c>
      <c r="CL236" s="3">
        <v>6324.7</v>
      </c>
      <c r="CM236" s="3">
        <v>6451.5</v>
      </c>
      <c r="CN236" s="3">
        <v>6607.6</v>
      </c>
      <c r="CO236" s="3">
        <v>8255.6</v>
      </c>
      <c r="CP236" s="3">
        <v>8563.7999999999993</v>
      </c>
      <c r="CQ236" s="3">
        <v>8583.2999999999993</v>
      </c>
      <c r="CR236" s="3">
        <v>8973.1</v>
      </c>
      <c r="CS236" s="3">
        <v>9052.4</v>
      </c>
      <c r="CT236" s="3">
        <v>9151.5</v>
      </c>
    </row>
    <row r="237" spans="1:98" ht="25.5">
      <c r="A237" s="4" t="s">
        <v>333</v>
      </c>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v>1500</v>
      </c>
      <c r="BU237" s="5">
        <v>1995</v>
      </c>
      <c r="BV237" s="5">
        <v>1995</v>
      </c>
      <c r="BW237" s="5">
        <v>1995</v>
      </c>
      <c r="BX237" s="5">
        <v>1995</v>
      </c>
      <c r="BY237" s="5">
        <v>1995</v>
      </c>
      <c r="BZ237" s="5">
        <v>1995</v>
      </c>
      <c r="CA237" s="5">
        <v>2852.9</v>
      </c>
      <c r="CB237" s="5">
        <v>2852.9</v>
      </c>
      <c r="CC237" s="5">
        <v>2852.9</v>
      </c>
      <c r="CD237" s="5">
        <v>2852.9</v>
      </c>
      <c r="CE237" s="5">
        <v>3857.1</v>
      </c>
      <c r="CF237" s="5">
        <v>3879.9</v>
      </c>
      <c r="CG237" s="5">
        <v>3908.5</v>
      </c>
      <c r="CH237" s="5">
        <v>3937</v>
      </c>
      <c r="CI237" s="5">
        <v>3937</v>
      </c>
      <c r="CJ237" s="5">
        <v>3937</v>
      </c>
      <c r="CK237" s="5">
        <v>4842.5</v>
      </c>
      <c r="CL237" s="5">
        <v>4881.8999999999996</v>
      </c>
      <c r="CM237" s="5">
        <v>4960.6000000000004</v>
      </c>
      <c r="CN237" s="5">
        <v>5039.3999999999996</v>
      </c>
      <c r="CO237" s="5">
        <v>6903.9</v>
      </c>
      <c r="CP237" s="5">
        <v>6954.3</v>
      </c>
      <c r="CQ237" s="5">
        <v>6999.7</v>
      </c>
      <c r="CR237" s="5">
        <v>7019.9</v>
      </c>
      <c r="CS237" s="5">
        <v>7030</v>
      </c>
      <c r="CT237" s="5">
        <v>7050.1</v>
      </c>
    </row>
    <row r="238" spans="1:98" ht="25.5">
      <c r="A238" s="2" t="s">
        <v>334</v>
      </c>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v>1500</v>
      </c>
      <c r="BU238" s="3">
        <v>1805.5</v>
      </c>
      <c r="BV238" s="3">
        <v>2401.1</v>
      </c>
      <c r="BW238" s="3">
        <v>2023.2</v>
      </c>
      <c r="BX238" s="3">
        <v>2528.6999999999998</v>
      </c>
      <c r="BY238" s="3">
        <v>2067.9</v>
      </c>
      <c r="BZ238" s="3">
        <v>2161.5</v>
      </c>
      <c r="CA238" s="3">
        <v>3297.8</v>
      </c>
      <c r="CB238" s="3">
        <v>3502.7</v>
      </c>
      <c r="CC238" s="3">
        <v>3528.2</v>
      </c>
      <c r="CD238" s="3">
        <v>3592.1</v>
      </c>
      <c r="CE238" s="3">
        <v>4568.2</v>
      </c>
      <c r="CF238" s="3">
        <v>4684.6000000000004</v>
      </c>
      <c r="CG238" s="3">
        <v>5122.3999999999996</v>
      </c>
      <c r="CH238" s="3">
        <v>5245.6</v>
      </c>
      <c r="CI238" s="3">
        <v>5245.6</v>
      </c>
      <c r="CJ238" s="3">
        <v>5257.1</v>
      </c>
      <c r="CK238" s="3">
        <v>6419.2</v>
      </c>
      <c r="CL238" s="3">
        <v>6678.6</v>
      </c>
      <c r="CM238" s="3">
        <v>6805.7</v>
      </c>
      <c r="CN238" s="3">
        <v>7003.1</v>
      </c>
      <c r="CO238" s="3">
        <v>8591.2999999999993</v>
      </c>
      <c r="CP238" s="3">
        <v>8975.5</v>
      </c>
      <c r="CQ238" s="3">
        <v>8949.9</v>
      </c>
      <c r="CR238" s="3">
        <v>9468.2000000000007</v>
      </c>
      <c r="CS238" s="3">
        <v>9573.2000000000007</v>
      </c>
      <c r="CT238" s="3">
        <v>9699.2999999999993</v>
      </c>
    </row>
    <row r="239" spans="1:98" ht="25.5">
      <c r="A239" s="4" t="s">
        <v>335</v>
      </c>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v>1500</v>
      </c>
      <c r="BU239" s="5">
        <v>1695.5</v>
      </c>
      <c r="BV239" s="5">
        <v>3105.6</v>
      </c>
      <c r="BW239" s="5">
        <v>2550.8000000000002</v>
      </c>
      <c r="BX239" s="5">
        <v>3294.3</v>
      </c>
      <c r="BY239" s="5">
        <v>2750.8</v>
      </c>
      <c r="BZ239" s="5">
        <v>2919.4</v>
      </c>
      <c r="CA239" s="5">
        <v>3687.2</v>
      </c>
      <c r="CB239" s="5">
        <v>4263.7</v>
      </c>
      <c r="CC239" s="5">
        <v>4135.1000000000004</v>
      </c>
      <c r="CD239" s="5">
        <v>4074.3</v>
      </c>
      <c r="CE239" s="5">
        <v>4739.3999999999996</v>
      </c>
      <c r="CF239" s="5">
        <v>4374.6000000000004</v>
      </c>
      <c r="CG239" s="5">
        <v>4427.5</v>
      </c>
      <c r="CH239" s="5">
        <v>6340.4</v>
      </c>
      <c r="CI239" s="5">
        <v>6410.1</v>
      </c>
      <c r="CJ239" s="5">
        <v>6724.8</v>
      </c>
      <c r="CK239" s="5">
        <v>6879.3</v>
      </c>
      <c r="CL239" s="5">
        <v>6585.4</v>
      </c>
      <c r="CM239" s="5">
        <v>6369.3</v>
      </c>
      <c r="CN239" s="5">
        <v>6671.4</v>
      </c>
      <c r="CO239" s="5">
        <v>7472.7</v>
      </c>
      <c r="CP239" s="5">
        <v>7834.9</v>
      </c>
      <c r="CQ239" s="5">
        <v>8119.1</v>
      </c>
      <c r="CR239" s="5">
        <v>8532.7000000000007</v>
      </c>
      <c r="CS239" s="5">
        <v>9006.4</v>
      </c>
      <c r="CT239" s="5">
        <v>9760.2999999999993</v>
      </c>
    </row>
    <row r="240" spans="1:98" ht="25.5">
      <c r="A240" s="2" t="s">
        <v>336</v>
      </c>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v>1500</v>
      </c>
      <c r="BU240" s="3">
        <v>1748</v>
      </c>
      <c r="BV240" s="3">
        <v>2347.8000000000002</v>
      </c>
      <c r="BW240" s="3">
        <v>1976.5</v>
      </c>
      <c r="BX240" s="3">
        <v>2438.6999999999998</v>
      </c>
      <c r="BY240" s="3">
        <v>2025</v>
      </c>
      <c r="BZ240" s="3">
        <v>2100</v>
      </c>
      <c r="CA240" s="3">
        <v>3168.3</v>
      </c>
      <c r="CB240" s="3">
        <v>3689.5</v>
      </c>
      <c r="CC240" s="3">
        <v>3613</v>
      </c>
      <c r="CD240" s="3">
        <v>3770.1</v>
      </c>
      <c r="CE240" s="3">
        <v>4648.3</v>
      </c>
      <c r="CF240" s="3">
        <v>5069</v>
      </c>
      <c r="CG240" s="3">
        <v>5221.7</v>
      </c>
      <c r="CH240" s="3">
        <v>5718.5</v>
      </c>
      <c r="CI240" s="3">
        <v>5718.5</v>
      </c>
      <c r="CJ240" s="3">
        <v>5880.8</v>
      </c>
      <c r="CK240" s="3">
        <v>6896.8</v>
      </c>
      <c r="CL240" s="3">
        <v>7323.9</v>
      </c>
      <c r="CM240" s="3">
        <v>7714.8</v>
      </c>
      <c r="CN240" s="3">
        <v>7865.7</v>
      </c>
      <c r="CO240" s="3">
        <v>9125.2000000000007</v>
      </c>
      <c r="CP240" s="3">
        <v>10586</v>
      </c>
      <c r="CQ240" s="3">
        <v>10429.9</v>
      </c>
      <c r="CR240" s="3">
        <v>11082.8</v>
      </c>
      <c r="CS240" s="3">
        <v>11208.6</v>
      </c>
      <c r="CT240" s="3">
        <v>11476.1</v>
      </c>
    </row>
    <row r="241" spans="1:98" ht="25.5">
      <c r="A241" s="4" t="s">
        <v>337</v>
      </c>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v>1500</v>
      </c>
      <c r="BU241" s="5">
        <v>1789.7</v>
      </c>
      <c r="BV241" s="5">
        <v>2417.1</v>
      </c>
      <c r="BW241" s="5">
        <v>2020.9</v>
      </c>
      <c r="BX241" s="5">
        <v>2548.1</v>
      </c>
      <c r="BY241" s="5">
        <v>2073.4</v>
      </c>
      <c r="BZ241" s="5">
        <v>2180.1999999999998</v>
      </c>
      <c r="CA241" s="5">
        <v>3306.6</v>
      </c>
      <c r="CB241" s="5">
        <v>3531.8</v>
      </c>
      <c r="CC241" s="5">
        <v>3566.3</v>
      </c>
      <c r="CD241" s="5">
        <v>3640.4</v>
      </c>
      <c r="CE241" s="5">
        <v>4668.3</v>
      </c>
      <c r="CF241" s="5">
        <v>4793.1000000000004</v>
      </c>
      <c r="CG241" s="5">
        <v>5030.8</v>
      </c>
      <c r="CH241" s="5">
        <v>5292.1</v>
      </c>
      <c r="CI241" s="5">
        <v>5292.3</v>
      </c>
      <c r="CJ241" s="5">
        <v>5306.6</v>
      </c>
      <c r="CK241" s="5">
        <v>6462.3</v>
      </c>
      <c r="CL241" s="5">
        <v>6738.2</v>
      </c>
      <c r="CM241" s="5">
        <v>6862.5</v>
      </c>
      <c r="CN241" s="5">
        <v>7083.1</v>
      </c>
      <c r="CO241" s="5">
        <v>8652.4</v>
      </c>
      <c r="CP241" s="5">
        <v>9071.2999999999993</v>
      </c>
      <c r="CQ241" s="5">
        <v>9059.2000000000007</v>
      </c>
      <c r="CR241" s="5">
        <v>9562.2000000000007</v>
      </c>
      <c r="CS241" s="5">
        <v>9668.4</v>
      </c>
      <c r="CT241" s="5">
        <v>9803</v>
      </c>
    </row>
    <row r="242" spans="1:98" ht="25.5">
      <c r="A242" s="2" t="s">
        <v>338</v>
      </c>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v>1500</v>
      </c>
      <c r="BU242" s="3">
        <v>1997.7</v>
      </c>
      <c r="BV242" s="3">
        <v>2015.3</v>
      </c>
      <c r="BW242" s="3">
        <v>2015.3</v>
      </c>
      <c r="BX242" s="3">
        <v>2015.3</v>
      </c>
      <c r="BY242" s="3">
        <v>2015.3</v>
      </c>
      <c r="BZ242" s="3">
        <v>2015.3</v>
      </c>
      <c r="CA242" s="3">
        <v>3002.8</v>
      </c>
      <c r="CB242" s="3">
        <v>3002.8</v>
      </c>
      <c r="CC242" s="3">
        <v>3002.8</v>
      </c>
      <c r="CD242" s="3">
        <v>3002.8</v>
      </c>
      <c r="CE242" s="3">
        <v>3779.9</v>
      </c>
      <c r="CF242" s="3">
        <v>3779.9</v>
      </c>
      <c r="CG242" s="3">
        <v>4113.8</v>
      </c>
      <c r="CH242" s="3">
        <v>4143.8999999999996</v>
      </c>
      <c r="CI242" s="3">
        <v>4143.8999999999996</v>
      </c>
      <c r="CJ242" s="3">
        <v>4143.8999999999996</v>
      </c>
      <c r="CK242" s="3">
        <v>5179.8999999999996</v>
      </c>
      <c r="CL242" s="3">
        <v>5200.6000000000004</v>
      </c>
      <c r="CM242" s="3">
        <v>5221.3</v>
      </c>
      <c r="CN242" s="3">
        <v>5262.8</v>
      </c>
      <c r="CO242" s="3">
        <v>7288.9</v>
      </c>
      <c r="CP242" s="3">
        <v>7315.2</v>
      </c>
      <c r="CQ242" s="3">
        <v>7315.2</v>
      </c>
      <c r="CR242" s="3">
        <v>7315.2</v>
      </c>
      <c r="CS242" s="3">
        <v>7315.2</v>
      </c>
      <c r="CT242" s="3">
        <v>7315.2</v>
      </c>
    </row>
    <row r="243" spans="1:98" ht="25.5">
      <c r="A243" s="4" t="s">
        <v>339</v>
      </c>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v>1500</v>
      </c>
      <c r="BU243" s="5">
        <v>1770.6</v>
      </c>
      <c r="BV243" s="5">
        <v>2446.4</v>
      </c>
      <c r="BW243" s="5">
        <v>2036.7</v>
      </c>
      <c r="BX243" s="5">
        <v>2580.5</v>
      </c>
      <c r="BY243" s="5">
        <v>2092.5</v>
      </c>
      <c r="BZ243" s="5">
        <v>2210.5</v>
      </c>
      <c r="CA243" s="5">
        <v>3347</v>
      </c>
      <c r="CB243" s="5">
        <v>3585.5</v>
      </c>
      <c r="CC243" s="5">
        <v>3620.3</v>
      </c>
      <c r="CD243" s="5">
        <v>3703.9</v>
      </c>
      <c r="CE243" s="5">
        <v>4707.7</v>
      </c>
      <c r="CF243" s="5">
        <v>4845.2</v>
      </c>
      <c r="CG243" s="5">
        <v>5108.3999999999996</v>
      </c>
      <c r="CH243" s="5">
        <v>5383.6</v>
      </c>
      <c r="CI243" s="5">
        <v>5383.6</v>
      </c>
      <c r="CJ243" s="5">
        <v>5394.7</v>
      </c>
      <c r="CK243" s="5">
        <v>6555.2</v>
      </c>
      <c r="CL243" s="5">
        <v>6842.9</v>
      </c>
      <c r="CM243" s="5">
        <v>6969.6</v>
      </c>
      <c r="CN243" s="5">
        <v>7168.4</v>
      </c>
      <c r="CO243" s="5">
        <v>8745.4</v>
      </c>
      <c r="CP243" s="5">
        <v>9165.2999999999993</v>
      </c>
      <c r="CQ243" s="5">
        <v>9169.7999999999993</v>
      </c>
      <c r="CR243" s="5">
        <v>9708.7999999999993</v>
      </c>
      <c r="CS243" s="5">
        <v>9816.6</v>
      </c>
      <c r="CT243" s="5">
        <v>9946</v>
      </c>
    </row>
    <row r="244" spans="1:98" ht="25.5">
      <c r="A244" s="2" t="s">
        <v>340</v>
      </c>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v>1500</v>
      </c>
      <c r="BU244" s="3">
        <v>1894.5</v>
      </c>
      <c r="BV244" s="3">
        <v>2700</v>
      </c>
      <c r="BW244" s="3">
        <v>2310</v>
      </c>
      <c r="BX244" s="3">
        <v>2814</v>
      </c>
      <c r="BY244" s="3">
        <v>2370</v>
      </c>
      <c r="BZ244" s="3">
        <v>2550</v>
      </c>
      <c r="CA244" s="3">
        <v>3904.7</v>
      </c>
      <c r="CB244" s="3">
        <v>4124.2</v>
      </c>
      <c r="CC244" s="3">
        <v>4241.1000000000004</v>
      </c>
      <c r="CD244" s="3">
        <v>4344.8</v>
      </c>
      <c r="CE244" s="3">
        <v>5491.8</v>
      </c>
      <c r="CF244" s="3">
        <v>6169.6</v>
      </c>
      <c r="CG244" s="3">
        <v>6252.3</v>
      </c>
      <c r="CH244" s="3">
        <v>6334.7</v>
      </c>
      <c r="CI244" s="3">
        <v>6395.5</v>
      </c>
      <c r="CJ244" s="3">
        <v>6538.9</v>
      </c>
      <c r="CK244" s="3">
        <v>7794.4</v>
      </c>
      <c r="CL244" s="3">
        <v>8310.9</v>
      </c>
      <c r="CM244" s="3">
        <v>8827.5</v>
      </c>
      <c r="CN244" s="3">
        <v>8958.2999999999993</v>
      </c>
      <c r="CO244" s="3">
        <v>11153.1</v>
      </c>
      <c r="CP244" s="3">
        <v>11592</v>
      </c>
      <c r="CQ244" s="3">
        <v>11717.5</v>
      </c>
      <c r="CR244" s="3">
        <v>11986.2</v>
      </c>
      <c r="CS244" s="3">
        <v>12344.5</v>
      </c>
      <c r="CT244" s="3">
        <v>12541.6</v>
      </c>
    </row>
    <row r="245" spans="1:98" ht="25.5">
      <c r="A245" s="4" t="s">
        <v>341</v>
      </c>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v>1500</v>
      </c>
      <c r="BU245" s="5">
        <v>1713</v>
      </c>
      <c r="BV245" s="5">
        <v>2947.7</v>
      </c>
      <c r="BW245" s="5">
        <v>2432.3000000000002</v>
      </c>
      <c r="BX245" s="5">
        <v>3052.8</v>
      </c>
      <c r="BY245" s="5">
        <v>2840.3</v>
      </c>
      <c r="BZ245" s="5">
        <v>2923.5</v>
      </c>
      <c r="CA245" s="5">
        <v>3205.4</v>
      </c>
      <c r="CB245" s="5">
        <v>3358</v>
      </c>
      <c r="CC245" s="5">
        <v>3571.8</v>
      </c>
      <c r="CD245" s="5">
        <v>3587.1</v>
      </c>
      <c r="CE245" s="5">
        <v>3880</v>
      </c>
      <c r="CF245" s="5">
        <v>3983.9</v>
      </c>
      <c r="CG245" s="5">
        <v>4274.2</v>
      </c>
      <c r="CH245" s="5">
        <v>5220.5</v>
      </c>
      <c r="CI245" s="5">
        <v>5765.4</v>
      </c>
      <c r="CJ245" s="5">
        <v>5986.7</v>
      </c>
      <c r="CK245" s="5">
        <v>6020</v>
      </c>
      <c r="CL245" s="5">
        <v>5960.1</v>
      </c>
      <c r="CM245" s="5">
        <v>6356.7</v>
      </c>
      <c r="CN245" s="5">
        <v>6881.2</v>
      </c>
      <c r="CO245" s="5">
        <v>7452.4</v>
      </c>
      <c r="CP245" s="5">
        <v>7723.5</v>
      </c>
      <c r="CQ245" s="5">
        <v>8071.6</v>
      </c>
      <c r="CR245" s="5">
        <v>9351.5</v>
      </c>
      <c r="CS245" s="5">
        <v>9510.6</v>
      </c>
      <c r="CT245" s="5">
        <v>9834.1</v>
      </c>
    </row>
    <row r="246" spans="1:98" ht="25.5">
      <c r="A246" s="2" t="s">
        <v>342</v>
      </c>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v>1500</v>
      </c>
      <c r="BU246" s="3">
        <v>1727.3</v>
      </c>
      <c r="BV246" s="3">
        <v>3255</v>
      </c>
      <c r="BW246" s="3">
        <v>2449.5</v>
      </c>
      <c r="BX246" s="3">
        <v>3375</v>
      </c>
      <c r="BY246" s="3">
        <v>2667.8</v>
      </c>
      <c r="BZ246" s="3">
        <v>2849.3</v>
      </c>
      <c r="CA246" s="3">
        <v>4050</v>
      </c>
      <c r="CB246" s="3">
        <v>4623.8</v>
      </c>
      <c r="CC246" s="3">
        <v>4825.3999999999996</v>
      </c>
      <c r="CD246" s="3">
        <v>5292.2</v>
      </c>
      <c r="CE246" s="3">
        <v>6191.5</v>
      </c>
      <c r="CF246" s="3">
        <v>6462.6</v>
      </c>
      <c r="CG246" s="3">
        <v>6776.1</v>
      </c>
      <c r="CH246" s="3">
        <v>8343.4</v>
      </c>
      <c r="CI246" s="3">
        <v>8498.5</v>
      </c>
      <c r="CJ246" s="3">
        <v>8926.4</v>
      </c>
      <c r="CK246" s="3">
        <v>9939.5</v>
      </c>
      <c r="CL246" s="3">
        <v>10367.9</v>
      </c>
      <c r="CM246" s="3">
        <v>10524.2</v>
      </c>
      <c r="CN246" s="3">
        <v>10957.5</v>
      </c>
      <c r="CO246" s="3">
        <v>11746.4</v>
      </c>
      <c r="CP246" s="3">
        <v>12033.1</v>
      </c>
      <c r="CQ246" s="3">
        <v>13269.5</v>
      </c>
      <c r="CR246" s="3">
        <v>14179</v>
      </c>
      <c r="CS246" s="3">
        <v>15450.1</v>
      </c>
      <c r="CT246" s="3">
        <v>15767.8</v>
      </c>
    </row>
    <row r="247" spans="1:98" ht="25.5">
      <c r="A247" s="4" t="s">
        <v>343</v>
      </c>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v>1500</v>
      </c>
      <c r="BU247" s="5">
        <v>1631.5</v>
      </c>
      <c r="BV247" s="5">
        <v>3036.5</v>
      </c>
      <c r="BW247" s="5">
        <v>2159.3000000000002</v>
      </c>
      <c r="BX247" s="5">
        <v>3094.1</v>
      </c>
      <c r="BY247" s="5">
        <v>2327.4</v>
      </c>
      <c r="BZ247" s="5">
        <v>2665.4</v>
      </c>
      <c r="CA247" s="5">
        <v>3324.6</v>
      </c>
      <c r="CB247" s="5">
        <v>3741.7</v>
      </c>
      <c r="CC247" s="5">
        <v>3966.1</v>
      </c>
      <c r="CD247" s="5">
        <v>4457.3</v>
      </c>
      <c r="CE247" s="5">
        <v>4463.7</v>
      </c>
      <c r="CF247" s="5">
        <v>4323</v>
      </c>
      <c r="CG247" s="5">
        <v>4841.3</v>
      </c>
      <c r="CH247" s="5">
        <v>5530.3</v>
      </c>
      <c r="CI247" s="5">
        <v>6218</v>
      </c>
      <c r="CJ247" s="5">
        <v>6616.5</v>
      </c>
      <c r="CK247" s="5">
        <v>6908.7</v>
      </c>
      <c r="CL247" s="5">
        <v>6710.2</v>
      </c>
      <c r="CM247" s="5">
        <v>7215.7</v>
      </c>
      <c r="CN247" s="5">
        <v>7507.9</v>
      </c>
      <c r="CO247" s="5">
        <v>8627</v>
      </c>
      <c r="CP247" s="5">
        <v>8871.1</v>
      </c>
      <c r="CQ247" s="5">
        <v>9730.2000000000007</v>
      </c>
      <c r="CR247" s="5">
        <v>10856.4</v>
      </c>
      <c r="CS247" s="5">
        <v>11652.3</v>
      </c>
      <c r="CT247" s="5">
        <v>12718.4</v>
      </c>
    </row>
    <row r="248" spans="1:98" ht="25.5">
      <c r="A248" s="2" t="s">
        <v>344</v>
      </c>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v>1500</v>
      </c>
      <c r="BU248" s="3">
        <v>1737.8</v>
      </c>
      <c r="BV248" s="3">
        <v>2561.9</v>
      </c>
      <c r="BW248" s="3">
        <v>2148.9</v>
      </c>
      <c r="BX248" s="3">
        <v>2553.1999999999998</v>
      </c>
      <c r="BY248" s="3">
        <v>2364.6</v>
      </c>
      <c r="BZ248" s="3">
        <v>2718.2</v>
      </c>
      <c r="CA248" s="3">
        <v>2745.5</v>
      </c>
      <c r="CB248" s="3">
        <v>2832.4</v>
      </c>
      <c r="CC248" s="3">
        <v>2946.6</v>
      </c>
      <c r="CD248" s="3">
        <v>2990.5</v>
      </c>
      <c r="CE248" s="3">
        <v>3001.1</v>
      </c>
      <c r="CF248" s="3">
        <v>3007</v>
      </c>
      <c r="CG248" s="3">
        <v>3330.3</v>
      </c>
      <c r="CH248" s="3">
        <v>3678.3</v>
      </c>
      <c r="CI248" s="3">
        <v>3787.7</v>
      </c>
      <c r="CJ248" s="3">
        <v>4038.4</v>
      </c>
      <c r="CK248" s="3">
        <v>4535.6000000000004</v>
      </c>
      <c r="CL248" s="3">
        <v>4531.6000000000004</v>
      </c>
      <c r="CM248" s="3">
        <v>4708.7</v>
      </c>
      <c r="CN248" s="3">
        <v>4893.7</v>
      </c>
      <c r="CO248" s="3">
        <v>5186.5</v>
      </c>
      <c r="CP248" s="3">
        <v>5415.7</v>
      </c>
      <c r="CQ248" s="3">
        <v>5735.4</v>
      </c>
      <c r="CR248" s="3">
        <v>6699.5</v>
      </c>
      <c r="CS248" s="3">
        <v>6885.4</v>
      </c>
      <c r="CT248" s="3">
        <v>7056.7</v>
      </c>
    </row>
    <row r="249" spans="1:98" ht="25.5">
      <c r="A249" s="4" t="s">
        <v>345</v>
      </c>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v>1500</v>
      </c>
      <c r="BU249" s="5">
        <v>1807.1</v>
      </c>
      <c r="BV249" s="5">
        <v>2258.6999999999998</v>
      </c>
      <c r="BW249" s="5">
        <v>1907.6</v>
      </c>
      <c r="BX249" s="5">
        <v>2327.6</v>
      </c>
      <c r="BY249" s="5">
        <v>1907.6</v>
      </c>
      <c r="BZ249" s="5">
        <v>1907.6</v>
      </c>
      <c r="CA249" s="5">
        <v>2575.6</v>
      </c>
      <c r="CB249" s="5">
        <v>3079.4</v>
      </c>
      <c r="CC249" s="5">
        <v>3126.1</v>
      </c>
      <c r="CD249" s="5">
        <v>3225.2</v>
      </c>
      <c r="CE249" s="5">
        <v>3667.1</v>
      </c>
      <c r="CF249" s="5">
        <v>3737.2</v>
      </c>
      <c r="CG249" s="5">
        <v>4694.8999999999996</v>
      </c>
      <c r="CH249" s="5">
        <v>5064.2</v>
      </c>
      <c r="CI249" s="5">
        <v>5147.3999999999996</v>
      </c>
      <c r="CJ249" s="5">
        <v>5243.3</v>
      </c>
      <c r="CK249" s="5">
        <v>5790.1</v>
      </c>
      <c r="CL249" s="5">
        <v>5790.1</v>
      </c>
      <c r="CM249" s="5">
        <v>5970.7</v>
      </c>
      <c r="CN249" s="5">
        <v>6403.5</v>
      </c>
      <c r="CO249" s="5">
        <v>7029.3</v>
      </c>
      <c r="CP249" s="5">
        <v>7670.7</v>
      </c>
      <c r="CQ249" s="5">
        <v>7876.3</v>
      </c>
      <c r="CR249" s="5">
        <v>9169.7999999999993</v>
      </c>
      <c r="CS249" s="5">
        <v>9342.7000000000007</v>
      </c>
      <c r="CT249" s="5">
        <v>9483.6</v>
      </c>
    </row>
    <row r="250" spans="1:98" ht="25.5">
      <c r="A250" s="2" t="s">
        <v>346</v>
      </c>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v>1500</v>
      </c>
      <c r="BU250" s="3">
        <v>1725</v>
      </c>
      <c r="BV250" s="3">
        <v>3030</v>
      </c>
      <c r="BW250" s="3">
        <v>2148.9</v>
      </c>
      <c r="BX250" s="3">
        <v>2985</v>
      </c>
      <c r="BY250" s="3">
        <v>2379.6</v>
      </c>
      <c r="BZ250" s="3">
        <v>2709.6</v>
      </c>
      <c r="CA250" s="3">
        <v>3090.9</v>
      </c>
      <c r="CB250" s="3">
        <v>3156.8</v>
      </c>
      <c r="CC250" s="3">
        <v>3156.9</v>
      </c>
      <c r="CD250" s="3">
        <v>3279.5</v>
      </c>
      <c r="CE250" s="3">
        <v>3739.4</v>
      </c>
      <c r="CF250" s="3">
        <v>4045.9</v>
      </c>
      <c r="CG250" s="3">
        <v>4129.6000000000004</v>
      </c>
      <c r="CH250" s="3">
        <v>4707.3999999999996</v>
      </c>
      <c r="CI250" s="3">
        <v>5341.7</v>
      </c>
      <c r="CJ250" s="3">
        <v>6025</v>
      </c>
      <c r="CK250" s="3">
        <v>5610.5</v>
      </c>
      <c r="CL250" s="3">
        <v>5610.5</v>
      </c>
      <c r="CM250" s="3">
        <v>6792.8</v>
      </c>
      <c r="CN250" s="3">
        <v>7067</v>
      </c>
      <c r="CO250" s="3">
        <v>7518.7</v>
      </c>
      <c r="CP250" s="3">
        <v>7882.6</v>
      </c>
      <c r="CQ250" s="3">
        <v>8522.7999999999993</v>
      </c>
      <c r="CR250" s="3">
        <v>9943.2999999999993</v>
      </c>
      <c r="CS250" s="3">
        <v>10310.799999999999</v>
      </c>
      <c r="CT250" s="3">
        <v>10466.200000000001</v>
      </c>
    </row>
    <row r="251" spans="1:98" ht="25.5">
      <c r="A251" s="4" t="s">
        <v>347</v>
      </c>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v>1500</v>
      </c>
      <c r="BU251" s="5">
        <v>1769</v>
      </c>
      <c r="BV251" s="5">
        <v>2745.6</v>
      </c>
      <c r="BW251" s="5">
        <v>2275.6</v>
      </c>
      <c r="BX251" s="5">
        <v>2819</v>
      </c>
      <c r="BY251" s="5">
        <v>2353.5</v>
      </c>
      <c r="BZ251" s="5">
        <v>2642.2</v>
      </c>
      <c r="CA251" s="5">
        <v>3370.6</v>
      </c>
      <c r="CB251" s="5">
        <v>3732.1</v>
      </c>
      <c r="CC251" s="5">
        <v>3856.4</v>
      </c>
      <c r="CD251" s="5">
        <v>3840.9</v>
      </c>
      <c r="CE251" s="5">
        <v>4771.1000000000004</v>
      </c>
      <c r="CF251" s="5">
        <v>4710.5</v>
      </c>
      <c r="CG251" s="5">
        <v>4979.5</v>
      </c>
      <c r="CH251" s="5">
        <v>5385.1</v>
      </c>
      <c r="CI251" s="5">
        <v>5554.1</v>
      </c>
      <c r="CJ251" s="5">
        <v>6082.3</v>
      </c>
      <c r="CK251" s="5">
        <v>6279.6</v>
      </c>
      <c r="CL251" s="5">
        <v>6904</v>
      </c>
      <c r="CM251" s="5">
        <v>7101.6</v>
      </c>
      <c r="CN251" s="5">
        <v>7286.6</v>
      </c>
      <c r="CO251" s="5">
        <v>8043.4</v>
      </c>
      <c r="CP251" s="5">
        <v>8884</v>
      </c>
      <c r="CQ251" s="5">
        <v>9006.2000000000007</v>
      </c>
      <c r="CR251" s="5">
        <v>9436.1</v>
      </c>
      <c r="CS251" s="5">
        <v>9880.6</v>
      </c>
      <c r="CT251" s="5">
        <v>10296</v>
      </c>
    </row>
    <row r="252" spans="1:98">
      <c r="A252" s="2" t="s">
        <v>348</v>
      </c>
      <c r="B252" s="3">
        <v>100</v>
      </c>
      <c r="C252" s="3">
        <v>109</v>
      </c>
      <c r="D252" s="3">
        <v>112.7</v>
      </c>
      <c r="E252" s="3">
        <v>115</v>
      </c>
      <c r="F252" s="3">
        <v>117.3</v>
      </c>
      <c r="G252" s="3">
        <v>135</v>
      </c>
      <c r="H252" s="3">
        <v>138.9</v>
      </c>
      <c r="I252" s="3">
        <v>141.69999999999999</v>
      </c>
      <c r="J252" s="3">
        <v>141.69999999999999</v>
      </c>
      <c r="K252" s="3">
        <v>150.1</v>
      </c>
      <c r="L252" s="3">
        <v>152.30000000000001</v>
      </c>
      <c r="M252" s="3">
        <v>155.5</v>
      </c>
      <c r="N252" s="3">
        <v>156.5</v>
      </c>
      <c r="O252" s="3">
        <v>169.3</v>
      </c>
      <c r="P252" s="3">
        <v>171</v>
      </c>
      <c r="Q252" s="3">
        <v>172</v>
      </c>
      <c r="R252" s="3">
        <v>172.3</v>
      </c>
      <c r="S252" s="3">
        <v>189.6</v>
      </c>
      <c r="T252" s="3">
        <v>192</v>
      </c>
      <c r="U252" s="3">
        <v>199.2</v>
      </c>
      <c r="V252" s="3">
        <v>204.4</v>
      </c>
      <c r="W252" s="3">
        <v>226.1</v>
      </c>
      <c r="X252" s="3">
        <v>228.7</v>
      </c>
      <c r="Y252" s="3">
        <v>232.3</v>
      </c>
      <c r="Z252" s="3">
        <v>233.1</v>
      </c>
      <c r="AA252" s="3">
        <v>249.8</v>
      </c>
      <c r="AB252" s="3">
        <v>253.2</v>
      </c>
      <c r="AC252" s="3">
        <v>257</v>
      </c>
      <c r="AD252" s="3">
        <v>260</v>
      </c>
      <c r="AE252" s="3">
        <v>277.5</v>
      </c>
      <c r="AF252" s="3">
        <v>279.3</v>
      </c>
      <c r="AG252" s="3">
        <v>284.10000000000002</v>
      </c>
      <c r="AH252" s="3">
        <v>315.39999999999998</v>
      </c>
      <c r="AI252" s="3">
        <v>332.9</v>
      </c>
      <c r="AJ252" s="3">
        <v>342.4</v>
      </c>
      <c r="AK252" s="3">
        <v>353.2</v>
      </c>
      <c r="AL252" s="3">
        <v>362.5</v>
      </c>
      <c r="AM252" s="3">
        <v>400.1</v>
      </c>
      <c r="AN252" s="3">
        <v>419.5</v>
      </c>
      <c r="AO252" s="3">
        <v>451.3</v>
      </c>
      <c r="AP252" s="3">
        <v>465.2</v>
      </c>
      <c r="AQ252" s="3">
        <v>520.1</v>
      </c>
      <c r="AR252" s="3">
        <v>531.20000000000005</v>
      </c>
      <c r="AS252" s="3">
        <v>541.9</v>
      </c>
      <c r="AT252" s="3">
        <v>552.9</v>
      </c>
      <c r="AU252" s="3">
        <v>633.9</v>
      </c>
      <c r="AV252" s="3">
        <v>645.6</v>
      </c>
      <c r="AW252" s="3">
        <v>654.1</v>
      </c>
      <c r="AX252" s="3">
        <v>663</v>
      </c>
      <c r="AY252" s="3">
        <v>725.1</v>
      </c>
      <c r="AZ252" s="3">
        <v>730.6</v>
      </c>
      <c r="BA252" s="3">
        <v>734.8</v>
      </c>
      <c r="BB252" s="3">
        <v>739</v>
      </c>
      <c r="BC252" s="3">
        <v>792.8</v>
      </c>
      <c r="BD252" s="3">
        <v>800.2</v>
      </c>
      <c r="BE252" s="3">
        <v>807.5</v>
      </c>
      <c r="BF252" s="3">
        <v>814.9</v>
      </c>
      <c r="BG252" s="3">
        <v>882.5</v>
      </c>
      <c r="BH252" s="3">
        <v>885.4</v>
      </c>
      <c r="BI252" s="3">
        <v>901.6</v>
      </c>
      <c r="BJ252" s="3">
        <v>909.8</v>
      </c>
      <c r="BK252" s="3">
        <v>1036.5</v>
      </c>
      <c r="BL252" s="3">
        <v>1164</v>
      </c>
      <c r="BM252" s="3">
        <v>1103.0999999999999</v>
      </c>
      <c r="BN252" s="3">
        <v>1205.5</v>
      </c>
      <c r="BO252" s="3">
        <v>1125.4000000000001</v>
      </c>
      <c r="BP252" s="3">
        <v>1146.4000000000001</v>
      </c>
      <c r="BQ252" s="3">
        <v>1449.1</v>
      </c>
      <c r="BR252" s="3">
        <v>1522.7</v>
      </c>
      <c r="BS252" s="3">
        <v>1567.5</v>
      </c>
      <c r="BT252" s="3">
        <v>1622.4</v>
      </c>
      <c r="BU252" s="3">
        <v>1971.2</v>
      </c>
      <c r="BV252" s="3">
        <v>2552</v>
      </c>
      <c r="BW252" s="3">
        <v>2198.1</v>
      </c>
      <c r="BX252" s="3">
        <v>2684.2</v>
      </c>
      <c r="BY252" s="3">
        <v>2237.6999999999998</v>
      </c>
      <c r="BZ252" s="3">
        <v>2321</v>
      </c>
      <c r="CA252" s="3">
        <v>3507.3</v>
      </c>
      <c r="CB252" s="3">
        <v>3712.1</v>
      </c>
      <c r="CC252" s="3">
        <v>3729.6</v>
      </c>
      <c r="CD252" s="3">
        <v>3788.6</v>
      </c>
      <c r="CE252" s="3">
        <v>4819.8999999999996</v>
      </c>
      <c r="CF252" s="3">
        <v>4931.1000000000004</v>
      </c>
      <c r="CG252" s="3">
        <v>5270.8</v>
      </c>
      <c r="CH252" s="3">
        <v>5541.3</v>
      </c>
      <c r="CI252" s="3">
        <v>5541.5</v>
      </c>
      <c r="CJ252" s="3">
        <v>5541.7</v>
      </c>
      <c r="CK252" s="3">
        <v>6776.2</v>
      </c>
      <c r="CL252" s="3">
        <v>7045.3</v>
      </c>
      <c r="CM252" s="3">
        <v>7184.7</v>
      </c>
      <c r="CN252" s="3">
        <v>7385.9</v>
      </c>
      <c r="CO252" s="3">
        <v>9083.2999999999993</v>
      </c>
      <c r="CP252" s="3">
        <v>9474.7999999999993</v>
      </c>
      <c r="CQ252" s="3">
        <v>9493.2000000000007</v>
      </c>
      <c r="CR252" s="3">
        <v>9995.4</v>
      </c>
      <c r="CS252" s="3">
        <v>10099.700000000001</v>
      </c>
      <c r="CT252" s="3">
        <v>10222.4</v>
      </c>
    </row>
    <row r="253" spans="1:98">
      <c r="A253" s="4" t="s">
        <v>349</v>
      </c>
      <c r="B253" s="5">
        <v>100</v>
      </c>
      <c r="C253" s="5">
        <v>101.8</v>
      </c>
      <c r="D253" s="5">
        <v>100.4</v>
      </c>
      <c r="E253" s="5">
        <v>104.1</v>
      </c>
      <c r="F253" s="5">
        <v>122.6</v>
      </c>
      <c r="G253" s="5">
        <v>144.69999999999999</v>
      </c>
      <c r="H253" s="5">
        <v>156.69999999999999</v>
      </c>
      <c r="I253" s="5">
        <v>171.6</v>
      </c>
      <c r="J253" s="5">
        <v>158.1</v>
      </c>
      <c r="K253" s="5">
        <v>152.69999999999999</v>
      </c>
      <c r="L253" s="5">
        <v>145.30000000000001</v>
      </c>
      <c r="M253" s="5">
        <v>147.5</v>
      </c>
      <c r="N253" s="5">
        <v>141.1</v>
      </c>
      <c r="O253" s="5">
        <v>158.80000000000001</v>
      </c>
      <c r="P253" s="5">
        <v>167.1</v>
      </c>
      <c r="Q253" s="5">
        <v>172.5</v>
      </c>
      <c r="R253" s="5">
        <v>179.1</v>
      </c>
      <c r="S253" s="5">
        <v>205.6</v>
      </c>
      <c r="T253" s="5">
        <v>206.2</v>
      </c>
      <c r="U253" s="5">
        <v>216.5</v>
      </c>
      <c r="V253" s="5">
        <v>226.4</v>
      </c>
      <c r="W253" s="5">
        <v>268.60000000000002</v>
      </c>
      <c r="X253" s="5">
        <v>284.10000000000002</v>
      </c>
      <c r="Y253" s="5">
        <v>218.2</v>
      </c>
      <c r="Z253" s="5">
        <v>200.1</v>
      </c>
      <c r="AA253" s="5">
        <v>190.7</v>
      </c>
      <c r="AB253" s="5">
        <v>200.2</v>
      </c>
      <c r="AC253" s="5">
        <v>200.4</v>
      </c>
      <c r="AD253" s="5">
        <v>204.9</v>
      </c>
      <c r="AE253" s="5">
        <v>221.2</v>
      </c>
      <c r="AF253" s="5">
        <v>221.8</v>
      </c>
      <c r="AG253" s="5">
        <v>235.8</v>
      </c>
      <c r="AH253" s="5">
        <v>250.8</v>
      </c>
      <c r="AI253" s="5">
        <v>274.89999999999998</v>
      </c>
      <c r="AJ253" s="5">
        <v>293.7</v>
      </c>
      <c r="AK253" s="5">
        <v>304.2</v>
      </c>
      <c r="AL253" s="5">
        <v>325.89999999999998</v>
      </c>
      <c r="AM253" s="5">
        <v>341.5</v>
      </c>
      <c r="AN253" s="5">
        <v>388.3</v>
      </c>
      <c r="AO253" s="5">
        <v>524.6</v>
      </c>
      <c r="AP253" s="5">
        <v>565.1</v>
      </c>
      <c r="AQ253" s="5">
        <v>589.4</v>
      </c>
      <c r="AR253" s="5">
        <v>562.29999999999995</v>
      </c>
      <c r="AS253" s="5">
        <v>546.70000000000005</v>
      </c>
      <c r="AT253" s="5">
        <v>540.79999999999995</v>
      </c>
      <c r="AU253" s="5">
        <v>581.70000000000005</v>
      </c>
      <c r="AV253" s="5">
        <v>571.5</v>
      </c>
      <c r="AW253" s="5">
        <v>573.79999999999995</v>
      </c>
      <c r="AX253" s="5">
        <v>571.79999999999995</v>
      </c>
      <c r="AY253" s="5">
        <v>574.70000000000005</v>
      </c>
      <c r="AZ253" s="5">
        <v>559.29999999999995</v>
      </c>
      <c r="BA253" s="5">
        <v>538.9</v>
      </c>
      <c r="BB253" s="5">
        <v>524</v>
      </c>
      <c r="BC253" s="5">
        <v>568.79999999999995</v>
      </c>
      <c r="BD253" s="5">
        <v>565.5</v>
      </c>
      <c r="BE253" s="5">
        <v>596.1</v>
      </c>
      <c r="BF253" s="5">
        <v>627.5</v>
      </c>
      <c r="BG253" s="5">
        <v>642.6</v>
      </c>
      <c r="BH253" s="5">
        <v>686.3</v>
      </c>
      <c r="BI253" s="5">
        <v>728.8</v>
      </c>
      <c r="BJ253" s="5">
        <v>775.2</v>
      </c>
      <c r="BK253" s="5">
        <v>873.6</v>
      </c>
      <c r="BL253" s="5">
        <v>1207</v>
      </c>
      <c r="BM253" s="5">
        <v>989.1</v>
      </c>
      <c r="BN253" s="5">
        <v>1287.2</v>
      </c>
      <c r="BO253" s="5">
        <v>1144.2</v>
      </c>
      <c r="BP253" s="5">
        <v>1181.2</v>
      </c>
      <c r="BQ253" s="5">
        <v>1580.9</v>
      </c>
      <c r="BR253" s="5">
        <v>1470.5</v>
      </c>
      <c r="BS253" s="5">
        <v>1618.3</v>
      </c>
      <c r="BT253" s="5">
        <v>2006.9</v>
      </c>
      <c r="BU253" s="5">
        <v>2297.1999999999998</v>
      </c>
      <c r="BV253" s="5">
        <v>3853.2</v>
      </c>
      <c r="BW253" s="5">
        <v>3031.7</v>
      </c>
      <c r="BX253" s="5">
        <v>4214.5</v>
      </c>
      <c r="BY253" s="5">
        <v>3251.3</v>
      </c>
      <c r="BZ253" s="5">
        <v>3323.8</v>
      </c>
      <c r="CA253" s="5">
        <v>5173</v>
      </c>
      <c r="CB253" s="5">
        <v>5764.1</v>
      </c>
      <c r="CC253" s="5">
        <v>5884.5</v>
      </c>
      <c r="CD253" s="5">
        <v>5829.5</v>
      </c>
      <c r="CE253" s="5">
        <v>6665</v>
      </c>
      <c r="CF253" s="5">
        <v>6328</v>
      </c>
      <c r="CG253" s="5">
        <v>6487</v>
      </c>
      <c r="CH253" s="5">
        <v>7559</v>
      </c>
      <c r="CI253" s="5">
        <v>7989.3</v>
      </c>
      <c r="CJ253" s="5">
        <v>8919.1</v>
      </c>
      <c r="CK253" s="5">
        <v>8795.2000000000007</v>
      </c>
      <c r="CL253" s="5">
        <v>8459.1</v>
      </c>
      <c r="CM253" s="5">
        <v>8616.1</v>
      </c>
      <c r="CN253" s="5">
        <v>9520</v>
      </c>
      <c r="CO253" s="5">
        <v>10107.700000000001</v>
      </c>
      <c r="CP253" s="5">
        <v>9809.2999999999993</v>
      </c>
      <c r="CQ253" s="5">
        <v>10223</v>
      </c>
      <c r="CR253" s="5">
        <v>10965.8</v>
      </c>
      <c r="CS253" s="5">
        <v>11638.9</v>
      </c>
      <c r="CT253" s="5">
        <v>12407.2</v>
      </c>
    </row>
    <row r="254" spans="1:98">
      <c r="A254" s="2" t="s">
        <v>350</v>
      </c>
      <c r="B254" s="3">
        <v>100</v>
      </c>
      <c r="C254" s="3">
        <v>107.7</v>
      </c>
      <c r="D254" s="3">
        <v>106.9</v>
      </c>
      <c r="E254" s="3">
        <v>108.6</v>
      </c>
      <c r="F254" s="3">
        <v>113.6</v>
      </c>
      <c r="G254" s="3">
        <v>139.5</v>
      </c>
      <c r="H254" s="3">
        <v>141.69999999999999</v>
      </c>
      <c r="I254" s="3">
        <v>146.1</v>
      </c>
      <c r="J254" s="3">
        <v>145.6</v>
      </c>
      <c r="K254" s="3">
        <v>146.1</v>
      </c>
      <c r="L254" s="3">
        <v>147.19999999999999</v>
      </c>
      <c r="M254" s="3">
        <v>148</v>
      </c>
      <c r="N254" s="3">
        <v>150.69999999999999</v>
      </c>
      <c r="O254" s="3">
        <v>176.3</v>
      </c>
      <c r="P254" s="3">
        <v>182.8</v>
      </c>
      <c r="Q254" s="3">
        <v>216.1</v>
      </c>
      <c r="R254" s="3">
        <v>224</v>
      </c>
      <c r="S254" s="3">
        <v>252.5</v>
      </c>
      <c r="T254" s="3">
        <v>251.8</v>
      </c>
      <c r="U254" s="3">
        <v>267.89999999999998</v>
      </c>
      <c r="V254" s="3">
        <v>276.89999999999998</v>
      </c>
      <c r="W254" s="3">
        <v>323</v>
      </c>
      <c r="X254" s="3">
        <v>318.7</v>
      </c>
      <c r="Y254" s="3">
        <v>286.60000000000002</v>
      </c>
      <c r="Z254" s="3">
        <v>260</v>
      </c>
      <c r="AA254" s="3">
        <v>251</v>
      </c>
      <c r="AB254" s="3">
        <v>249.1</v>
      </c>
      <c r="AC254" s="3">
        <v>249.4</v>
      </c>
      <c r="AD254" s="3">
        <v>252.1</v>
      </c>
      <c r="AE254" s="3">
        <v>258.89999999999998</v>
      </c>
      <c r="AF254" s="3">
        <v>262.39999999999998</v>
      </c>
      <c r="AG254" s="3">
        <v>267.5</v>
      </c>
      <c r="AH254" s="3">
        <v>270.39999999999998</v>
      </c>
      <c r="AI254" s="3">
        <v>285.89999999999998</v>
      </c>
      <c r="AJ254" s="3">
        <v>291.60000000000002</v>
      </c>
      <c r="AK254" s="3">
        <v>336.7</v>
      </c>
      <c r="AL254" s="3">
        <v>341.8</v>
      </c>
      <c r="AM254" s="3">
        <v>379.6</v>
      </c>
      <c r="AN254" s="3">
        <v>403.5</v>
      </c>
      <c r="AO254" s="3">
        <v>484.1</v>
      </c>
      <c r="AP254" s="3">
        <v>525.79999999999995</v>
      </c>
      <c r="AQ254" s="3">
        <v>548.79999999999995</v>
      </c>
      <c r="AR254" s="3">
        <v>546</v>
      </c>
      <c r="AS254" s="3">
        <v>495.9</v>
      </c>
      <c r="AT254" s="3">
        <v>493</v>
      </c>
      <c r="AU254" s="3">
        <v>528.79999999999995</v>
      </c>
      <c r="AV254" s="3">
        <v>527.4</v>
      </c>
      <c r="AW254" s="3">
        <v>535.29999999999995</v>
      </c>
      <c r="AX254" s="3">
        <v>530.4</v>
      </c>
      <c r="AY254" s="3">
        <v>531</v>
      </c>
      <c r="AZ254" s="3">
        <v>531</v>
      </c>
      <c r="BA254" s="3">
        <v>526.4</v>
      </c>
      <c r="BB254" s="3">
        <v>519.9</v>
      </c>
      <c r="BC254" s="3">
        <v>574</v>
      </c>
      <c r="BD254" s="3">
        <v>576.9</v>
      </c>
      <c r="BE254" s="3">
        <v>617.29999999999995</v>
      </c>
      <c r="BF254" s="3">
        <v>647.9</v>
      </c>
      <c r="BG254" s="3">
        <v>674.2</v>
      </c>
      <c r="BH254" s="3">
        <v>729.9</v>
      </c>
      <c r="BI254" s="3">
        <v>768.2</v>
      </c>
      <c r="BJ254" s="3">
        <v>781.7</v>
      </c>
      <c r="BK254" s="3">
        <v>874.2</v>
      </c>
      <c r="BL254" s="3">
        <v>1405.5</v>
      </c>
      <c r="BM254" s="3">
        <v>951.6</v>
      </c>
      <c r="BN254" s="3">
        <v>1402.6</v>
      </c>
      <c r="BO254" s="3">
        <v>1201.0999999999999</v>
      </c>
      <c r="BP254" s="3">
        <v>1238</v>
      </c>
      <c r="BQ254" s="3">
        <v>1637.5</v>
      </c>
      <c r="BR254" s="3">
        <v>1502.9</v>
      </c>
      <c r="BS254" s="3">
        <v>1469.2</v>
      </c>
      <c r="BT254" s="3">
        <v>1890.9</v>
      </c>
      <c r="BU254" s="3">
        <v>2318.6</v>
      </c>
      <c r="BV254" s="3">
        <v>3817.6</v>
      </c>
      <c r="BW254" s="3">
        <v>3204.9</v>
      </c>
      <c r="BX254" s="3">
        <v>3976.1</v>
      </c>
      <c r="BY254" s="3">
        <v>3324.8</v>
      </c>
      <c r="BZ254" s="3">
        <v>3422</v>
      </c>
      <c r="CA254" s="3">
        <v>4519.6000000000004</v>
      </c>
      <c r="CB254" s="3">
        <v>5001.2</v>
      </c>
      <c r="CC254" s="3">
        <v>4971.3999999999996</v>
      </c>
      <c r="CD254" s="3">
        <v>4841.1000000000004</v>
      </c>
      <c r="CE254" s="3">
        <v>5321.1</v>
      </c>
      <c r="CF254" s="3">
        <v>5430.7</v>
      </c>
      <c r="CG254" s="3">
        <v>5545.1</v>
      </c>
      <c r="CH254" s="3">
        <v>6360.2</v>
      </c>
      <c r="CI254" s="3">
        <v>7508</v>
      </c>
      <c r="CJ254" s="3">
        <v>8560.6</v>
      </c>
      <c r="CK254" s="3">
        <v>8790.9</v>
      </c>
      <c r="CL254" s="3">
        <v>8688.7999999999993</v>
      </c>
      <c r="CM254" s="3">
        <v>8319.6</v>
      </c>
      <c r="CN254" s="3">
        <v>9245.1</v>
      </c>
      <c r="CO254" s="3">
        <v>9813.1</v>
      </c>
      <c r="CP254" s="3">
        <v>9716.9</v>
      </c>
      <c r="CQ254" s="3">
        <v>11077.9</v>
      </c>
      <c r="CR254" s="3">
        <v>11981.5</v>
      </c>
      <c r="CS254" s="3">
        <v>12151.4</v>
      </c>
      <c r="CT254" s="3">
        <v>12394</v>
      </c>
    </row>
    <row r="255" spans="1:98">
      <c r="A255" s="4" t="s">
        <v>351</v>
      </c>
      <c r="B255" s="5">
        <v>100</v>
      </c>
      <c r="C255" s="5">
        <v>112</v>
      </c>
      <c r="D255" s="5">
        <v>113.9</v>
      </c>
      <c r="E255" s="5">
        <v>124</v>
      </c>
      <c r="F255" s="5">
        <v>138.6</v>
      </c>
      <c r="G255" s="5">
        <v>149.19999999999999</v>
      </c>
      <c r="H255" s="5">
        <v>151.30000000000001</v>
      </c>
      <c r="I255" s="5">
        <v>153.4</v>
      </c>
      <c r="J255" s="5">
        <v>153.4</v>
      </c>
      <c r="K255" s="5">
        <v>163.5</v>
      </c>
      <c r="L255" s="5">
        <v>170.6</v>
      </c>
      <c r="M255" s="5">
        <v>172.9</v>
      </c>
      <c r="N255" s="5">
        <v>173.5</v>
      </c>
      <c r="O255" s="5">
        <v>178.4</v>
      </c>
      <c r="P255" s="5">
        <v>178.7</v>
      </c>
      <c r="Q255" s="5">
        <v>180.4</v>
      </c>
      <c r="R255" s="5">
        <v>180.5</v>
      </c>
      <c r="S255" s="5">
        <v>190.2</v>
      </c>
      <c r="T255" s="5">
        <v>191.4</v>
      </c>
      <c r="U255" s="5">
        <v>195.5</v>
      </c>
      <c r="V255" s="5">
        <v>199.6</v>
      </c>
      <c r="W255" s="5">
        <v>208.8</v>
      </c>
      <c r="X255" s="5">
        <v>233.9</v>
      </c>
      <c r="Y255" s="5">
        <v>239.6</v>
      </c>
      <c r="Z255" s="5">
        <v>239.6</v>
      </c>
      <c r="AA255" s="5">
        <v>244.9</v>
      </c>
      <c r="AB255" s="5">
        <v>247</v>
      </c>
      <c r="AC255" s="5">
        <v>247.9</v>
      </c>
      <c r="AD255" s="5">
        <v>248.7</v>
      </c>
      <c r="AE255" s="5">
        <v>257.39999999999998</v>
      </c>
      <c r="AF255" s="5">
        <v>258.10000000000002</v>
      </c>
      <c r="AG255" s="5">
        <v>259.3</v>
      </c>
      <c r="AH255" s="5">
        <v>286.39999999999998</v>
      </c>
      <c r="AI255" s="5">
        <v>291.10000000000002</v>
      </c>
      <c r="AJ255" s="5">
        <v>315.8</v>
      </c>
      <c r="AK255" s="5">
        <v>324.89999999999998</v>
      </c>
      <c r="AL255" s="5">
        <v>333.1</v>
      </c>
      <c r="AM255" s="5">
        <v>350.5</v>
      </c>
      <c r="AN255" s="5">
        <v>363.8</v>
      </c>
      <c r="AO255" s="5">
        <v>414.1</v>
      </c>
      <c r="AP255" s="5">
        <v>422.9</v>
      </c>
      <c r="AQ255" s="5">
        <v>459.3</v>
      </c>
      <c r="AR255" s="5">
        <v>483.9</v>
      </c>
      <c r="AS255" s="5">
        <v>503.2</v>
      </c>
      <c r="AT255" s="5">
        <v>508.3</v>
      </c>
      <c r="AU255" s="5">
        <v>544.1</v>
      </c>
      <c r="AV255" s="5">
        <v>587.5</v>
      </c>
      <c r="AW255" s="5">
        <v>570.9</v>
      </c>
      <c r="AX255" s="5">
        <v>574.20000000000005</v>
      </c>
      <c r="AY255" s="5">
        <v>598.29999999999995</v>
      </c>
      <c r="AZ255" s="5">
        <v>600.29999999999995</v>
      </c>
      <c r="BA255" s="5">
        <v>591.4</v>
      </c>
      <c r="BB255" s="5">
        <v>592.29999999999995</v>
      </c>
      <c r="BC255" s="5">
        <v>613</v>
      </c>
      <c r="BD255" s="5">
        <v>622.70000000000005</v>
      </c>
      <c r="BE255" s="5">
        <v>653.4</v>
      </c>
      <c r="BF255" s="5">
        <v>663.7</v>
      </c>
      <c r="BG255" s="5">
        <v>709.5</v>
      </c>
      <c r="BH255" s="5">
        <v>711.1</v>
      </c>
      <c r="BI255" s="5">
        <v>720.5</v>
      </c>
      <c r="BJ255" s="5">
        <v>724.4</v>
      </c>
      <c r="BK255" s="5">
        <v>815.7</v>
      </c>
      <c r="BL255" s="5">
        <v>958.9</v>
      </c>
      <c r="BM255" s="5">
        <v>870</v>
      </c>
      <c r="BN255" s="5">
        <v>977.5</v>
      </c>
      <c r="BO255" s="5">
        <v>930.7</v>
      </c>
      <c r="BP255" s="5">
        <v>952.3</v>
      </c>
      <c r="BQ255" s="5">
        <v>1071.2</v>
      </c>
      <c r="BR255" s="5">
        <v>1227.7</v>
      </c>
      <c r="BS255" s="5">
        <v>1292.8</v>
      </c>
      <c r="BT255" s="5">
        <v>1334.2</v>
      </c>
      <c r="BU255" s="5">
        <v>1518.8</v>
      </c>
      <c r="BV255" s="5">
        <v>2140.6999999999998</v>
      </c>
      <c r="BW255" s="5">
        <v>1735.3</v>
      </c>
      <c r="BX255" s="5">
        <v>2222.4</v>
      </c>
      <c r="BY255" s="5">
        <v>1759.9</v>
      </c>
      <c r="BZ255" s="5">
        <v>1848</v>
      </c>
      <c r="CA255" s="5">
        <v>2871.1</v>
      </c>
      <c r="CB255" s="5">
        <v>3403.8</v>
      </c>
      <c r="CC255" s="5">
        <v>3304.5</v>
      </c>
      <c r="CD255" s="5">
        <v>3430.1</v>
      </c>
      <c r="CE255" s="5">
        <v>4150.1000000000004</v>
      </c>
      <c r="CF255" s="5">
        <v>4382.2</v>
      </c>
      <c r="CG255" s="5">
        <v>4627.8999999999996</v>
      </c>
      <c r="CH255" s="5">
        <v>4866.8999999999996</v>
      </c>
      <c r="CI255" s="5">
        <v>4882.6000000000004</v>
      </c>
      <c r="CJ255" s="5">
        <v>5255.2</v>
      </c>
      <c r="CK255" s="5">
        <v>6008.8</v>
      </c>
      <c r="CL255" s="5">
        <v>6472.8</v>
      </c>
      <c r="CM255" s="5">
        <v>6714.3</v>
      </c>
      <c r="CN255" s="5">
        <v>6766</v>
      </c>
      <c r="CO255" s="5">
        <v>7833.9</v>
      </c>
      <c r="CP255" s="5">
        <v>8810.2999999999993</v>
      </c>
      <c r="CQ255" s="5">
        <v>9018.1</v>
      </c>
      <c r="CR255" s="5">
        <v>9442.2999999999993</v>
      </c>
      <c r="CS255" s="5">
        <v>9824</v>
      </c>
      <c r="CT255" s="5">
        <v>10330.9</v>
      </c>
    </row>
    <row r="256" spans="1:98">
      <c r="A256" s="2" t="s">
        <v>352</v>
      </c>
      <c r="B256" s="3">
        <v>100</v>
      </c>
      <c r="C256" s="3">
        <v>109.7</v>
      </c>
      <c r="D256" s="3">
        <v>112.6</v>
      </c>
      <c r="E256" s="3">
        <v>118.5</v>
      </c>
      <c r="F256" s="3">
        <v>126.7</v>
      </c>
      <c r="G256" s="3">
        <v>141.6</v>
      </c>
      <c r="H256" s="3">
        <v>144.80000000000001</v>
      </c>
      <c r="I256" s="3">
        <v>147.1</v>
      </c>
      <c r="J256" s="3">
        <v>147.1</v>
      </c>
      <c r="K256" s="3">
        <v>155.9</v>
      </c>
      <c r="L256" s="3">
        <v>160.4</v>
      </c>
      <c r="M256" s="3">
        <v>163.1</v>
      </c>
      <c r="N256" s="3">
        <v>164</v>
      </c>
      <c r="O256" s="3">
        <v>172.5</v>
      </c>
      <c r="P256" s="3">
        <v>173.4</v>
      </c>
      <c r="Q256" s="3">
        <v>175.2</v>
      </c>
      <c r="R256" s="3">
        <v>175.4</v>
      </c>
      <c r="S256" s="3">
        <v>189.1</v>
      </c>
      <c r="T256" s="3">
        <v>190.8</v>
      </c>
      <c r="U256" s="3">
        <v>196.1</v>
      </c>
      <c r="V256" s="3">
        <v>200.9</v>
      </c>
      <c r="W256" s="3">
        <v>218.1</v>
      </c>
      <c r="X256" s="3">
        <v>231.2</v>
      </c>
      <c r="Y256" s="3">
        <v>233.4</v>
      </c>
      <c r="Z256" s="3">
        <v>232.3</v>
      </c>
      <c r="AA256" s="3">
        <v>242.5</v>
      </c>
      <c r="AB256" s="3">
        <v>245.6</v>
      </c>
      <c r="AC256" s="3">
        <v>248</v>
      </c>
      <c r="AD256" s="3">
        <v>249.8</v>
      </c>
      <c r="AE256" s="3">
        <v>262.3</v>
      </c>
      <c r="AF256" s="3">
        <v>263.60000000000002</v>
      </c>
      <c r="AG256" s="3">
        <v>266.5</v>
      </c>
      <c r="AH256" s="3">
        <v>298.2</v>
      </c>
      <c r="AI256" s="3">
        <v>308</v>
      </c>
      <c r="AJ256" s="3">
        <v>325</v>
      </c>
      <c r="AK256" s="3">
        <v>336.1</v>
      </c>
      <c r="AL256" s="3">
        <v>345.6</v>
      </c>
      <c r="AM256" s="3">
        <v>372.5</v>
      </c>
      <c r="AN256" s="3">
        <v>390.6</v>
      </c>
      <c r="AO256" s="3">
        <v>432.8</v>
      </c>
      <c r="AP256" s="3">
        <v>445.6</v>
      </c>
      <c r="AQ256" s="3">
        <v>489.7</v>
      </c>
      <c r="AR256" s="3">
        <v>507.2</v>
      </c>
      <c r="AS256" s="3">
        <v>520.20000000000005</v>
      </c>
      <c r="AT256" s="3">
        <v>528.4</v>
      </c>
      <c r="AU256" s="3">
        <v>584.6</v>
      </c>
      <c r="AV256" s="3">
        <v>611.1</v>
      </c>
      <c r="AW256" s="3">
        <v>607.4</v>
      </c>
      <c r="AX256" s="3">
        <v>613.4</v>
      </c>
      <c r="AY256" s="3">
        <v>655.4</v>
      </c>
      <c r="AZ256" s="3">
        <v>659</v>
      </c>
      <c r="BA256" s="3">
        <v>655.9</v>
      </c>
      <c r="BB256" s="3">
        <v>658.1</v>
      </c>
      <c r="BC256" s="3">
        <v>695.3</v>
      </c>
      <c r="BD256" s="3">
        <v>703.7</v>
      </c>
      <c r="BE256" s="3">
        <v>722.6</v>
      </c>
      <c r="BF256" s="3">
        <v>731.4</v>
      </c>
      <c r="BG256" s="3">
        <v>785.3</v>
      </c>
      <c r="BH256" s="3">
        <v>788.4</v>
      </c>
      <c r="BI256" s="3">
        <v>801.7</v>
      </c>
      <c r="BJ256" s="3">
        <v>807.7</v>
      </c>
      <c r="BK256" s="3">
        <v>913.2</v>
      </c>
      <c r="BL256" s="3">
        <v>1065.5</v>
      </c>
      <c r="BM256" s="3">
        <v>978.1</v>
      </c>
      <c r="BN256" s="3">
        <v>1105.8</v>
      </c>
      <c r="BO256" s="3">
        <v>1021.7</v>
      </c>
      <c r="BP256" s="3">
        <v>1046.5</v>
      </c>
      <c r="BQ256" s="3">
        <v>1273.5999999999999</v>
      </c>
      <c r="BR256" s="3">
        <v>1387.5</v>
      </c>
      <c r="BS256" s="3">
        <v>1449.9</v>
      </c>
      <c r="BT256" s="3">
        <v>1505.7</v>
      </c>
      <c r="BU256" s="3">
        <v>1777.3</v>
      </c>
      <c r="BV256" s="3">
        <v>2420.5</v>
      </c>
      <c r="BW256" s="3">
        <v>2016.1</v>
      </c>
      <c r="BX256" s="3">
        <v>2532.4</v>
      </c>
      <c r="BY256" s="3">
        <v>2057.6</v>
      </c>
      <c r="BZ256" s="3">
        <v>2160.9</v>
      </c>
      <c r="CA256" s="3">
        <v>3276</v>
      </c>
      <c r="CB256" s="3">
        <v>3676.3</v>
      </c>
      <c r="CC256" s="3">
        <v>3609.7</v>
      </c>
      <c r="CD256" s="3">
        <v>3708.3</v>
      </c>
      <c r="CE256" s="3">
        <v>4602</v>
      </c>
      <c r="CF256" s="3">
        <v>4786.1000000000004</v>
      </c>
      <c r="CG256" s="3">
        <v>5042.7</v>
      </c>
      <c r="CH256" s="3">
        <v>5294.6</v>
      </c>
      <c r="CI256" s="3">
        <v>5309.6</v>
      </c>
      <c r="CJ256" s="3">
        <v>5506.5</v>
      </c>
      <c r="CK256" s="3">
        <v>6528.7</v>
      </c>
      <c r="CL256" s="3">
        <v>6917.9</v>
      </c>
      <c r="CM256" s="3">
        <v>7120.1</v>
      </c>
      <c r="CN256" s="3">
        <v>7290.3</v>
      </c>
      <c r="CO256" s="3">
        <v>8718.5</v>
      </c>
      <c r="CP256" s="3">
        <v>9460.1</v>
      </c>
      <c r="CQ256" s="3">
        <v>9542.6</v>
      </c>
      <c r="CR256" s="3">
        <v>10033.4</v>
      </c>
      <c r="CS256" s="3">
        <v>10261.700000000001</v>
      </c>
      <c r="CT256" s="3">
        <v>10512.5</v>
      </c>
    </row>
    <row r="257" spans="1:98">
      <c r="A257" s="4" t="s">
        <v>353</v>
      </c>
      <c r="B257" s="5">
        <v>100</v>
      </c>
      <c r="C257" s="5">
        <v>108.2</v>
      </c>
      <c r="D257" s="5">
        <v>112.3</v>
      </c>
      <c r="E257" s="5">
        <v>114.5</v>
      </c>
      <c r="F257" s="5">
        <v>116.8</v>
      </c>
      <c r="G257" s="5">
        <v>137.69999999999999</v>
      </c>
      <c r="H257" s="5">
        <v>142.19999999999999</v>
      </c>
      <c r="I257" s="5">
        <v>145.19999999999999</v>
      </c>
      <c r="J257" s="5">
        <v>145.19999999999999</v>
      </c>
      <c r="K257" s="5">
        <v>152.69999999999999</v>
      </c>
      <c r="L257" s="5">
        <v>155.1</v>
      </c>
      <c r="M257" s="5">
        <v>158.9</v>
      </c>
      <c r="N257" s="5">
        <v>160.19999999999999</v>
      </c>
      <c r="O257" s="5">
        <v>168.8</v>
      </c>
      <c r="P257" s="5">
        <v>169.5</v>
      </c>
      <c r="Q257" s="5">
        <v>171</v>
      </c>
      <c r="R257" s="5">
        <v>171.1</v>
      </c>
      <c r="S257" s="5">
        <v>185.2</v>
      </c>
      <c r="T257" s="5">
        <v>187.1</v>
      </c>
      <c r="U257" s="5">
        <v>194.4</v>
      </c>
      <c r="V257" s="5">
        <v>201.7</v>
      </c>
      <c r="W257" s="5">
        <v>218.1</v>
      </c>
      <c r="X257" s="5">
        <v>220.5</v>
      </c>
      <c r="Y257" s="5">
        <v>221.5</v>
      </c>
      <c r="Z257" s="5">
        <v>221.7</v>
      </c>
      <c r="AA257" s="5">
        <v>229.8</v>
      </c>
      <c r="AB257" s="5">
        <v>234.6</v>
      </c>
      <c r="AC257" s="5">
        <v>235.5</v>
      </c>
      <c r="AD257" s="5">
        <v>236.3</v>
      </c>
      <c r="AE257" s="5">
        <v>248.9</v>
      </c>
      <c r="AF257" s="5">
        <v>250.2</v>
      </c>
      <c r="AG257" s="5">
        <v>250.4</v>
      </c>
      <c r="AH257" s="5">
        <v>318.3</v>
      </c>
      <c r="AI257" s="5">
        <v>322.60000000000002</v>
      </c>
      <c r="AJ257" s="5">
        <v>337.2</v>
      </c>
      <c r="AK257" s="5">
        <v>357.4</v>
      </c>
      <c r="AL257" s="5">
        <v>376.1</v>
      </c>
      <c r="AM257" s="5">
        <v>405.9</v>
      </c>
      <c r="AN257" s="5">
        <v>432</v>
      </c>
      <c r="AO257" s="5">
        <v>482.8</v>
      </c>
      <c r="AP257" s="5">
        <v>507.1</v>
      </c>
      <c r="AQ257" s="5">
        <v>548.20000000000005</v>
      </c>
      <c r="AR257" s="5">
        <v>562.79999999999995</v>
      </c>
      <c r="AS257" s="5">
        <v>579.79999999999995</v>
      </c>
      <c r="AT257" s="5">
        <v>589.4</v>
      </c>
      <c r="AU257" s="5">
        <v>655.8</v>
      </c>
      <c r="AV257" s="5">
        <v>668</v>
      </c>
      <c r="AW257" s="5">
        <v>675.3</v>
      </c>
      <c r="AX257" s="5">
        <v>679.9</v>
      </c>
      <c r="AY257" s="5">
        <v>724.2</v>
      </c>
      <c r="AZ257" s="5">
        <v>727.4</v>
      </c>
      <c r="BA257" s="5">
        <v>725.6</v>
      </c>
      <c r="BB257" s="5">
        <v>725.8</v>
      </c>
      <c r="BC257" s="5">
        <v>760.6</v>
      </c>
      <c r="BD257" s="5">
        <v>767.2</v>
      </c>
      <c r="BE257" s="5">
        <v>777</v>
      </c>
      <c r="BF257" s="5">
        <v>783.6</v>
      </c>
      <c r="BG257" s="5">
        <v>830.3</v>
      </c>
      <c r="BH257" s="5">
        <v>834.8</v>
      </c>
      <c r="BI257" s="5">
        <v>848.9</v>
      </c>
      <c r="BJ257" s="5">
        <v>857.8</v>
      </c>
      <c r="BK257" s="5">
        <v>946.2</v>
      </c>
      <c r="BL257" s="5">
        <v>1176.5999999999999</v>
      </c>
      <c r="BM257" s="5">
        <v>1060.0999999999999</v>
      </c>
      <c r="BN257" s="5">
        <v>1225.3</v>
      </c>
      <c r="BO257" s="5">
        <v>1113.9000000000001</v>
      </c>
      <c r="BP257" s="5">
        <v>1166.3</v>
      </c>
      <c r="BQ257" s="5">
        <v>1405.1</v>
      </c>
      <c r="BR257" s="5">
        <v>1492.1</v>
      </c>
      <c r="BS257" s="5">
        <v>1597.6</v>
      </c>
      <c r="BT257" s="5">
        <v>1692.6</v>
      </c>
      <c r="BU257" s="5">
        <v>2019.7</v>
      </c>
      <c r="BV257" s="5">
        <v>3038.8</v>
      </c>
      <c r="BW257" s="5">
        <v>2262.9</v>
      </c>
      <c r="BX257" s="5">
        <v>3204.8</v>
      </c>
      <c r="BY257" s="5">
        <v>2308.8000000000002</v>
      </c>
      <c r="BZ257" s="5">
        <v>2508.1</v>
      </c>
      <c r="CA257" s="5">
        <v>4101</v>
      </c>
      <c r="CB257" s="5">
        <v>4423</v>
      </c>
      <c r="CC257" s="5">
        <v>4537.3</v>
      </c>
      <c r="CD257" s="5">
        <v>4691</v>
      </c>
      <c r="CE257" s="5">
        <v>5807.8</v>
      </c>
      <c r="CF257" s="5">
        <v>5996.1</v>
      </c>
      <c r="CG257" s="5">
        <v>6509.4</v>
      </c>
      <c r="CH257" s="5">
        <v>6930</v>
      </c>
      <c r="CI257" s="5">
        <v>6930</v>
      </c>
      <c r="CJ257" s="5">
        <v>6947.8</v>
      </c>
      <c r="CK257" s="5">
        <v>8303.1</v>
      </c>
      <c r="CL257" s="5">
        <v>8513.1</v>
      </c>
      <c r="CM257" s="5">
        <v>8764.7000000000007</v>
      </c>
      <c r="CN257" s="5">
        <v>8907.7999999999993</v>
      </c>
      <c r="CO257" s="5">
        <v>10827.7</v>
      </c>
      <c r="CP257" s="5">
        <v>11323</v>
      </c>
      <c r="CQ257" s="5">
        <v>11357.2</v>
      </c>
      <c r="CR257" s="5">
        <v>12022.2</v>
      </c>
      <c r="CS257" s="5">
        <v>12233.6</v>
      </c>
      <c r="CT257" s="5">
        <v>12382.3</v>
      </c>
    </row>
    <row r="258" spans="1:98">
      <c r="A258" s="2" t="s">
        <v>354</v>
      </c>
      <c r="B258" s="3">
        <v>100</v>
      </c>
      <c r="C258" s="3">
        <v>103.2</v>
      </c>
      <c r="D258" s="3">
        <v>104.5</v>
      </c>
      <c r="E258" s="3">
        <v>105.3</v>
      </c>
      <c r="F258" s="3">
        <v>106.1</v>
      </c>
      <c r="G258" s="3">
        <v>114</v>
      </c>
      <c r="H258" s="3">
        <v>115.5</v>
      </c>
      <c r="I258" s="3">
        <v>120</v>
      </c>
      <c r="J258" s="3">
        <v>120</v>
      </c>
      <c r="K258" s="3">
        <v>122.8</v>
      </c>
      <c r="L258" s="3">
        <v>123.5</v>
      </c>
      <c r="M258" s="3">
        <v>126.1</v>
      </c>
      <c r="N258" s="3">
        <v>126.9</v>
      </c>
      <c r="O258" s="3">
        <v>129.9</v>
      </c>
      <c r="P258" s="3">
        <v>130</v>
      </c>
      <c r="Q258" s="3">
        <v>130.80000000000001</v>
      </c>
      <c r="R258" s="3">
        <v>130.9</v>
      </c>
      <c r="S258" s="3">
        <v>135.9</v>
      </c>
      <c r="T258" s="3">
        <v>136.80000000000001</v>
      </c>
      <c r="U258" s="3">
        <v>139.9</v>
      </c>
      <c r="V258" s="3">
        <v>142.1</v>
      </c>
      <c r="W258" s="3">
        <v>148.19999999999999</v>
      </c>
      <c r="X258" s="3">
        <v>149</v>
      </c>
      <c r="Y258" s="3">
        <v>149.5</v>
      </c>
      <c r="Z258" s="3">
        <v>149.5</v>
      </c>
      <c r="AA258" s="3">
        <v>152.4</v>
      </c>
      <c r="AB258" s="3">
        <v>154.4</v>
      </c>
      <c r="AC258" s="3">
        <v>154.4</v>
      </c>
      <c r="AD258" s="3">
        <v>155.1</v>
      </c>
      <c r="AE258" s="3">
        <v>160.1</v>
      </c>
      <c r="AF258" s="3">
        <v>160.69999999999999</v>
      </c>
      <c r="AG258" s="3">
        <v>158.9</v>
      </c>
      <c r="AH258" s="3">
        <v>198.2</v>
      </c>
      <c r="AI258" s="3">
        <v>203</v>
      </c>
      <c r="AJ258" s="3">
        <v>208.2</v>
      </c>
      <c r="AK258" s="3">
        <v>215.9</v>
      </c>
      <c r="AL258" s="3">
        <v>222.9</v>
      </c>
      <c r="AM258" s="3">
        <v>235.2</v>
      </c>
      <c r="AN258" s="3">
        <v>244.9</v>
      </c>
      <c r="AO258" s="3">
        <v>258.8</v>
      </c>
      <c r="AP258" s="3">
        <v>265.5</v>
      </c>
      <c r="AQ258" s="3">
        <v>281.10000000000002</v>
      </c>
      <c r="AR258" s="3">
        <v>286.7</v>
      </c>
      <c r="AS258" s="3">
        <v>294.7</v>
      </c>
      <c r="AT258" s="3">
        <v>298.5</v>
      </c>
      <c r="AU258" s="3">
        <v>328.5</v>
      </c>
      <c r="AV258" s="3">
        <v>333.4</v>
      </c>
      <c r="AW258" s="3">
        <v>337.1</v>
      </c>
      <c r="AX258" s="3">
        <v>338.7</v>
      </c>
      <c r="AY258" s="3">
        <v>356</v>
      </c>
      <c r="AZ258" s="3">
        <v>357.8</v>
      </c>
      <c r="BA258" s="3">
        <v>353.3</v>
      </c>
      <c r="BB258" s="3">
        <v>353.5</v>
      </c>
      <c r="BC258" s="3">
        <v>369.2</v>
      </c>
      <c r="BD258" s="3">
        <v>371.9</v>
      </c>
      <c r="BE258" s="3">
        <v>374.9</v>
      </c>
      <c r="BF258" s="3">
        <v>377.5</v>
      </c>
      <c r="BG258" s="3">
        <v>395.8</v>
      </c>
      <c r="BH258" s="3">
        <v>397</v>
      </c>
      <c r="BI258" s="3">
        <v>403.6</v>
      </c>
      <c r="BJ258" s="3">
        <v>407.5</v>
      </c>
      <c r="BK258" s="3">
        <v>420.1</v>
      </c>
      <c r="BL258" s="3">
        <v>449.1</v>
      </c>
      <c r="BM258" s="3">
        <v>434.8</v>
      </c>
      <c r="BN258" s="3">
        <v>451.9</v>
      </c>
      <c r="BO258" s="3">
        <v>441.7</v>
      </c>
      <c r="BP258" s="3">
        <v>448.7</v>
      </c>
      <c r="BQ258" s="3">
        <v>470</v>
      </c>
      <c r="BR258" s="3">
        <v>501.7</v>
      </c>
      <c r="BS258" s="3">
        <v>506.1</v>
      </c>
      <c r="BT258" s="3">
        <v>510.6</v>
      </c>
      <c r="BU258" s="3">
        <v>537.20000000000005</v>
      </c>
      <c r="BV258" s="3">
        <v>612.70000000000005</v>
      </c>
      <c r="BW258" s="3">
        <v>565.20000000000005</v>
      </c>
      <c r="BX258" s="3">
        <v>628</v>
      </c>
      <c r="BY258" s="3">
        <v>573.9</v>
      </c>
      <c r="BZ258" s="3">
        <v>591.29999999999995</v>
      </c>
      <c r="CA258" s="3">
        <v>695.2</v>
      </c>
      <c r="CB258" s="3">
        <v>737.9</v>
      </c>
      <c r="CC258" s="3">
        <v>739.1</v>
      </c>
      <c r="CD258" s="3">
        <v>741</v>
      </c>
      <c r="CE258" s="3">
        <v>795.6</v>
      </c>
      <c r="CF258" s="3">
        <v>804.2</v>
      </c>
      <c r="CG258" s="3">
        <v>807.7</v>
      </c>
      <c r="CH258" s="3">
        <v>822.5</v>
      </c>
      <c r="CI258" s="3">
        <v>822.5</v>
      </c>
      <c r="CJ258" s="3">
        <v>822.5</v>
      </c>
      <c r="CK258" s="3">
        <v>867.7</v>
      </c>
      <c r="CL258" s="3">
        <v>880.1</v>
      </c>
      <c r="CM258" s="3">
        <v>884.5</v>
      </c>
      <c r="CN258" s="3">
        <v>893.9</v>
      </c>
      <c r="CO258" s="3">
        <v>955.9</v>
      </c>
      <c r="CP258" s="3">
        <v>973.4</v>
      </c>
      <c r="CQ258" s="3">
        <v>974</v>
      </c>
      <c r="CR258" s="3">
        <v>1004.7</v>
      </c>
      <c r="CS258" s="3">
        <v>1010.1</v>
      </c>
      <c r="CT258" s="3">
        <v>1017.2</v>
      </c>
    </row>
    <row r="259" spans="1:98">
      <c r="A259" s="4" t="s">
        <v>355</v>
      </c>
      <c r="B259" s="5">
        <v>100</v>
      </c>
      <c r="C259" s="5">
        <v>103.1</v>
      </c>
      <c r="D259" s="5">
        <v>104.3</v>
      </c>
      <c r="E259" s="5">
        <v>105</v>
      </c>
      <c r="F259" s="5">
        <v>105.6</v>
      </c>
      <c r="G259" s="5">
        <v>111.1</v>
      </c>
      <c r="H259" s="5">
        <v>112.2</v>
      </c>
      <c r="I259" s="5">
        <v>118.9</v>
      </c>
      <c r="J259" s="5">
        <v>118.9</v>
      </c>
      <c r="K259" s="5">
        <v>122.3</v>
      </c>
      <c r="L259" s="5">
        <v>122.9</v>
      </c>
      <c r="M259" s="5">
        <v>123.7</v>
      </c>
      <c r="N259" s="5">
        <v>124</v>
      </c>
      <c r="O259" s="5">
        <v>128.1</v>
      </c>
      <c r="P259" s="5">
        <v>128.4</v>
      </c>
      <c r="Q259" s="5">
        <v>129.5</v>
      </c>
      <c r="R259" s="5">
        <v>129.6</v>
      </c>
      <c r="S259" s="5">
        <v>162.9</v>
      </c>
      <c r="T259" s="5">
        <v>163.69999999999999</v>
      </c>
      <c r="U259" s="5">
        <v>165.5</v>
      </c>
      <c r="V259" s="5">
        <v>166.7</v>
      </c>
      <c r="W259" s="5">
        <v>248.9</v>
      </c>
      <c r="X259" s="5">
        <v>283.39999999999998</v>
      </c>
      <c r="Y259" s="5">
        <v>284.89999999999998</v>
      </c>
      <c r="Z259" s="5">
        <v>268.8</v>
      </c>
      <c r="AA259" s="5">
        <v>252.4</v>
      </c>
      <c r="AB259" s="5">
        <v>269</v>
      </c>
      <c r="AC259" s="5">
        <v>293.5</v>
      </c>
      <c r="AD259" s="5">
        <v>296.89999999999998</v>
      </c>
      <c r="AE259" s="5">
        <v>313.7</v>
      </c>
      <c r="AF259" s="5">
        <v>310.5</v>
      </c>
      <c r="AG259" s="5">
        <v>321.3</v>
      </c>
      <c r="AH259" s="5">
        <v>365.1</v>
      </c>
      <c r="AI259" s="5">
        <v>415.6</v>
      </c>
      <c r="AJ259" s="5">
        <v>433.1</v>
      </c>
      <c r="AK259" s="5">
        <v>452.1</v>
      </c>
      <c r="AL259" s="5">
        <v>484.1</v>
      </c>
      <c r="AM259" s="5">
        <v>533.9</v>
      </c>
      <c r="AN259" s="5">
        <v>546.9</v>
      </c>
      <c r="AO259" s="5">
        <v>568.4</v>
      </c>
      <c r="AP259" s="5">
        <v>777.8</v>
      </c>
      <c r="AQ259" s="5">
        <v>861.4</v>
      </c>
      <c r="AR259" s="5">
        <v>861.5</v>
      </c>
      <c r="AS259" s="5">
        <v>882.5</v>
      </c>
      <c r="AT259" s="5">
        <v>874.6</v>
      </c>
      <c r="AU259" s="5">
        <v>919.8</v>
      </c>
      <c r="AV259" s="5">
        <v>955.8</v>
      </c>
      <c r="AW259" s="5">
        <v>876.4</v>
      </c>
      <c r="AX259" s="5">
        <v>805.6</v>
      </c>
      <c r="AY259" s="5">
        <v>823.8</v>
      </c>
      <c r="AZ259" s="5">
        <v>817.9</v>
      </c>
      <c r="BA259" s="5">
        <v>765.6</v>
      </c>
      <c r="BB259" s="5">
        <v>665.5</v>
      </c>
      <c r="BC259" s="5">
        <v>695.8</v>
      </c>
      <c r="BD259" s="5">
        <v>726.5</v>
      </c>
      <c r="BE259" s="5">
        <v>781.7</v>
      </c>
      <c r="BF259" s="5">
        <v>840.7</v>
      </c>
      <c r="BG259" s="5">
        <v>856.3</v>
      </c>
      <c r="BH259" s="5">
        <v>861.8</v>
      </c>
      <c r="BI259" s="5">
        <v>934</v>
      </c>
      <c r="BJ259" s="5">
        <v>1045.2</v>
      </c>
      <c r="BK259" s="5">
        <v>1202.3</v>
      </c>
      <c r="BL259" s="5">
        <v>1942.4</v>
      </c>
      <c r="BM259" s="5">
        <v>1379.9</v>
      </c>
      <c r="BN259" s="5">
        <v>1729.9</v>
      </c>
      <c r="BO259" s="5">
        <v>1469.2</v>
      </c>
      <c r="BP259" s="5">
        <v>1882.9</v>
      </c>
      <c r="BQ259" s="5">
        <v>1957.8</v>
      </c>
      <c r="BR259" s="5">
        <v>1752.9</v>
      </c>
      <c r="BS259" s="5">
        <v>1682.3</v>
      </c>
      <c r="BT259" s="5">
        <v>1691.1</v>
      </c>
      <c r="BU259" s="5">
        <v>1730.9</v>
      </c>
      <c r="BV259" s="5">
        <v>2906.1</v>
      </c>
      <c r="BW259" s="5">
        <v>2211.6999999999998</v>
      </c>
      <c r="BX259" s="5">
        <v>3477.7</v>
      </c>
      <c r="BY259" s="5">
        <v>2359.6999999999998</v>
      </c>
      <c r="BZ259" s="5">
        <v>2508.3000000000002</v>
      </c>
      <c r="CA259" s="5">
        <v>3820.8</v>
      </c>
      <c r="CB259" s="5">
        <v>4011.7</v>
      </c>
      <c r="CC259" s="5">
        <v>4714.1000000000004</v>
      </c>
      <c r="CD259" s="5">
        <v>5109.2</v>
      </c>
      <c r="CE259" s="5">
        <v>6090.9</v>
      </c>
      <c r="CF259" s="5">
        <v>5470.6</v>
      </c>
      <c r="CG259" s="5">
        <v>5913.3</v>
      </c>
      <c r="CH259" s="5">
        <v>6315.9</v>
      </c>
      <c r="CI259" s="5">
        <v>6780.3</v>
      </c>
      <c r="CJ259" s="5">
        <v>7890</v>
      </c>
      <c r="CK259" s="5">
        <v>8062.6</v>
      </c>
      <c r="CL259" s="5">
        <v>8074.1</v>
      </c>
      <c r="CM259" s="5">
        <v>7862.8</v>
      </c>
      <c r="CN259" s="5">
        <v>7568.3</v>
      </c>
      <c r="CO259" s="5">
        <v>8669.4</v>
      </c>
      <c r="CP259" s="5">
        <v>9327.4</v>
      </c>
      <c r="CQ259" s="5">
        <v>10565.6</v>
      </c>
      <c r="CR259" s="5">
        <v>11837</v>
      </c>
      <c r="CS259" s="5">
        <v>12838.1</v>
      </c>
      <c r="CT259" s="5">
        <v>13428</v>
      </c>
    </row>
    <row r="260" spans="1:98">
      <c r="A260" s="2" t="s">
        <v>356</v>
      </c>
      <c r="B260" s="3">
        <v>100</v>
      </c>
      <c r="C260" s="3">
        <v>106.1</v>
      </c>
      <c r="D260" s="3">
        <v>109.2</v>
      </c>
      <c r="E260" s="3">
        <v>111.3</v>
      </c>
      <c r="F260" s="3">
        <v>116.6</v>
      </c>
      <c r="G260" s="3">
        <v>133.69999999999999</v>
      </c>
      <c r="H260" s="3">
        <v>136</v>
      </c>
      <c r="I260" s="3">
        <v>138.80000000000001</v>
      </c>
      <c r="J260" s="3">
        <v>138.80000000000001</v>
      </c>
      <c r="K260" s="3">
        <v>147.69999999999999</v>
      </c>
      <c r="L260" s="3">
        <v>150</v>
      </c>
      <c r="M260" s="3">
        <v>152.9</v>
      </c>
      <c r="N260" s="3">
        <v>153.9</v>
      </c>
      <c r="O260" s="3">
        <v>166.2</v>
      </c>
      <c r="P260" s="3">
        <v>169.4</v>
      </c>
      <c r="Q260" s="3">
        <v>172.2</v>
      </c>
      <c r="R260" s="3">
        <v>172.8</v>
      </c>
      <c r="S260" s="3">
        <v>189.1</v>
      </c>
      <c r="T260" s="3">
        <v>189</v>
      </c>
      <c r="U260" s="3">
        <v>194.5</v>
      </c>
      <c r="V260" s="3">
        <v>201</v>
      </c>
      <c r="W260" s="3">
        <v>225.3</v>
      </c>
      <c r="X260" s="3">
        <v>230.1</v>
      </c>
      <c r="Y260" s="3">
        <v>221.8</v>
      </c>
      <c r="Z260" s="3">
        <v>215</v>
      </c>
      <c r="AA260" s="3">
        <v>222</v>
      </c>
      <c r="AB260" s="3">
        <v>226.9</v>
      </c>
      <c r="AC260" s="3">
        <v>232.5</v>
      </c>
      <c r="AD260" s="3">
        <v>236.9</v>
      </c>
      <c r="AE260" s="3">
        <v>251.6</v>
      </c>
      <c r="AF260" s="3">
        <v>251.3</v>
      </c>
      <c r="AG260" s="3">
        <v>255.6</v>
      </c>
      <c r="AH260" s="3">
        <v>299.7</v>
      </c>
      <c r="AI260" s="3">
        <v>316</v>
      </c>
      <c r="AJ260" s="3">
        <v>325</v>
      </c>
      <c r="AK260" s="3">
        <v>341.5</v>
      </c>
      <c r="AL260" s="3">
        <v>360.3</v>
      </c>
      <c r="AM260" s="3">
        <v>393.3</v>
      </c>
      <c r="AN260" s="3">
        <v>425.9</v>
      </c>
      <c r="AO260" s="3">
        <v>477</v>
      </c>
      <c r="AP260" s="3">
        <v>492.9</v>
      </c>
      <c r="AQ260" s="3">
        <v>531.79999999999995</v>
      </c>
      <c r="AR260" s="3">
        <v>535.79999999999995</v>
      </c>
      <c r="AS260" s="3">
        <v>542.20000000000005</v>
      </c>
      <c r="AT260" s="3">
        <v>548.70000000000005</v>
      </c>
      <c r="AU260" s="3">
        <v>609.4</v>
      </c>
      <c r="AV260" s="3">
        <v>622.70000000000005</v>
      </c>
      <c r="AW260" s="3">
        <v>630.79999999999995</v>
      </c>
      <c r="AX260" s="3">
        <v>636.29999999999995</v>
      </c>
      <c r="AY260" s="3">
        <v>677.1</v>
      </c>
      <c r="AZ260" s="3">
        <v>680.6</v>
      </c>
      <c r="BA260" s="3">
        <v>669.6</v>
      </c>
      <c r="BB260" s="3">
        <v>668</v>
      </c>
      <c r="BC260" s="3">
        <v>704.2</v>
      </c>
      <c r="BD260" s="3">
        <v>710</v>
      </c>
      <c r="BE260" s="3">
        <v>726.5</v>
      </c>
      <c r="BF260" s="3">
        <v>738.3</v>
      </c>
      <c r="BG260" s="3">
        <v>786.3</v>
      </c>
      <c r="BH260" s="3">
        <v>792.7</v>
      </c>
      <c r="BI260" s="3">
        <v>816.5</v>
      </c>
      <c r="BJ260" s="3">
        <v>827.1</v>
      </c>
      <c r="BK260" s="3">
        <v>934</v>
      </c>
      <c r="BL260" s="3">
        <v>1192.4000000000001</v>
      </c>
      <c r="BM260" s="3">
        <v>1027.2</v>
      </c>
      <c r="BN260" s="3">
        <v>1235</v>
      </c>
      <c r="BO260" s="3">
        <v>1092.9000000000001</v>
      </c>
      <c r="BP260" s="3">
        <v>1149.5</v>
      </c>
      <c r="BQ260" s="3">
        <v>1428.2</v>
      </c>
      <c r="BR260" s="3">
        <v>1489.2</v>
      </c>
      <c r="BS260" s="3">
        <v>1566.5</v>
      </c>
      <c r="BT260" s="3">
        <v>1675.1</v>
      </c>
      <c r="BU260" s="3">
        <v>1982.8</v>
      </c>
      <c r="BV260" s="3">
        <v>2839.8</v>
      </c>
      <c r="BW260" s="3">
        <v>2353.5</v>
      </c>
      <c r="BX260" s="3">
        <v>3035.5</v>
      </c>
      <c r="BY260" s="3">
        <v>2432.6999999999998</v>
      </c>
      <c r="BZ260" s="3">
        <v>2607</v>
      </c>
      <c r="CA260" s="3">
        <v>3776.9</v>
      </c>
      <c r="CB260" s="3">
        <v>4035.4</v>
      </c>
      <c r="CC260" s="3">
        <v>4080.8</v>
      </c>
      <c r="CD260" s="3">
        <v>4180.6000000000004</v>
      </c>
      <c r="CE260" s="3">
        <v>5221.5</v>
      </c>
      <c r="CF260" s="3">
        <v>5357.9</v>
      </c>
      <c r="CG260" s="3">
        <v>5507.4</v>
      </c>
      <c r="CH260" s="3">
        <v>5955.2</v>
      </c>
      <c r="CI260" s="3">
        <v>6086.6</v>
      </c>
      <c r="CJ260" s="3">
        <v>6236.4</v>
      </c>
      <c r="CK260" s="3">
        <v>7349.2</v>
      </c>
      <c r="CL260" s="3">
        <v>7565.8</v>
      </c>
      <c r="CM260" s="3">
        <v>7733.9</v>
      </c>
      <c r="CN260" s="3">
        <v>7962.8</v>
      </c>
      <c r="CO260" s="3">
        <v>9474.7999999999993</v>
      </c>
      <c r="CP260" s="3">
        <v>9854</v>
      </c>
      <c r="CQ260" s="3">
        <v>9950.7999999999993</v>
      </c>
      <c r="CR260" s="3">
        <v>10662.1</v>
      </c>
      <c r="CS260" s="3">
        <v>10800.7</v>
      </c>
      <c r="CT260" s="3">
        <v>10990.4</v>
      </c>
    </row>
    <row r="261" spans="1:98">
      <c r="A261" s="4" t="s">
        <v>357</v>
      </c>
      <c r="B261" s="5">
        <v>100</v>
      </c>
      <c r="C261" s="5">
        <v>95.7</v>
      </c>
      <c r="D261" s="5">
        <v>95.9</v>
      </c>
      <c r="E261" s="5">
        <v>96.6</v>
      </c>
      <c r="F261" s="5">
        <v>96.6</v>
      </c>
      <c r="G261" s="5">
        <v>102</v>
      </c>
      <c r="H261" s="5">
        <v>102.1</v>
      </c>
      <c r="I261" s="5">
        <v>107.1</v>
      </c>
      <c r="J261" s="5">
        <v>107.1</v>
      </c>
      <c r="K261" s="5">
        <v>109.3</v>
      </c>
      <c r="L261" s="5">
        <v>109.4</v>
      </c>
      <c r="M261" s="5">
        <v>120.6</v>
      </c>
      <c r="N261" s="5">
        <v>120.6</v>
      </c>
      <c r="O261" s="5">
        <v>121.5</v>
      </c>
      <c r="P261" s="5">
        <v>121.5</v>
      </c>
      <c r="Q261" s="5">
        <v>122.1</v>
      </c>
      <c r="R261" s="5">
        <v>122.1</v>
      </c>
      <c r="S261" s="5">
        <v>135.9</v>
      </c>
      <c r="T261" s="5">
        <v>135.9</v>
      </c>
      <c r="U261" s="5">
        <v>145.30000000000001</v>
      </c>
      <c r="V261" s="5">
        <v>163.4</v>
      </c>
      <c r="W261" s="5">
        <v>164</v>
      </c>
      <c r="X261" s="5">
        <v>164</v>
      </c>
      <c r="Y261" s="5">
        <v>158.4</v>
      </c>
      <c r="Z261" s="5">
        <v>155.1</v>
      </c>
      <c r="AA261" s="5">
        <v>156.30000000000001</v>
      </c>
      <c r="AB261" s="5">
        <v>156.5</v>
      </c>
      <c r="AC261" s="5">
        <v>158.1</v>
      </c>
      <c r="AD261" s="5">
        <v>175.3</v>
      </c>
      <c r="AE261" s="5">
        <v>175.8</v>
      </c>
      <c r="AF261" s="5">
        <v>175.9</v>
      </c>
      <c r="AG261" s="5">
        <v>175.9</v>
      </c>
      <c r="AH261" s="5">
        <v>177.9</v>
      </c>
      <c r="AI261" s="5">
        <v>178.3</v>
      </c>
      <c r="AJ261" s="5">
        <v>195.3</v>
      </c>
      <c r="AK261" s="5">
        <v>223.2</v>
      </c>
      <c r="AL261" s="5">
        <v>223.8</v>
      </c>
      <c r="AM261" s="5">
        <v>251.4</v>
      </c>
      <c r="AN261" s="5">
        <v>294.39999999999998</v>
      </c>
      <c r="AO261" s="5">
        <v>308.2</v>
      </c>
      <c r="AP261" s="5">
        <v>309.3</v>
      </c>
      <c r="AQ261" s="5">
        <v>354.6</v>
      </c>
      <c r="AR261" s="5">
        <v>355.1</v>
      </c>
      <c r="AS261" s="5">
        <v>355.4</v>
      </c>
      <c r="AT261" s="5">
        <v>355.8</v>
      </c>
      <c r="AU261" s="5">
        <v>358.1</v>
      </c>
      <c r="AV261" s="5">
        <v>358.6</v>
      </c>
      <c r="AW261" s="5">
        <v>359</v>
      </c>
      <c r="AX261" s="5">
        <v>359.2</v>
      </c>
      <c r="AY261" s="5">
        <v>305.5</v>
      </c>
      <c r="AZ261" s="5">
        <v>305.60000000000002</v>
      </c>
      <c r="BA261" s="5">
        <v>361.1</v>
      </c>
      <c r="BB261" s="5">
        <v>361.2</v>
      </c>
      <c r="BC261" s="5">
        <v>372.3</v>
      </c>
      <c r="BD261" s="5">
        <v>372.5</v>
      </c>
      <c r="BE261" s="5">
        <v>391.5</v>
      </c>
      <c r="BF261" s="5">
        <v>391.7</v>
      </c>
      <c r="BG261" s="5">
        <v>412.6</v>
      </c>
      <c r="BH261" s="5">
        <v>410.1</v>
      </c>
      <c r="BI261" s="5">
        <v>420.8</v>
      </c>
      <c r="BJ261" s="5">
        <v>430.3</v>
      </c>
      <c r="BK261" s="5">
        <v>620.6</v>
      </c>
      <c r="BL261" s="5">
        <v>746.8</v>
      </c>
      <c r="BM261" s="5">
        <v>679.8</v>
      </c>
      <c r="BN261" s="5">
        <v>749.4</v>
      </c>
      <c r="BO261" s="5">
        <v>750.8</v>
      </c>
      <c r="BP261" s="5">
        <v>745.9</v>
      </c>
      <c r="BQ261" s="5">
        <v>891.5</v>
      </c>
      <c r="BR261" s="5">
        <v>894.7</v>
      </c>
      <c r="BS261" s="5">
        <v>857.3</v>
      </c>
      <c r="BT261" s="5">
        <v>840</v>
      </c>
      <c r="BU261" s="5">
        <v>973.7</v>
      </c>
      <c r="BV261" s="5">
        <v>1231.2</v>
      </c>
      <c r="BW261" s="5">
        <v>1025.2</v>
      </c>
      <c r="BX261" s="5">
        <v>1446.9</v>
      </c>
      <c r="BY261" s="5">
        <v>1028.3</v>
      </c>
      <c r="BZ261" s="5">
        <v>1177</v>
      </c>
      <c r="CA261" s="5">
        <v>1891</v>
      </c>
      <c r="CB261" s="5">
        <v>2109.1999999999998</v>
      </c>
      <c r="CC261" s="5">
        <v>2189.4</v>
      </c>
      <c r="CD261" s="5">
        <v>2256.1999999999998</v>
      </c>
      <c r="CE261" s="5">
        <v>2549.1</v>
      </c>
      <c r="CF261" s="5">
        <v>2690.5</v>
      </c>
      <c r="CG261" s="5">
        <v>2862.6</v>
      </c>
      <c r="CH261" s="5">
        <v>2996.7</v>
      </c>
      <c r="CI261" s="5">
        <v>2996.7</v>
      </c>
      <c r="CJ261" s="5">
        <v>3207.6</v>
      </c>
      <c r="CK261" s="5">
        <v>3258.9</v>
      </c>
      <c r="CL261" s="5">
        <v>3592.5</v>
      </c>
      <c r="CM261" s="5">
        <v>3883.2</v>
      </c>
      <c r="CN261" s="5">
        <v>4169.8999999999996</v>
      </c>
      <c r="CO261" s="5">
        <v>4589.1000000000004</v>
      </c>
      <c r="CP261" s="5">
        <v>4795.3999999999996</v>
      </c>
      <c r="CQ261" s="5">
        <v>4937.2</v>
      </c>
      <c r="CR261" s="5">
        <v>5629.4</v>
      </c>
      <c r="CS261" s="5">
        <v>5837.9</v>
      </c>
      <c r="CT261" s="5">
        <v>6046.4</v>
      </c>
    </row>
    <row r="262" spans="1:98">
      <c r="A262" s="2" t="s">
        <v>358</v>
      </c>
      <c r="B262" s="3">
        <v>100</v>
      </c>
      <c r="C262" s="3">
        <v>101</v>
      </c>
      <c r="D262" s="3">
        <v>101.7</v>
      </c>
      <c r="E262" s="3">
        <v>104.7</v>
      </c>
      <c r="F262" s="3">
        <v>105.1</v>
      </c>
      <c r="G262" s="3">
        <v>108.6</v>
      </c>
      <c r="H262" s="3">
        <v>109.2</v>
      </c>
      <c r="I262" s="3">
        <v>123.2</v>
      </c>
      <c r="J262" s="3">
        <v>123.2</v>
      </c>
      <c r="K262" s="3">
        <v>138</v>
      </c>
      <c r="L262" s="3">
        <v>138.30000000000001</v>
      </c>
      <c r="M262" s="3">
        <v>139.9</v>
      </c>
      <c r="N262" s="3">
        <v>140</v>
      </c>
      <c r="O262" s="3">
        <v>144.5</v>
      </c>
      <c r="P262" s="3">
        <v>144.5</v>
      </c>
      <c r="Q262" s="3">
        <v>165.8</v>
      </c>
      <c r="R262" s="3">
        <v>165.9</v>
      </c>
      <c r="S262" s="3">
        <v>173.3</v>
      </c>
      <c r="T262" s="3">
        <v>176.4</v>
      </c>
      <c r="U262" s="3">
        <v>178</v>
      </c>
      <c r="V262" s="3">
        <v>181.9</v>
      </c>
      <c r="W262" s="3">
        <v>195.5</v>
      </c>
      <c r="X262" s="3">
        <v>195.9</v>
      </c>
      <c r="Y262" s="3">
        <v>196.3</v>
      </c>
      <c r="Z262" s="3">
        <v>203.4</v>
      </c>
      <c r="AA262" s="3">
        <v>205.4</v>
      </c>
      <c r="AB262" s="3">
        <v>205.9</v>
      </c>
      <c r="AC262" s="3">
        <v>207</v>
      </c>
      <c r="AD262" s="3">
        <v>209.3</v>
      </c>
      <c r="AE262" s="3">
        <v>217.5</v>
      </c>
      <c r="AF262" s="3">
        <v>217.9</v>
      </c>
      <c r="AG262" s="3">
        <v>218.5</v>
      </c>
      <c r="AH262" s="3">
        <v>221.5</v>
      </c>
      <c r="AI262" s="3">
        <v>233</v>
      </c>
      <c r="AJ262" s="3">
        <v>235.1</v>
      </c>
      <c r="AK262" s="3">
        <v>264.60000000000002</v>
      </c>
      <c r="AL262" s="3">
        <v>280.39999999999998</v>
      </c>
      <c r="AM262" s="3">
        <v>300.10000000000002</v>
      </c>
      <c r="AN262" s="3">
        <v>328.2</v>
      </c>
      <c r="AO262" s="3">
        <v>349.1</v>
      </c>
      <c r="AP262" s="3">
        <v>426.9</v>
      </c>
      <c r="AQ262" s="3">
        <v>477.9</v>
      </c>
      <c r="AR262" s="3">
        <v>479.7</v>
      </c>
      <c r="AS262" s="3">
        <v>474</v>
      </c>
      <c r="AT262" s="3">
        <v>476.4</v>
      </c>
      <c r="AU262" s="3">
        <v>491.9</v>
      </c>
      <c r="AV262" s="3">
        <v>507.4</v>
      </c>
      <c r="AW262" s="3">
        <v>510.1</v>
      </c>
      <c r="AX262" s="3">
        <v>511.7</v>
      </c>
      <c r="AY262" s="3">
        <v>517.1</v>
      </c>
      <c r="AZ262" s="3">
        <v>513.4</v>
      </c>
      <c r="BA262" s="3">
        <v>491.7</v>
      </c>
      <c r="BB262" s="3">
        <v>432.2</v>
      </c>
      <c r="BC262" s="3">
        <v>448.9</v>
      </c>
      <c r="BD262" s="3">
        <v>467.3</v>
      </c>
      <c r="BE262" s="3">
        <v>485.7</v>
      </c>
      <c r="BF262" s="3">
        <v>513.29999999999995</v>
      </c>
      <c r="BG262" s="3">
        <v>520.70000000000005</v>
      </c>
      <c r="BH262" s="3">
        <v>535.70000000000005</v>
      </c>
      <c r="BI262" s="3">
        <v>574.9</v>
      </c>
      <c r="BJ262" s="3">
        <v>635.4</v>
      </c>
      <c r="BK262" s="3">
        <v>745.3</v>
      </c>
      <c r="BL262" s="3">
        <v>925.5</v>
      </c>
      <c r="BM262" s="3">
        <v>819.9</v>
      </c>
      <c r="BN262" s="3">
        <v>939.8</v>
      </c>
      <c r="BO262" s="3">
        <v>890.3</v>
      </c>
      <c r="BP262" s="3">
        <v>903.6</v>
      </c>
      <c r="BQ262" s="3">
        <v>1131.4000000000001</v>
      </c>
      <c r="BR262" s="3">
        <v>1058.9000000000001</v>
      </c>
      <c r="BS262" s="3">
        <v>1106.5</v>
      </c>
      <c r="BT262" s="3">
        <v>1123.9000000000001</v>
      </c>
      <c r="BU262" s="3">
        <v>1350.6</v>
      </c>
      <c r="BV262" s="3">
        <v>1873.9</v>
      </c>
      <c r="BW262" s="3">
        <v>1644.7</v>
      </c>
      <c r="BX262" s="3">
        <v>2031.8</v>
      </c>
      <c r="BY262" s="3">
        <v>1674.7</v>
      </c>
      <c r="BZ262" s="3">
        <v>1794.2</v>
      </c>
      <c r="CA262" s="3">
        <v>2340.9</v>
      </c>
      <c r="CB262" s="3">
        <v>2498.9</v>
      </c>
      <c r="CC262" s="3">
        <v>2792.2</v>
      </c>
      <c r="CD262" s="3">
        <v>3030</v>
      </c>
      <c r="CE262" s="3">
        <v>3432.1</v>
      </c>
      <c r="CF262" s="3">
        <v>3476.2</v>
      </c>
      <c r="CG262" s="3">
        <v>3670.5</v>
      </c>
      <c r="CH262" s="3">
        <v>3914</v>
      </c>
      <c r="CI262" s="3">
        <v>4106</v>
      </c>
      <c r="CJ262" s="3">
        <v>4593.3</v>
      </c>
      <c r="CK262" s="3">
        <v>4863.7</v>
      </c>
      <c r="CL262" s="3">
        <v>4915.1000000000004</v>
      </c>
      <c r="CM262" s="3">
        <v>4697.5</v>
      </c>
      <c r="CN262" s="3">
        <v>4597</v>
      </c>
      <c r="CO262" s="3">
        <v>4989.8</v>
      </c>
      <c r="CP262" s="3">
        <v>5083.6000000000004</v>
      </c>
      <c r="CQ262" s="3">
        <v>5598.4</v>
      </c>
      <c r="CR262" s="3">
        <v>6104.9</v>
      </c>
      <c r="CS262" s="3">
        <v>6189</v>
      </c>
      <c r="CT262" s="3">
        <v>6254.6</v>
      </c>
    </row>
    <row r="263" spans="1:98">
      <c r="A263" s="4" t="s">
        <v>359</v>
      </c>
      <c r="B263" s="5">
        <v>100</v>
      </c>
      <c r="C263" s="5">
        <v>108.8</v>
      </c>
      <c r="D263" s="5">
        <v>112</v>
      </c>
      <c r="E263" s="5">
        <v>113.9</v>
      </c>
      <c r="F263" s="5">
        <v>115.9</v>
      </c>
      <c r="G263" s="5">
        <v>132.1</v>
      </c>
      <c r="H263" s="5">
        <v>135.5</v>
      </c>
      <c r="I263" s="5">
        <v>138.19999999999999</v>
      </c>
      <c r="J263" s="5">
        <v>138.6</v>
      </c>
      <c r="K263" s="5">
        <v>146.30000000000001</v>
      </c>
      <c r="L263" s="5">
        <v>148.30000000000001</v>
      </c>
      <c r="M263" s="5">
        <v>151.6</v>
      </c>
      <c r="N263" s="5">
        <v>152.69999999999999</v>
      </c>
      <c r="O263" s="5">
        <v>166.7</v>
      </c>
      <c r="P263" s="5">
        <v>168.3</v>
      </c>
      <c r="Q263" s="5">
        <v>170.6</v>
      </c>
      <c r="R263" s="5">
        <v>171.7</v>
      </c>
      <c r="S263" s="5">
        <v>188.6</v>
      </c>
      <c r="T263" s="5">
        <v>192.6</v>
      </c>
      <c r="U263" s="5">
        <v>199.7</v>
      </c>
      <c r="V263" s="5">
        <v>205.2</v>
      </c>
      <c r="W263" s="5">
        <v>227.4</v>
      </c>
      <c r="X263" s="5">
        <v>231.7</v>
      </c>
      <c r="Y263" s="5">
        <v>235.5</v>
      </c>
      <c r="Z263" s="5">
        <v>236.2</v>
      </c>
      <c r="AA263" s="5">
        <v>253.4</v>
      </c>
      <c r="AB263" s="5">
        <v>256.10000000000002</v>
      </c>
      <c r="AC263" s="5">
        <v>259.60000000000002</v>
      </c>
      <c r="AD263" s="5">
        <v>262.7</v>
      </c>
      <c r="AE263" s="5">
        <v>281.39999999999998</v>
      </c>
      <c r="AF263" s="5">
        <v>283.10000000000002</v>
      </c>
      <c r="AG263" s="5">
        <v>288.8</v>
      </c>
      <c r="AH263" s="5">
        <v>306</v>
      </c>
      <c r="AI263" s="5">
        <v>324.5</v>
      </c>
      <c r="AJ263" s="5">
        <v>332.1</v>
      </c>
      <c r="AK263" s="5">
        <v>341.6</v>
      </c>
      <c r="AL263" s="5">
        <v>347.5</v>
      </c>
      <c r="AM263" s="5">
        <v>387.2</v>
      </c>
      <c r="AN263" s="5">
        <v>403</v>
      </c>
      <c r="AO263" s="5">
        <v>439.2</v>
      </c>
      <c r="AP263" s="5">
        <v>449.1</v>
      </c>
      <c r="AQ263" s="5">
        <v>501.3</v>
      </c>
      <c r="AR263" s="5">
        <v>510.3</v>
      </c>
      <c r="AS263" s="5">
        <v>524.5</v>
      </c>
      <c r="AT263" s="5">
        <v>534.20000000000005</v>
      </c>
      <c r="AU263" s="5">
        <v>611.9</v>
      </c>
      <c r="AV263" s="5">
        <v>624.79999999999995</v>
      </c>
      <c r="AW263" s="5">
        <v>635</v>
      </c>
      <c r="AX263" s="5">
        <v>643.6</v>
      </c>
      <c r="AY263" s="5">
        <v>703.1</v>
      </c>
      <c r="AZ263" s="5">
        <v>708.4</v>
      </c>
      <c r="BA263" s="5">
        <v>712.9</v>
      </c>
      <c r="BB263" s="5">
        <v>717.6</v>
      </c>
      <c r="BC263" s="5">
        <v>769.1</v>
      </c>
      <c r="BD263" s="5">
        <v>775.7</v>
      </c>
      <c r="BE263" s="5">
        <v>782.4</v>
      </c>
      <c r="BF263" s="5">
        <v>789</v>
      </c>
      <c r="BG263" s="5">
        <v>854.3</v>
      </c>
      <c r="BH263" s="5">
        <v>856.9</v>
      </c>
      <c r="BI263" s="5">
        <v>873.9</v>
      </c>
      <c r="BJ263" s="5">
        <v>881.3</v>
      </c>
      <c r="BK263" s="5">
        <v>1001.8</v>
      </c>
      <c r="BL263" s="5">
        <v>1102.0999999999999</v>
      </c>
      <c r="BM263" s="5">
        <v>1054.2</v>
      </c>
      <c r="BN263" s="5">
        <v>1134.9000000000001</v>
      </c>
      <c r="BO263" s="5">
        <v>1065.5</v>
      </c>
      <c r="BP263" s="5">
        <v>1076.4000000000001</v>
      </c>
      <c r="BQ263" s="5">
        <v>1374.9</v>
      </c>
      <c r="BR263" s="5">
        <v>1435.8</v>
      </c>
      <c r="BS263" s="5">
        <v>1465.5</v>
      </c>
      <c r="BT263" s="5">
        <v>1505.8</v>
      </c>
      <c r="BU263" s="5">
        <v>1853.7</v>
      </c>
      <c r="BV263" s="5">
        <v>2296.9</v>
      </c>
      <c r="BW263" s="5">
        <v>2035.8</v>
      </c>
      <c r="BX263" s="5">
        <v>2462.5</v>
      </c>
      <c r="BY263" s="5">
        <v>2056.4</v>
      </c>
      <c r="BZ263" s="5">
        <v>2099.6</v>
      </c>
      <c r="CA263" s="5">
        <v>3227.1</v>
      </c>
      <c r="CB263" s="5">
        <v>3410.3</v>
      </c>
      <c r="CC263" s="5">
        <v>3431.2</v>
      </c>
      <c r="CD263" s="5">
        <v>3492.7</v>
      </c>
      <c r="CE263" s="5">
        <v>4398.5</v>
      </c>
      <c r="CF263" s="5">
        <v>4479.3999999999996</v>
      </c>
      <c r="CG263" s="5">
        <v>4865.8999999999996</v>
      </c>
      <c r="CH263" s="5">
        <v>5071.6000000000004</v>
      </c>
      <c r="CI263" s="5">
        <v>5071.6000000000004</v>
      </c>
      <c r="CJ263" s="5">
        <v>5071.7</v>
      </c>
      <c r="CK263" s="5">
        <v>6188.8</v>
      </c>
      <c r="CL263" s="5">
        <v>6393.5</v>
      </c>
      <c r="CM263" s="5">
        <v>6614</v>
      </c>
      <c r="CN263" s="5">
        <v>6774</v>
      </c>
      <c r="CO263" s="5">
        <v>8338.2000000000007</v>
      </c>
      <c r="CP263" s="5">
        <v>8677</v>
      </c>
      <c r="CQ263" s="5">
        <v>8850.6</v>
      </c>
      <c r="CR263" s="5">
        <v>9231.6</v>
      </c>
      <c r="CS263" s="5">
        <v>9310.9</v>
      </c>
      <c r="CT263" s="5">
        <v>9403.7999999999993</v>
      </c>
    </row>
    <row r="264" spans="1:98">
      <c r="A264" s="2" t="s">
        <v>360</v>
      </c>
      <c r="B264" s="3">
        <v>100</v>
      </c>
      <c r="C264" s="3">
        <v>108</v>
      </c>
      <c r="D264" s="3">
        <v>114</v>
      </c>
      <c r="E264" s="3">
        <v>116</v>
      </c>
      <c r="F264" s="3">
        <v>118</v>
      </c>
      <c r="G264" s="3">
        <v>141</v>
      </c>
      <c r="H264" s="3">
        <v>146</v>
      </c>
      <c r="I264" s="3">
        <v>149.5</v>
      </c>
      <c r="J264" s="3">
        <v>149.5</v>
      </c>
      <c r="K264" s="3">
        <v>151</v>
      </c>
      <c r="L264" s="3">
        <v>152.5</v>
      </c>
      <c r="M264" s="3">
        <v>162.6</v>
      </c>
      <c r="N264" s="3">
        <v>161.5</v>
      </c>
      <c r="O264" s="3">
        <v>167.3</v>
      </c>
      <c r="P264" s="3">
        <v>173.1</v>
      </c>
      <c r="Q264" s="3">
        <v>173.2</v>
      </c>
      <c r="R264" s="3">
        <v>173.3</v>
      </c>
      <c r="S264" s="3">
        <v>188.3</v>
      </c>
      <c r="T264" s="3">
        <v>195.4</v>
      </c>
      <c r="U264" s="3">
        <v>213.5</v>
      </c>
      <c r="V264" s="3">
        <v>206.1</v>
      </c>
      <c r="W264" s="3">
        <v>218.7</v>
      </c>
      <c r="X264" s="3">
        <v>220.3</v>
      </c>
      <c r="Y264" s="3">
        <v>216.8</v>
      </c>
      <c r="Z264" s="3">
        <v>215.3</v>
      </c>
      <c r="AA264" s="3">
        <v>209.2</v>
      </c>
      <c r="AB264" s="3">
        <v>220.9</v>
      </c>
      <c r="AC264" s="3">
        <v>216.3</v>
      </c>
      <c r="AD264" s="3">
        <v>228.8</v>
      </c>
      <c r="AE264" s="3">
        <v>251</v>
      </c>
      <c r="AF264" s="3">
        <v>252.8</v>
      </c>
      <c r="AG264" s="3">
        <v>252.8</v>
      </c>
      <c r="AH264" s="3">
        <v>290.7</v>
      </c>
      <c r="AI264" s="3">
        <v>297.8</v>
      </c>
      <c r="AJ264" s="3">
        <v>305.2</v>
      </c>
      <c r="AK264" s="3">
        <v>322.7</v>
      </c>
      <c r="AL264" s="3">
        <v>343.1</v>
      </c>
      <c r="AM264" s="3">
        <v>380.9</v>
      </c>
      <c r="AN264" s="3">
        <v>398.1</v>
      </c>
      <c r="AO264" s="3">
        <v>422.3</v>
      </c>
      <c r="AP264" s="3">
        <v>428.8</v>
      </c>
      <c r="AQ264" s="3">
        <v>489.3</v>
      </c>
      <c r="AR264" s="3">
        <v>517.20000000000005</v>
      </c>
      <c r="AS264" s="3">
        <v>518.79999999999995</v>
      </c>
      <c r="AT264" s="3">
        <v>518.79999999999995</v>
      </c>
      <c r="AU264" s="3">
        <v>561.29999999999995</v>
      </c>
      <c r="AV264" s="3">
        <v>576.9</v>
      </c>
      <c r="AW264" s="3">
        <v>585.1</v>
      </c>
      <c r="AX264" s="3">
        <v>586.4</v>
      </c>
      <c r="AY264" s="3">
        <v>600.20000000000005</v>
      </c>
      <c r="AZ264" s="3">
        <v>618</v>
      </c>
      <c r="BA264" s="3">
        <v>631</v>
      </c>
      <c r="BB264" s="3">
        <v>631</v>
      </c>
      <c r="BC264" s="3">
        <v>637.70000000000005</v>
      </c>
      <c r="BD264" s="3">
        <v>667.9</v>
      </c>
      <c r="BE264" s="3">
        <v>686</v>
      </c>
      <c r="BF264" s="3">
        <v>691</v>
      </c>
      <c r="BG264" s="3">
        <v>722.6</v>
      </c>
      <c r="BH264" s="3">
        <v>741.9</v>
      </c>
      <c r="BI264" s="3">
        <v>753.2</v>
      </c>
      <c r="BJ264" s="3">
        <v>760.1</v>
      </c>
      <c r="BK264" s="3">
        <v>842.1</v>
      </c>
      <c r="BL264" s="3">
        <v>1109.8</v>
      </c>
      <c r="BM264" s="3">
        <v>924.2</v>
      </c>
      <c r="BN264" s="3">
        <v>1222</v>
      </c>
      <c r="BO264" s="3">
        <v>1026.2</v>
      </c>
      <c r="BP264" s="3">
        <v>1055.2</v>
      </c>
      <c r="BQ264" s="3">
        <v>1400.4</v>
      </c>
      <c r="BR264" s="3">
        <v>1503.1</v>
      </c>
      <c r="BS264" s="3">
        <v>1746.4</v>
      </c>
      <c r="BT264" s="3">
        <v>1874.6</v>
      </c>
      <c r="BU264" s="3">
        <v>2367.6</v>
      </c>
      <c r="BV264" s="3">
        <v>3432.9</v>
      </c>
      <c r="BW264" s="3">
        <v>2949.4</v>
      </c>
      <c r="BX264" s="3">
        <v>3578.5</v>
      </c>
      <c r="BY264" s="3">
        <v>3032.2</v>
      </c>
      <c r="BZ264" s="3">
        <v>3265</v>
      </c>
      <c r="CA264" s="3">
        <v>4733.1000000000004</v>
      </c>
      <c r="CB264" s="3">
        <v>4967.8999999999996</v>
      </c>
      <c r="CC264" s="3">
        <v>5100.3999999999996</v>
      </c>
      <c r="CD264" s="3">
        <v>5238.8999999999996</v>
      </c>
      <c r="CE264" s="3">
        <v>6504.3</v>
      </c>
      <c r="CF264" s="3">
        <v>6726</v>
      </c>
      <c r="CG264" s="3">
        <v>7229.6</v>
      </c>
      <c r="CH264" s="3">
        <v>7633.1</v>
      </c>
      <c r="CI264" s="3">
        <v>7755.2</v>
      </c>
      <c r="CJ264" s="3">
        <v>7878.5</v>
      </c>
      <c r="CK264" s="3">
        <v>9375.4</v>
      </c>
      <c r="CL264" s="3">
        <v>10005.700000000001</v>
      </c>
      <c r="CM264" s="3">
        <v>10714.7</v>
      </c>
      <c r="CN264" s="3">
        <v>10872.3</v>
      </c>
      <c r="CO264" s="3">
        <v>12677.1</v>
      </c>
      <c r="CP264" s="3">
        <v>13209.8</v>
      </c>
      <c r="CQ264" s="3">
        <v>13590.4</v>
      </c>
      <c r="CR264" s="3">
        <v>14732</v>
      </c>
      <c r="CS264" s="3">
        <v>14927.7</v>
      </c>
      <c r="CT264" s="3">
        <v>15188.6</v>
      </c>
    </row>
    <row r="265" spans="1:98">
      <c r="A265" s="4" t="s">
        <v>361</v>
      </c>
      <c r="B265" s="5">
        <v>100</v>
      </c>
      <c r="C265" s="5">
        <v>109</v>
      </c>
      <c r="D265" s="5">
        <v>112.8</v>
      </c>
      <c r="E265" s="5">
        <v>114.9</v>
      </c>
      <c r="F265" s="5">
        <v>117</v>
      </c>
      <c r="G265" s="5">
        <v>133.4</v>
      </c>
      <c r="H265" s="5">
        <v>137.1</v>
      </c>
      <c r="I265" s="5">
        <v>139.80000000000001</v>
      </c>
      <c r="J265" s="5">
        <v>139.80000000000001</v>
      </c>
      <c r="K265" s="5">
        <v>147.80000000000001</v>
      </c>
      <c r="L265" s="5">
        <v>149.9</v>
      </c>
      <c r="M265" s="5">
        <v>152.5</v>
      </c>
      <c r="N265" s="5">
        <v>153.30000000000001</v>
      </c>
      <c r="O265" s="5">
        <v>166.8</v>
      </c>
      <c r="P265" s="5">
        <v>170.5</v>
      </c>
      <c r="Q265" s="5">
        <v>171.4</v>
      </c>
      <c r="R265" s="5">
        <v>171.7</v>
      </c>
      <c r="S265" s="5">
        <v>189.7</v>
      </c>
      <c r="T265" s="5">
        <v>192.2</v>
      </c>
      <c r="U265" s="5">
        <v>198.6</v>
      </c>
      <c r="V265" s="5">
        <v>203</v>
      </c>
      <c r="W265" s="5">
        <v>226</v>
      </c>
      <c r="X265" s="5">
        <v>228.4</v>
      </c>
      <c r="Y265" s="5">
        <v>233.1</v>
      </c>
      <c r="Z265" s="5">
        <v>234.3</v>
      </c>
      <c r="AA265" s="5">
        <v>251.6</v>
      </c>
      <c r="AB265" s="5">
        <v>255.7</v>
      </c>
      <c r="AC265" s="5">
        <v>259.39999999999998</v>
      </c>
      <c r="AD265" s="5">
        <v>264.5</v>
      </c>
      <c r="AE265" s="5">
        <v>283.5</v>
      </c>
      <c r="AF265" s="5">
        <v>285.5</v>
      </c>
      <c r="AG265" s="5">
        <v>290.89999999999998</v>
      </c>
      <c r="AH265" s="5">
        <v>302.10000000000002</v>
      </c>
      <c r="AI265" s="5">
        <v>323.10000000000002</v>
      </c>
      <c r="AJ265" s="5">
        <v>329.7</v>
      </c>
      <c r="AK265" s="5">
        <v>337.1</v>
      </c>
      <c r="AL265" s="5">
        <v>342.6</v>
      </c>
      <c r="AM265" s="5">
        <v>380.3</v>
      </c>
      <c r="AN265" s="5">
        <v>399.9</v>
      </c>
      <c r="AO265" s="5">
        <v>420.3</v>
      </c>
      <c r="AP265" s="5">
        <v>429.7</v>
      </c>
      <c r="AQ265" s="5">
        <v>486.1</v>
      </c>
      <c r="AR265" s="5">
        <v>495.3</v>
      </c>
      <c r="AS265" s="5">
        <v>505.7</v>
      </c>
      <c r="AT265" s="5">
        <v>517</v>
      </c>
      <c r="AU265" s="5">
        <v>599.70000000000005</v>
      </c>
      <c r="AV265" s="5">
        <v>610.20000000000005</v>
      </c>
      <c r="AW265" s="5">
        <v>619.6</v>
      </c>
      <c r="AX265" s="5">
        <v>629.20000000000005</v>
      </c>
      <c r="AY265" s="5">
        <v>694.3</v>
      </c>
      <c r="AZ265" s="5">
        <v>700.2</v>
      </c>
      <c r="BA265" s="5">
        <v>705.3</v>
      </c>
      <c r="BB265" s="5">
        <v>710.7</v>
      </c>
      <c r="BC265" s="5">
        <v>768.3</v>
      </c>
      <c r="BD265" s="5">
        <v>775.4</v>
      </c>
      <c r="BE265" s="5">
        <v>782.5</v>
      </c>
      <c r="BF265" s="5">
        <v>789.6</v>
      </c>
      <c r="BG265" s="5">
        <v>859.5</v>
      </c>
      <c r="BH265" s="5">
        <v>863.8</v>
      </c>
      <c r="BI265" s="5">
        <v>876.4</v>
      </c>
      <c r="BJ265" s="5">
        <v>884.3</v>
      </c>
      <c r="BK265" s="5">
        <v>1015.2</v>
      </c>
      <c r="BL265" s="5">
        <v>1097.3</v>
      </c>
      <c r="BM265" s="5">
        <v>1061.2</v>
      </c>
      <c r="BN265" s="5">
        <v>1125.5999999999999</v>
      </c>
      <c r="BO265" s="5">
        <v>1070.9000000000001</v>
      </c>
      <c r="BP265" s="5">
        <v>1080.2</v>
      </c>
      <c r="BQ265" s="5">
        <v>1371.5</v>
      </c>
      <c r="BR265" s="5">
        <v>1432.8</v>
      </c>
      <c r="BS265" s="5">
        <v>1459.2</v>
      </c>
      <c r="BT265" s="5">
        <v>1493.5</v>
      </c>
      <c r="BU265" s="5">
        <v>1823.6</v>
      </c>
      <c r="BV265" s="5">
        <v>2235.8000000000002</v>
      </c>
      <c r="BW265" s="5">
        <v>1992.3</v>
      </c>
      <c r="BX265" s="5">
        <v>2347.8000000000002</v>
      </c>
      <c r="BY265" s="5">
        <v>2005.8</v>
      </c>
      <c r="BZ265" s="5">
        <v>2035.6</v>
      </c>
      <c r="CA265" s="5">
        <v>3082.7</v>
      </c>
      <c r="CB265" s="5">
        <v>3228.2</v>
      </c>
      <c r="CC265" s="5">
        <v>3235.3</v>
      </c>
      <c r="CD265" s="5">
        <v>3251.7</v>
      </c>
      <c r="CE265" s="5">
        <v>4227.2</v>
      </c>
      <c r="CF265" s="5">
        <v>4308.5</v>
      </c>
      <c r="CG265" s="5">
        <v>4578.3999999999996</v>
      </c>
      <c r="CH265" s="5">
        <v>4747.5</v>
      </c>
      <c r="CI265" s="5">
        <v>4747.5</v>
      </c>
      <c r="CJ265" s="5">
        <v>4747.5</v>
      </c>
      <c r="CK265" s="5">
        <v>5867.9</v>
      </c>
      <c r="CL265" s="5">
        <v>6067.3</v>
      </c>
      <c r="CM265" s="5">
        <v>6224</v>
      </c>
      <c r="CN265" s="5">
        <v>6385.4</v>
      </c>
      <c r="CO265" s="5">
        <v>7949.8</v>
      </c>
      <c r="CP265" s="5">
        <v>8262.7000000000007</v>
      </c>
      <c r="CQ265" s="5">
        <v>8275.5</v>
      </c>
      <c r="CR265" s="5">
        <v>8620.2999999999993</v>
      </c>
      <c r="CS265" s="5">
        <v>8696.9</v>
      </c>
      <c r="CT265" s="5">
        <v>8773.5</v>
      </c>
    </row>
    <row r="266" spans="1:98">
      <c r="A266" s="2" t="s">
        <v>362</v>
      </c>
      <c r="B266" s="3">
        <v>100</v>
      </c>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v>460</v>
      </c>
      <c r="AQ266" s="3">
        <v>460</v>
      </c>
      <c r="AR266" s="3">
        <v>460</v>
      </c>
      <c r="AS266" s="3">
        <v>478.4</v>
      </c>
      <c r="AT266" s="3">
        <v>487.6</v>
      </c>
      <c r="AU266" s="3">
        <v>518.79999999999995</v>
      </c>
      <c r="AV266" s="3">
        <v>518.79999999999995</v>
      </c>
      <c r="AW266" s="3">
        <v>518.79999999999995</v>
      </c>
      <c r="AX266" s="3">
        <v>518.79999999999995</v>
      </c>
      <c r="AY266" s="3">
        <v>485.6</v>
      </c>
      <c r="AZ266" s="3">
        <v>486.1</v>
      </c>
      <c r="BA266" s="3">
        <v>421.2</v>
      </c>
      <c r="BB266" s="3">
        <v>421.2</v>
      </c>
      <c r="BC266" s="3">
        <v>421.2</v>
      </c>
      <c r="BD266" s="3">
        <v>421.2</v>
      </c>
      <c r="BE266" s="3">
        <v>395.9</v>
      </c>
      <c r="BF266" s="3">
        <v>395.9</v>
      </c>
      <c r="BG266" s="3">
        <v>417.2</v>
      </c>
      <c r="BH266" s="3">
        <v>417.2</v>
      </c>
      <c r="BI266" s="3">
        <v>450.8</v>
      </c>
      <c r="BJ266" s="3">
        <v>508.3</v>
      </c>
      <c r="BK266" s="3">
        <v>655.7</v>
      </c>
      <c r="BL266" s="3">
        <v>1125.0999999999999</v>
      </c>
      <c r="BM266" s="3">
        <v>853.9</v>
      </c>
      <c r="BN266" s="3">
        <v>1129.3</v>
      </c>
      <c r="BO266" s="3">
        <v>965.7</v>
      </c>
      <c r="BP266" s="3">
        <v>1118.2</v>
      </c>
      <c r="BQ266" s="3">
        <v>1242.2</v>
      </c>
      <c r="BR266" s="3">
        <v>1129.3</v>
      </c>
      <c r="BS266" s="3">
        <v>1240</v>
      </c>
      <c r="BT266" s="3">
        <v>1626.2</v>
      </c>
      <c r="BU266" s="3">
        <v>1853.8</v>
      </c>
      <c r="BV266" s="3">
        <v>3252.4</v>
      </c>
      <c r="BW266" s="3">
        <v>2219.6999999999998</v>
      </c>
      <c r="BX266" s="3">
        <v>3171.1</v>
      </c>
      <c r="BY266" s="3">
        <v>2333.6</v>
      </c>
      <c r="BZ266" s="3">
        <v>2445.8000000000002</v>
      </c>
      <c r="CA266" s="3">
        <v>3361.4</v>
      </c>
      <c r="CB266" s="3">
        <v>3615.1</v>
      </c>
      <c r="CC266" s="3">
        <v>3821.2</v>
      </c>
      <c r="CD266" s="3">
        <v>4027.3</v>
      </c>
      <c r="CE266" s="3">
        <v>4031.3</v>
      </c>
      <c r="CF266" s="3">
        <v>4067.6</v>
      </c>
      <c r="CG266" s="3">
        <v>4120</v>
      </c>
      <c r="CH266" s="3">
        <v>4269</v>
      </c>
      <c r="CI266" s="3">
        <v>4470.3</v>
      </c>
      <c r="CJ266" s="3">
        <v>4712</v>
      </c>
      <c r="CK266" s="3">
        <v>5472.9</v>
      </c>
      <c r="CL266" s="3">
        <v>6465.8</v>
      </c>
      <c r="CM266" s="3">
        <v>6713.1</v>
      </c>
      <c r="CN266" s="3">
        <v>7055.1</v>
      </c>
      <c r="CO266" s="3">
        <v>7749.1</v>
      </c>
      <c r="CP266" s="3">
        <v>8050.8</v>
      </c>
      <c r="CQ266" s="3">
        <v>8911.2000000000007</v>
      </c>
      <c r="CR266" s="3">
        <v>9178.6</v>
      </c>
      <c r="CS266" s="3">
        <v>9256.2000000000007</v>
      </c>
      <c r="CT266" s="3">
        <v>9682.7000000000007</v>
      </c>
    </row>
    <row r="267" spans="1:98">
      <c r="A267" s="4" t="s">
        <v>363</v>
      </c>
      <c r="B267" s="5">
        <v>100</v>
      </c>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v>470</v>
      </c>
      <c r="AQ267" s="5">
        <v>484.1</v>
      </c>
      <c r="AR267" s="5">
        <v>486</v>
      </c>
      <c r="AS267" s="5">
        <v>520.4</v>
      </c>
      <c r="AT267" s="5">
        <v>554.9</v>
      </c>
      <c r="AU267" s="5">
        <v>599.29999999999995</v>
      </c>
      <c r="AV267" s="5">
        <v>619.29999999999995</v>
      </c>
      <c r="AW267" s="5">
        <v>620.4</v>
      </c>
      <c r="AX267" s="5">
        <v>621.5</v>
      </c>
      <c r="AY267" s="5">
        <v>1218.0999999999999</v>
      </c>
      <c r="AZ267" s="5">
        <v>1230.5999999999999</v>
      </c>
      <c r="BA267" s="5">
        <v>1230.9000000000001</v>
      </c>
      <c r="BB267" s="5">
        <v>1231.2</v>
      </c>
      <c r="BC267" s="5">
        <v>1253.4000000000001</v>
      </c>
      <c r="BD267" s="5">
        <v>1257.0999999999999</v>
      </c>
      <c r="BE267" s="5">
        <v>1329.7</v>
      </c>
      <c r="BF267" s="5">
        <v>1348.2</v>
      </c>
      <c r="BG267" s="5">
        <v>1379.6</v>
      </c>
      <c r="BH267" s="5">
        <v>2021.5</v>
      </c>
      <c r="BI267" s="5">
        <v>2034.2</v>
      </c>
      <c r="BJ267" s="5">
        <v>2038.4</v>
      </c>
      <c r="BK267" s="5">
        <v>2140.3000000000002</v>
      </c>
      <c r="BL267" s="5">
        <v>2335.5</v>
      </c>
      <c r="BM267" s="5">
        <v>2242.1999999999998</v>
      </c>
      <c r="BN267" s="5">
        <v>2347.1</v>
      </c>
      <c r="BO267" s="5">
        <v>2283</v>
      </c>
      <c r="BP267" s="5">
        <v>2323.8000000000002</v>
      </c>
      <c r="BQ267" s="5">
        <v>2628.8</v>
      </c>
      <c r="BR267" s="5">
        <v>2757.1</v>
      </c>
      <c r="BS267" s="5">
        <v>2905.2</v>
      </c>
      <c r="BT267" s="5">
        <v>3053.3</v>
      </c>
      <c r="BU267" s="5">
        <v>3486.8</v>
      </c>
      <c r="BV267" s="5">
        <v>4732.6000000000004</v>
      </c>
      <c r="BW267" s="5">
        <v>3923.1</v>
      </c>
      <c r="BX267" s="5">
        <v>6350</v>
      </c>
      <c r="BY267" s="5">
        <v>4047.8</v>
      </c>
      <c r="BZ267" s="5">
        <v>4309.2</v>
      </c>
      <c r="CA267" s="5">
        <v>7844.4</v>
      </c>
      <c r="CB267" s="5">
        <v>8582.6</v>
      </c>
      <c r="CC267" s="5">
        <v>8583.7999999999993</v>
      </c>
      <c r="CD267" s="5">
        <v>8585</v>
      </c>
      <c r="CE267" s="5">
        <v>11179.7</v>
      </c>
      <c r="CF267" s="5">
        <v>11447.4</v>
      </c>
      <c r="CG267" s="5">
        <v>12019</v>
      </c>
      <c r="CH267" s="5">
        <v>12619</v>
      </c>
      <c r="CI267" s="5">
        <v>12619</v>
      </c>
      <c r="CJ267" s="5">
        <v>12619</v>
      </c>
      <c r="CK267" s="5">
        <v>16404.7</v>
      </c>
      <c r="CL267" s="5">
        <v>16706.2</v>
      </c>
      <c r="CM267" s="5">
        <v>17192.8</v>
      </c>
      <c r="CN267" s="5">
        <v>17527.099999999999</v>
      </c>
      <c r="CO267" s="5">
        <v>21933.4</v>
      </c>
      <c r="CP267" s="5">
        <v>23377.7</v>
      </c>
      <c r="CQ267" s="5">
        <v>23836.9</v>
      </c>
      <c r="CR267" s="5">
        <v>24283.8</v>
      </c>
      <c r="CS267" s="5">
        <v>24441.5</v>
      </c>
      <c r="CT267" s="5">
        <v>24643.1</v>
      </c>
    </row>
    <row r="268" spans="1:98">
      <c r="A268" s="2" t="s">
        <v>364</v>
      </c>
      <c r="B268" s="3">
        <v>100</v>
      </c>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v>600</v>
      </c>
      <c r="BC268" s="3">
        <v>601.79999999999995</v>
      </c>
      <c r="BD268" s="3">
        <v>602.1</v>
      </c>
      <c r="BE268" s="3">
        <v>603.6</v>
      </c>
      <c r="BF268" s="3">
        <v>604.20000000000005</v>
      </c>
      <c r="BG268" s="3">
        <v>634.4</v>
      </c>
      <c r="BH268" s="3">
        <v>664.6</v>
      </c>
      <c r="BI268" s="3">
        <v>688.8</v>
      </c>
      <c r="BJ268" s="3">
        <v>712.9</v>
      </c>
      <c r="BK268" s="3">
        <v>784.2</v>
      </c>
      <c r="BL268" s="3">
        <v>1247.5999999999999</v>
      </c>
      <c r="BM268" s="3">
        <v>969.5</v>
      </c>
      <c r="BN268" s="3">
        <v>1247.5999999999999</v>
      </c>
      <c r="BO268" s="3">
        <v>1133.5</v>
      </c>
      <c r="BP268" s="3">
        <v>1247.5999999999999</v>
      </c>
      <c r="BQ268" s="3">
        <v>1397.3</v>
      </c>
      <c r="BR268" s="3">
        <v>1447.2</v>
      </c>
      <c r="BS268" s="3">
        <v>1497.1</v>
      </c>
      <c r="BT268" s="3">
        <v>1659.3</v>
      </c>
      <c r="BU268" s="3">
        <v>1841.8</v>
      </c>
      <c r="BV268" s="3">
        <v>2571.9</v>
      </c>
      <c r="BW268" s="3">
        <v>2190.3000000000002</v>
      </c>
      <c r="BX268" s="3">
        <v>2654.9</v>
      </c>
      <c r="BY268" s="3">
        <v>2240.1</v>
      </c>
      <c r="BZ268" s="3">
        <v>2505.5</v>
      </c>
      <c r="CA268" s="3">
        <v>2920.4</v>
      </c>
      <c r="CB268" s="3">
        <v>3210.1</v>
      </c>
      <c r="CC268" s="3">
        <v>3608</v>
      </c>
      <c r="CD268" s="3">
        <v>4008.9</v>
      </c>
      <c r="CE268" s="3">
        <v>4650.3</v>
      </c>
      <c r="CF268" s="3">
        <v>4810.7</v>
      </c>
      <c r="CG268" s="3">
        <v>5012</v>
      </c>
      <c r="CH268" s="3">
        <v>5211.6000000000004</v>
      </c>
      <c r="CI268" s="3">
        <v>5412</v>
      </c>
      <c r="CJ268" s="3">
        <v>6053.4</v>
      </c>
      <c r="CK268" s="3">
        <v>6658.7</v>
      </c>
      <c r="CL268" s="3">
        <v>6961.4</v>
      </c>
      <c r="CM268" s="3">
        <v>7264.1</v>
      </c>
      <c r="CN268" s="3">
        <v>7566.8</v>
      </c>
      <c r="CO268" s="3">
        <v>7721.3</v>
      </c>
      <c r="CP268" s="3">
        <v>7918.2</v>
      </c>
      <c r="CQ268" s="3">
        <v>8155.7</v>
      </c>
      <c r="CR268" s="3">
        <v>8235</v>
      </c>
      <c r="CS268" s="3">
        <v>8314.1</v>
      </c>
      <c r="CT268" s="3">
        <v>8393.2999999999993</v>
      </c>
    </row>
    <row r="269" spans="1:98">
      <c r="A269" s="4" t="s">
        <v>365</v>
      </c>
      <c r="B269" s="5">
        <v>100</v>
      </c>
      <c r="C269" s="5">
        <v>111</v>
      </c>
      <c r="D269" s="5">
        <v>116.4</v>
      </c>
      <c r="E269" s="5">
        <v>118.5</v>
      </c>
      <c r="F269" s="5">
        <v>120.6</v>
      </c>
      <c r="G269" s="5">
        <v>148.30000000000001</v>
      </c>
      <c r="H269" s="5">
        <v>153.80000000000001</v>
      </c>
      <c r="I269" s="5">
        <v>157.1</v>
      </c>
      <c r="J269" s="5">
        <v>157.30000000000001</v>
      </c>
      <c r="K269" s="5">
        <v>166.5</v>
      </c>
      <c r="L269" s="5">
        <v>169.5</v>
      </c>
      <c r="M269" s="5">
        <v>174.3</v>
      </c>
      <c r="N269" s="5">
        <v>175.8</v>
      </c>
      <c r="O269" s="5">
        <v>186</v>
      </c>
      <c r="P269" s="5">
        <v>186.8</v>
      </c>
      <c r="Q269" s="5">
        <v>188</v>
      </c>
      <c r="R269" s="5">
        <v>188.4</v>
      </c>
      <c r="S269" s="5">
        <v>203</v>
      </c>
      <c r="T269" s="5">
        <v>205.7</v>
      </c>
      <c r="U269" s="5">
        <v>214.5</v>
      </c>
      <c r="V269" s="5">
        <v>223.5</v>
      </c>
      <c r="W269" s="5">
        <v>242.6</v>
      </c>
      <c r="X269" s="5">
        <v>245.9</v>
      </c>
      <c r="Y269" s="5">
        <v>247</v>
      </c>
      <c r="Z269" s="5">
        <v>247.2</v>
      </c>
      <c r="AA269" s="5">
        <v>255.9</v>
      </c>
      <c r="AB269" s="5">
        <v>261.39999999999998</v>
      </c>
      <c r="AC269" s="5">
        <v>262.2</v>
      </c>
      <c r="AD269" s="5">
        <v>263</v>
      </c>
      <c r="AE269" s="5">
        <v>277.89999999999998</v>
      </c>
      <c r="AF269" s="5">
        <v>279.3</v>
      </c>
      <c r="AG269" s="5">
        <v>279.39999999999998</v>
      </c>
      <c r="AH269" s="5">
        <v>355.3</v>
      </c>
      <c r="AI269" s="5">
        <v>359.3</v>
      </c>
      <c r="AJ269" s="5">
        <v>376.3</v>
      </c>
      <c r="AK269" s="5">
        <v>400.9</v>
      </c>
      <c r="AL269" s="5">
        <v>423</v>
      </c>
      <c r="AM269" s="5">
        <v>457.8</v>
      </c>
      <c r="AN269" s="5">
        <v>488</v>
      </c>
      <c r="AO269" s="5">
        <v>551.9</v>
      </c>
      <c r="AP269" s="5">
        <v>580.4</v>
      </c>
      <c r="AQ269" s="5">
        <v>626.20000000000005</v>
      </c>
      <c r="AR269" s="5">
        <v>643</v>
      </c>
      <c r="AS269" s="5">
        <v>655.8</v>
      </c>
      <c r="AT269" s="5">
        <v>667.2</v>
      </c>
      <c r="AU269" s="5">
        <v>733.1</v>
      </c>
      <c r="AV269" s="5">
        <v>749</v>
      </c>
      <c r="AW269" s="5">
        <v>754.4</v>
      </c>
      <c r="AX269" s="5">
        <v>761</v>
      </c>
      <c r="AY269" s="5">
        <v>810.6</v>
      </c>
      <c r="AZ269" s="5">
        <v>814.4</v>
      </c>
      <c r="BA269" s="5">
        <v>813.8</v>
      </c>
      <c r="BB269" s="5">
        <v>813.9</v>
      </c>
      <c r="BC269" s="5">
        <v>854.3</v>
      </c>
      <c r="BD269" s="5">
        <v>862.2</v>
      </c>
      <c r="BE269" s="5">
        <v>870.2</v>
      </c>
      <c r="BF269" s="5">
        <v>878.1</v>
      </c>
      <c r="BG269" s="5">
        <v>930.3</v>
      </c>
      <c r="BH269" s="5">
        <v>930.5</v>
      </c>
      <c r="BI269" s="5">
        <v>957.1</v>
      </c>
      <c r="BJ269" s="5">
        <v>965.7</v>
      </c>
      <c r="BK269" s="5">
        <v>1068.8</v>
      </c>
      <c r="BL269" s="5">
        <v>1348.5</v>
      </c>
      <c r="BM269" s="5">
        <v>1210.3</v>
      </c>
      <c r="BN269" s="5">
        <v>1364.8</v>
      </c>
      <c r="BO269" s="5">
        <v>1276.9000000000001</v>
      </c>
      <c r="BP269" s="5">
        <v>1341.7</v>
      </c>
      <c r="BQ269" s="5">
        <v>1570.9</v>
      </c>
      <c r="BR269" s="5">
        <v>1661.8</v>
      </c>
      <c r="BS269" s="5">
        <v>1769.7</v>
      </c>
      <c r="BT269" s="5">
        <v>1875.3</v>
      </c>
      <c r="BU269" s="5">
        <v>2247.1</v>
      </c>
      <c r="BV269" s="5">
        <v>3243.6</v>
      </c>
      <c r="BW269" s="5">
        <v>2628.9</v>
      </c>
      <c r="BX269" s="5">
        <v>3447.1</v>
      </c>
      <c r="BY269" s="5">
        <v>2743.1</v>
      </c>
      <c r="BZ269" s="5">
        <v>2982.5</v>
      </c>
      <c r="CA269" s="5">
        <v>4446.8999999999996</v>
      </c>
      <c r="CB269" s="5">
        <v>4829.2</v>
      </c>
      <c r="CC269" s="5">
        <v>4880.5</v>
      </c>
      <c r="CD269" s="5">
        <v>5058.5</v>
      </c>
      <c r="CE269" s="5">
        <v>6273.6</v>
      </c>
      <c r="CF269" s="5">
        <v>6470.5</v>
      </c>
      <c r="CG269" s="5">
        <v>6919.2</v>
      </c>
      <c r="CH269" s="5">
        <v>7353.5</v>
      </c>
      <c r="CI269" s="5">
        <v>7353.5</v>
      </c>
      <c r="CJ269" s="5">
        <v>7353.4</v>
      </c>
      <c r="CK269" s="5">
        <v>8729.6</v>
      </c>
      <c r="CL269" s="5">
        <v>9244.7000000000007</v>
      </c>
      <c r="CM269" s="5">
        <v>9380.9</v>
      </c>
      <c r="CN269" s="5">
        <v>9690.2000000000007</v>
      </c>
      <c r="CO269" s="5">
        <v>11364.7</v>
      </c>
      <c r="CP269" s="5">
        <v>11867.4</v>
      </c>
      <c r="CQ269" s="5">
        <v>12146.7</v>
      </c>
      <c r="CR269" s="5">
        <v>13150.1</v>
      </c>
      <c r="CS269" s="5">
        <v>13320.4</v>
      </c>
      <c r="CT269" s="5">
        <v>13537.5</v>
      </c>
    </row>
    <row r="270" spans="1:98">
      <c r="A270" s="2" t="s">
        <v>366</v>
      </c>
      <c r="B270" s="3">
        <v>100</v>
      </c>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v>500</v>
      </c>
      <c r="AW270" s="3">
        <v>419.9</v>
      </c>
      <c r="AX270" s="3">
        <v>377.1</v>
      </c>
      <c r="AY270" s="3">
        <v>377.8</v>
      </c>
      <c r="AZ270" s="3">
        <v>372.5</v>
      </c>
      <c r="BA270" s="3">
        <v>342.4</v>
      </c>
      <c r="BB270" s="3">
        <v>268.3</v>
      </c>
      <c r="BC270" s="3">
        <v>285.5</v>
      </c>
      <c r="BD270" s="3">
        <v>306.3</v>
      </c>
      <c r="BE270" s="3">
        <v>333.8</v>
      </c>
      <c r="BF270" s="3">
        <v>375.9</v>
      </c>
      <c r="BG270" s="3">
        <v>372.5</v>
      </c>
      <c r="BH270" s="3">
        <v>378.5</v>
      </c>
      <c r="BI270" s="3">
        <v>424.9</v>
      </c>
      <c r="BJ270" s="3">
        <v>498.3</v>
      </c>
      <c r="BK270" s="3">
        <v>513.70000000000005</v>
      </c>
      <c r="BL270" s="3">
        <v>549.1</v>
      </c>
      <c r="BM270" s="3">
        <v>531.70000000000005</v>
      </c>
      <c r="BN270" s="3">
        <v>552.6</v>
      </c>
      <c r="BO270" s="3">
        <v>540.20000000000005</v>
      </c>
      <c r="BP270" s="3">
        <v>548.6</v>
      </c>
      <c r="BQ270" s="3">
        <v>574.70000000000005</v>
      </c>
      <c r="BR270" s="3">
        <v>613.4</v>
      </c>
      <c r="BS270" s="3">
        <v>618</v>
      </c>
      <c r="BT270" s="3">
        <v>624.4</v>
      </c>
      <c r="BU270" s="3">
        <v>657.5</v>
      </c>
      <c r="BV270" s="3">
        <v>749.2</v>
      </c>
      <c r="BW270" s="3">
        <v>691.2</v>
      </c>
      <c r="BX270" s="3">
        <v>768</v>
      </c>
      <c r="BY270" s="3">
        <v>701.8</v>
      </c>
      <c r="BZ270" s="3">
        <v>723.1</v>
      </c>
      <c r="CA270" s="3">
        <v>850.2</v>
      </c>
      <c r="CB270" s="3">
        <v>902.4</v>
      </c>
      <c r="CC270" s="3">
        <v>904.1</v>
      </c>
      <c r="CD270" s="3">
        <v>906.2</v>
      </c>
      <c r="CE270" s="3">
        <v>973</v>
      </c>
      <c r="CF270" s="3">
        <v>983.5</v>
      </c>
      <c r="CG270" s="3">
        <v>987.7</v>
      </c>
      <c r="CH270" s="3">
        <v>1005.9</v>
      </c>
      <c r="CI270" s="3">
        <v>1005.9</v>
      </c>
      <c r="CJ270" s="3">
        <v>1005.9</v>
      </c>
      <c r="CK270" s="3">
        <v>1061.2</v>
      </c>
      <c r="CL270" s="3">
        <v>1076.3</v>
      </c>
      <c r="CM270" s="3">
        <v>1081.8</v>
      </c>
      <c r="CN270" s="3">
        <v>1093.3</v>
      </c>
      <c r="CO270" s="3">
        <v>1169.2</v>
      </c>
      <c r="CP270" s="3">
        <v>1190.5</v>
      </c>
      <c r="CQ270" s="3">
        <v>1191.3</v>
      </c>
      <c r="CR270" s="3">
        <v>1229</v>
      </c>
      <c r="CS270" s="3">
        <v>1235.8</v>
      </c>
      <c r="CT270" s="3">
        <v>1244.3</v>
      </c>
    </row>
    <row r="271" spans="1:98">
      <c r="A271" s="4" t="s">
        <v>367</v>
      </c>
      <c r="B271" s="5">
        <v>100</v>
      </c>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v>1626.2</v>
      </c>
      <c r="BU271" s="5"/>
      <c r="BV271" s="5">
        <v>3415</v>
      </c>
      <c r="BW271" s="5"/>
      <c r="BX271" s="5">
        <v>3658.9</v>
      </c>
      <c r="BY271" s="5"/>
      <c r="BZ271" s="5"/>
      <c r="CA271" s="5">
        <v>4233.3999999999996</v>
      </c>
      <c r="CB271" s="5">
        <v>4766.8</v>
      </c>
      <c r="CC271" s="5">
        <v>4767.8999999999996</v>
      </c>
      <c r="CD271" s="5">
        <v>4769</v>
      </c>
      <c r="CE271" s="5">
        <v>5460.5</v>
      </c>
      <c r="CF271" s="5">
        <v>5800.6</v>
      </c>
      <c r="CG271" s="5">
        <v>6008.9</v>
      </c>
      <c r="CH271" s="5">
        <v>6137.7</v>
      </c>
      <c r="CI271" s="5">
        <v>6271.2</v>
      </c>
      <c r="CJ271" s="5">
        <v>6485.8</v>
      </c>
      <c r="CK271" s="5">
        <v>7813.3</v>
      </c>
      <c r="CL271" s="5">
        <v>8547.9</v>
      </c>
      <c r="CM271" s="5">
        <v>8881.2999999999993</v>
      </c>
      <c r="CN271" s="5">
        <v>9315</v>
      </c>
      <c r="CO271" s="5">
        <v>10149.4</v>
      </c>
      <c r="CP271" s="5">
        <v>10785.2</v>
      </c>
      <c r="CQ271" s="5">
        <v>11787.3</v>
      </c>
      <c r="CR271" s="5">
        <v>12191.9</v>
      </c>
      <c r="CS271" s="5">
        <v>12533.9</v>
      </c>
      <c r="CT271" s="5">
        <v>12830.9</v>
      </c>
    </row>
    <row r="272" spans="1:98">
      <c r="A272" s="2" t="s">
        <v>368</v>
      </c>
      <c r="B272" s="3">
        <v>100</v>
      </c>
      <c r="C272" s="3">
        <v>110.1</v>
      </c>
      <c r="D272" s="3">
        <v>112.7</v>
      </c>
      <c r="E272" s="3">
        <v>114.4</v>
      </c>
      <c r="F272" s="3">
        <v>116</v>
      </c>
      <c r="G272" s="3">
        <v>132.69999999999999</v>
      </c>
      <c r="H272" s="3">
        <v>135.6</v>
      </c>
      <c r="I272" s="3">
        <v>138.30000000000001</v>
      </c>
      <c r="J272" s="3">
        <v>140.19999999999999</v>
      </c>
      <c r="K272" s="3">
        <v>146.1</v>
      </c>
      <c r="L272" s="3">
        <v>147.6</v>
      </c>
      <c r="M272" s="3">
        <v>152.5</v>
      </c>
      <c r="N272" s="3">
        <v>153.69999999999999</v>
      </c>
      <c r="O272" s="3">
        <v>167.7</v>
      </c>
      <c r="P272" s="3">
        <v>168.8</v>
      </c>
      <c r="Q272" s="3">
        <v>172.8</v>
      </c>
      <c r="R272" s="3">
        <v>176.8</v>
      </c>
      <c r="S272" s="3">
        <v>189.7</v>
      </c>
      <c r="T272" s="3">
        <v>198.8</v>
      </c>
      <c r="U272" s="3">
        <v>206.1</v>
      </c>
      <c r="V272" s="3">
        <v>215.1</v>
      </c>
      <c r="W272" s="3">
        <v>236.3</v>
      </c>
      <c r="X272" s="3">
        <v>244.6</v>
      </c>
      <c r="Y272" s="3">
        <v>246.8</v>
      </c>
      <c r="Z272" s="3">
        <v>247.1</v>
      </c>
      <c r="AA272" s="3">
        <v>258.89999999999998</v>
      </c>
      <c r="AB272" s="3">
        <v>261.60000000000002</v>
      </c>
      <c r="AC272" s="3">
        <v>262.7</v>
      </c>
      <c r="AD272" s="3">
        <v>264.8</v>
      </c>
      <c r="AE272" s="3">
        <v>286.7</v>
      </c>
      <c r="AF272" s="3">
        <v>288.10000000000002</v>
      </c>
      <c r="AG272" s="3">
        <v>291.60000000000002</v>
      </c>
      <c r="AH272" s="3">
        <v>326</v>
      </c>
      <c r="AI272" s="3">
        <v>339.1</v>
      </c>
      <c r="AJ272" s="3">
        <v>346.3</v>
      </c>
      <c r="AK272" s="3">
        <v>361.9</v>
      </c>
      <c r="AL272" s="3">
        <v>369.4</v>
      </c>
      <c r="AM272" s="3">
        <v>409.3</v>
      </c>
      <c r="AN272" s="3">
        <v>425.9</v>
      </c>
      <c r="AO272" s="3">
        <v>514.20000000000005</v>
      </c>
      <c r="AP272" s="3">
        <v>525.70000000000005</v>
      </c>
      <c r="AQ272" s="3">
        <v>554.6</v>
      </c>
      <c r="AR272" s="3">
        <v>563.79999999999995</v>
      </c>
      <c r="AS272" s="3">
        <v>588.79999999999995</v>
      </c>
      <c r="AT272" s="3">
        <v>595.6</v>
      </c>
      <c r="AU272" s="3">
        <v>637.5</v>
      </c>
      <c r="AV272" s="3">
        <v>660</v>
      </c>
      <c r="AW272" s="3">
        <v>673</v>
      </c>
      <c r="AX272" s="3">
        <v>677.2</v>
      </c>
      <c r="AY272" s="3">
        <v>709</v>
      </c>
      <c r="AZ272" s="3">
        <v>711.5</v>
      </c>
      <c r="BA272" s="3">
        <v>711.7</v>
      </c>
      <c r="BB272" s="3">
        <v>712.4</v>
      </c>
      <c r="BC272" s="3">
        <v>738.8</v>
      </c>
      <c r="BD272" s="3">
        <v>743.4</v>
      </c>
      <c r="BE272" s="3">
        <v>748.1</v>
      </c>
      <c r="BF272" s="3">
        <v>752.7</v>
      </c>
      <c r="BG272" s="3">
        <v>786.5</v>
      </c>
      <c r="BH272" s="3">
        <v>787.3</v>
      </c>
      <c r="BI272" s="3">
        <v>815.9</v>
      </c>
      <c r="BJ272" s="3">
        <v>820.9</v>
      </c>
      <c r="BK272" s="3">
        <v>886.4</v>
      </c>
      <c r="BL272" s="3">
        <v>1095.9000000000001</v>
      </c>
      <c r="BM272" s="3">
        <v>984.1</v>
      </c>
      <c r="BN272" s="3">
        <v>1103.3</v>
      </c>
      <c r="BO272" s="3">
        <v>1016.8</v>
      </c>
      <c r="BP272" s="3">
        <v>1048.4000000000001</v>
      </c>
      <c r="BQ272" s="3">
        <v>1263.3</v>
      </c>
      <c r="BR272" s="3">
        <v>1321.7</v>
      </c>
      <c r="BS272" s="3">
        <v>1368.1</v>
      </c>
      <c r="BT272" s="3">
        <v>1423.2</v>
      </c>
      <c r="BU272" s="3">
        <v>1743.4</v>
      </c>
      <c r="BV272" s="3">
        <v>2297</v>
      </c>
      <c r="BW272" s="3">
        <v>1955.5</v>
      </c>
      <c r="BX272" s="3">
        <v>2658.5</v>
      </c>
      <c r="BY272" s="3">
        <v>1986.8</v>
      </c>
      <c r="BZ272" s="3">
        <v>2127.6999999999998</v>
      </c>
      <c r="CA272" s="3">
        <v>3428.9</v>
      </c>
      <c r="CB272" s="3">
        <v>3798.2</v>
      </c>
      <c r="CC272" s="3">
        <v>3870.8</v>
      </c>
      <c r="CD272" s="3">
        <v>4110</v>
      </c>
      <c r="CE272" s="3">
        <v>4866.2</v>
      </c>
      <c r="CF272" s="3">
        <v>4969</v>
      </c>
      <c r="CG272" s="3">
        <v>5532.1</v>
      </c>
      <c r="CH272" s="3">
        <v>5762.2</v>
      </c>
      <c r="CI272" s="3">
        <v>5762.2</v>
      </c>
      <c r="CJ272" s="3">
        <v>5762.2</v>
      </c>
      <c r="CK272" s="3">
        <v>6741.8</v>
      </c>
      <c r="CL272" s="3">
        <v>6972.2</v>
      </c>
      <c r="CM272" s="3">
        <v>7462</v>
      </c>
      <c r="CN272" s="3">
        <v>7626.2</v>
      </c>
      <c r="CO272" s="3">
        <v>8956.7000000000007</v>
      </c>
      <c r="CP272" s="3">
        <v>9391.5</v>
      </c>
      <c r="CQ272" s="3">
        <v>10177.4</v>
      </c>
      <c r="CR272" s="3">
        <v>10642.7</v>
      </c>
      <c r="CS272" s="3">
        <v>10726.7</v>
      </c>
      <c r="CT272" s="3">
        <v>10841.1</v>
      </c>
    </row>
    <row r="273" spans="1:98">
      <c r="A273" s="4" t="s">
        <v>369</v>
      </c>
      <c r="B273" s="5">
        <v>100</v>
      </c>
      <c r="C273" s="5">
        <v>108.1</v>
      </c>
      <c r="D273" s="5">
        <v>112</v>
      </c>
      <c r="E273" s="5">
        <v>114.9</v>
      </c>
      <c r="F273" s="5">
        <v>117.9</v>
      </c>
      <c r="G273" s="5">
        <v>138.6</v>
      </c>
      <c r="H273" s="5">
        <v>143.19999999999999</v>
      </c>
      <c r="I273" s="5">
        <v>145.6</v>
      </c>
      <c r="J273" s="5">
        <v>145.6</v>
      </c>
      <c r="K273" s="5">
        <v>154.19999999999999</v>
      </c>
      <c r="L273" s="5">
        <v>157</v>
      </c>
      <c r="M273" s="5">
        <v>161.19999999999999</v>
      </c>
      <c r="N273" s="5">
        <v>162.6</v>
      </c>
      <c r="O273" s="5">
        <v>172.2</v>
      </c>
      <c r="P273" s="5">
        <v>173.1</v>
      </c>
      <c r="Q273" s="5">
        <v>173.8</v>
      </c>
      <c r="R273" s="5">
        <v>173.9</v>
      </c>
      <c r="S273" s="5">
        <v>187.7</v>
      </c>
      <c r="T273" s="5">
        <v>189.7</v>
      </c>
      <c r="U273" s="5">
        <v>197.8</v>
      </c>
      <c r="V273" s="5">
        <v>205.5</v>
      </c>
      <c r="W273" s="5">
        <v>223.6</v>
      </c>
      <c r="X273" s="5">
        <v>226.1</v>
      </c>
      <c r="Y273" s="5">
        <v>227.5</v>
      </c>
      <c r="Z273" s="5">
        <v>227.8</v>
      </c>
      <c r="AA273" s="5">
        <v>236.9</v>
      </c>
      <c r="AB273" s="5">
        <v>241.9</v>
      </c>
      <c r="AC273" s="5">
        <v>243.2</v>
      </c>
      <c r="AD273" s="5">
        <v>244.2</v>
      </c>
      <c r="AE273" s="5">
        <v>258.10000000000002</v>
      </c>
      <c r="AF273" s="5">
        <v>259.39999999999998</v>
      </c>
      <c r="AG273" s="5">
        <v>260</v>
      </c>
      <c r="AH273" s="5">
        <v>336.9</v>
      </c>
      <c r="AI273" s="5">
        <v>342.1</v>
      </c>
      <c r="AJ273" s="5">
        <v>358</v>
      </c>
      <c r="AK273" s="5">
        <v>380.2</v>
      </c>
      <c r="AL273" s="5">
        <v>400.6</v>
      </c>
      <c r="AM273" s="5">
        <v>433.7</v>
      </c>
      <c r="AN273" s="5">
        <v>462.3</v>
      </c>
      <c r="AO273" s="5">
        <v>518</v>
      </c>
      <c r="AP273" s="5">
        <v>544.5</v>
      </c>
      <c r="AQ273" s="5">
        <v>590.4</v>
      </c>
      <c r="AR273" s="5">
        <v>606.29999999999995</v>
      </c>
      <c r="AS273" s="5">
        <v>617.4</v>
      </c>
      <c r="AT273" s="5">
        <v>628.6</v>
      </c>
      <c r="AU273" s="5">
        <v>694.6</v>
      </c>
      <c r="AV273" s="5">
        <v>708.9</v>
      </c>
      <c r="AW273" s="5">
        <v>713.9</v>
      </c>
      <c r="AX273" s="5">
        <v>720.6</v>
      </c>
      <c r="AY273" s="5">
        <v>770.7</v>
      </c>
      <c r="AZ273" s="5">
        <v>774.6</v>
      </c>
      <c r="BA273" s="5">
        <v>774.5</v>
      </c>
      <c r="BB273" s="5">
        <v>775</v>
      </c>
      <c r="BC273" s="5">
        <v>816.2</v>
      </c>
      <c r="BD273" s="5">
        <v>823.9</v>
      </c>
      <c r="BE273" s="5">
        <v>831.7</v>
      </c>
      <c r="BF273" s="5">
        <v>839.4</v>
      </c>
      <c r="BG273" s="5">
        <v>892.2</v>
      </c>
      <c r="BH273" s="5">
        <v>892.7</v>
      </c>
      <c r="BI273" s="5">
        <v>916.6</v>
      </c>
      <c r="BJ273" s="5">
        <v>925</v>
      </c>
      <c r="BK273" s="5">
        <v>1028.7</v>
      </c>
      <c r="BL273" s="5">
        <v>1296.5</v>
      </c>
      <c r="BM273" s="5">
        <v>1158.2</v>
      </c>
      <c r="BN273" s="5">
        <v>1382.2</v>
      </c>
      <c r="BO273" s="5">
        <v>1219</v>
      </c>
      <c r="BP273" s="5">
        <v>1278.0999999999999</v>
      </c>
      <c r="BQ273" s="5">
        <v>1597.3</v>
      </c>
      <c r="BR273" s="5">
        <v>1705</v>
      </c>
      <c r="BS273" s="5">
        <v>1796</v>
      </c>
      <c r="BT273" s="5">
        <v>1900.9</v>
      </c>
      <c r="BU273" s="5">
        <v>2248.9</v>
      </c>
      <c r="BV273" s="5">
        <v>3269.7</v>
      </c>
      <c r="BW273" s="5">
        <v>2615.5</v>
      </c>
      <c r="BX273" s="5">
        <v>3455.9</v>
      </c>
      <c r="BY273" s="5">
        <v>2727</v>
      </c>
      <c r="BZ273" s="5">
        <v>2960.6</v>
      </c>
      <c r="CA273" s="5">
        <v>4463.2</v>
      </c>
      <c r="CB273" s="5">
        <v>4832.2</v>
      </c>
      <c r="CC273" s="5">
        <v>4877.8</v>
      </c>
      <c r="CD273" s="5">
        <v>5040.7</v>
      </c>
      <c r="CE273" s="5">
        <v>6284.9</v>
      </c>
      <c r="CF273" s="5">
        <v>6481.7</v>
      </c>
      <c r="CG273" s="5">
        <v>6907</v>
      </c>
      <c r="CH273" s="5">
        <v>7344.7</v>
      </c>
      <c r="CI273" s="5">
        <v>7344.7</v>
      </c>
      <c r="CJ273" s="5">
        <v>7344.8</v>
      </c>
      <c r="CK273" s="5">
        <v>8830.7000000000007</v>
      </c>
      <c r="CL273" s="5">
        <v>9263.1</v>
      </c>
      <c r="CM273" s="5">
        <v>9374.7999999999993</v>
      </c>
      <c r="CN273" s="5">
        <v>9689.6</v>
      </c>
      <c r="CO273" s="5">
        <v>11643.5</v>
      </c>
      <c r="CP273" s="5">
        <v>12245.5</v>
      </c>
      <c r="CQ273" s="5">
        <v>12246.2</v>
      </c>
      <c r="CR273" s="5">
        <v>13121.8</v>
      </c>
      <c r="CS273" s="5">
        <v>13292</v>
      </c>
      <c r="CT273" s="5">
        <v>13508.4</v>
      </c>
    </row>
    <row r="274" spans="1:98">
      <c r="A274" s="2" t="s">
        <v>370</v>
      </c>
      <c r="B274" s="3">
        <v>100</v>
      </c>
      <c r="C274" s="3">
        <v>110.3</v>
      </c>
      <c r="D274" s="3">
        <v>112.9</v>
      </c>
      <c r="E274" s="3">
        <v>117.1</v>
      </c>
      <c r="F274" s="3">
        <v>122.8</v>
      </c>
      <c r="G274" s="3">
        <v>136.1</v>
      </c>
      <c r="H274" s="3">
        <v>138.69999999999999</v>
      </c>
      <c r="I274" s="3">
        <v>142.4</v>
      </c>
      <c r="J274" s="3">
        <v>142.6</v>
      </c>
      <c r="K274" s="3">
        <v>150.4</v>
      </c>
      <c r="L274" s="3">
        <v>153.4</v>
      </c>
      <c r="M274" s="3">
        <v>155.4</v>
      </c>
      <c r="N274" s="3">
        <v>156.1</v>
      </c>
      <c r="O274" s="3">
        <v>166.4</v>
      </c>
      <c r="P274" s="3">
        <v>167.5</v>
      </c>
      <c r="Q274" s="3">
        <v>174.3</v>
      </c>
      <c r="R274" s="3">
        <v>175.3</v>
      </c>
      <c r="S274" s="3">
        <v>191.3</v>
      </c>
      <c r="T274" s="3">
        <v>194.1</v>
      </c>
      <c r="U274" s="3">
        <v>199.8</v>
      </c>
      <c r="V274" s="3">
        <v>205.3</v>
      </c>
      <c r="W274" s="3">
        <v>227</v>
      </c>
      <c r="X274" s="3">
        <v>236.5</v>
      </c>
      <c r="Y274" s="3">
        <v>238.4</v>
      </c>
      <c r="Z274" s="3">
        <v>239.3</v>
      </c>
      <c r="AA274" s="3">
        <v>250.8</v>
      </c>
      <c r="AB274" s="3">
        <v>252.2</v>
      </c>
      <c r="AC274" s="3">
        <v>255.2</v>
      </c>
      <c r="AD274" s="3">
        <v>257.7</v>
      </c>
      <c r="AE274" s="3">
        <v>272.5</v>
      </c>
      <c r="AF274" s="3">
        <v>275.10000000000002</v>
      </c>
      <c r="AG274" s="3">
        <v>279.3</v>
      </c>
      <c r="AH274" s="3">
        <v>291</v>
      </c>
      <c r="AI274" s="3">
        <v>305.60000000000002</v>
      </c>
      <c r="AJ274" s="3">
        <v>316.2</v>
      </c>
      <c r="AK274" s="3">
        <v>326.89999999999998</v>
      </c>
      <c r="AL274" s="3">
        <v>331.5</v>
      </c>
      <c r="AM274" s="3">
        <v>364.6</v>
      </c>
      <c r="AN274" s="3">
        <v>383</v>
      </c>
      <c r="AO274" s="3">
        <v>410.8</v>
      </c>
      <c r="AP274" s="3">
        <v>417.1</v>
      </c>
      <c r="AQ274" s="3">
        <v>460.1</v>
      </c>
      <c r="AR274" s="3">
        <v>474.1</v>
      </c>
      <c r="AS274" s="3">
        <v>497.1</v>
      </c>
      <c r="AT274" s="3">
        <v>504.1</v>
      </c>
      <c r="AU274" s="3">
        <v>562.5</v>
      </c>
      <c r="AV274" s="3">
        <v>580.6</v>
      </c>
      <c r="AW274" s="3">
        <v>578.70000000000005</v>
      </c>
      <c r="AX274" s="3">
        <v>584.1</v>
      </c>
      <c r="AY274" s="3">
        <v>627.4</v>
      </c>
      <c r="AZ274" s="3">
        <v>629.1</v>
      </c>
      <c r="BA274" s="3">
        <v>630.79999999999995</v>
      </c>
      <c r="BB274" s="3">
        <v>633.79999999999995</v>
      </c>
      <c r="BC274" s="3">
        <v>689.4</v>
      </c>
      <c r="BD274" s="3">
        <v>696.4</v>
      </c>
      <c r="BE274" s="3">
        <v>709.6</v>
      </c>
      <c r="BF274" s="3">
        <v>715.9</v>
      </c>
      <c r="BG274" s="3">
        <v>773.8</v>
      </c>
      <c r="BH274" s="3">
        <v>778.1</v>
      </c>
      <c r="BI274" s="3">
        <v>788.2</v>
      </c>
      <c r="BJ274" s="3">
        <v>796.5</v>
      </c>
      <c r="BK274" s="3">
        <v>905.4</v>
      </c>
      <c r="BL274" s="3">
        <v>1022.8</v>
      </c>
      <c r="BM274" s="3">
        <v>942.6</v>
      </c>
      <c r="BN274" s="3">
        <v>1042</v>
      </c>
      <c r="BO274" s="3">
        <v>968</v>
      </c>
      <c r="BP274" s="3">
        <v>982.8</v>
      </c>
      <c r="BQ274" s="3">
        <v>1237</v>
      </c>
      <c r="BR274" s="3">
        <v>1312.2</v>
      </c>
      <c r="BS274" s="3">
        <v>1346.1</v>
      </c>
      <c r="BT274" s="3">
        <v>1388.3</v>
      </c>
      <c r="BU274" s="3">
        <v>1692</v>
      </c>
      <c r="BV274" s="3">
        <v>2120.5</v>
      </c>
      <c r="BW274" s="3">
        <v>1862.8</v>
      </c>
      <c r="BX274" s="3">
        <v>2256.5</v>
      </c>
      <c r="BY274" s="3">
        <v>1872.4</v>
      </c>
      <c r="BZ274" s="3">
        <v>1923.6</v>
      </c>
      <c r="CA274" s="3">
        <v>2897.1</v>
      </c>
      <c r="CB274" s="3">
        <v>3192.8</v>
      </c>
      <c r="CC274" s="3">
        <v>3150.6</v>
      </c>
      <c r="CD274" s="3">
        <v>3203.7</v>
      </c>
      <c r="CE274" s="3">
        <v>3983.3</v>
      </c>
      <c r="CF274" s="3">
        <v>4099.1000000000004</v>
      </c>
      <c r="CG274" s="3">
        <v>4363.3</v>
      </c>
      <c r="CH274" s="3">
        <v>4596.3999999999996</v>
      </c>
      <c r="CI274" s="3">
        <v>4612.8</v>
      </c>
      <c r="CJ274" s="3">
        <v>4835.6000000000004</v>
      </c>
      <c r="CK274" s="3">
        <v>5669.7</v>
      </c>
      <c r="CL274" s="3">
        <v>5908.8</v>
      </c>
      <c r="CM274" s="3">
        <v>6160.7</v>
      </c>
      <c r="CN274" s="3">
        <v>6274.4</v>
      </c>
      <c r="CO274" s="3">
        <v>7618.8</v>
      </c>
      <c r="CP274" s="3">
        <v>7895.1</v>
      </c>
      <c r="CQ274" s="3">
        <v>8183</v>
      </c>
      <c r="CR274" s="3">
        <v>8516.6</v>
      </c>
      <c r="CS274" s="3">
        <v>8722.7000000000007</v>
      </c>
      <c r="CT274" s="3">
        <v>8884.9</v>
      </c>
    </row>
    <row r="275" spans="1:98">
      <c r="A275" s="4" t="s">
        <v>371</v>
      </c>
      <c r="B275" s="5">
        <v>100</v>
      </c>
      <c r="C275" s="5">
        <v>110.4</v>
      </c>
      <c r="D275" s="5">
        <v>113.2</v>
      </c>
      <c r="E275" s="5">
        <v>120.4</v>
      </c>
      <c r="F275" s="5">
        <v>130.80000000000001</v>
      </c>
      <c r="G275" s="5">
        <v>141.80000000000001</v>
      </c>
      <c r="H275" s="5">
        <v>144.5</v>
      </c>
      <c r="I275" s="5">
        <v>146.30000000000001</v>
      </c>
      <c r="J275" s="5">
        <v>146.30000000000001</v>
      </c>
      <c r="K275" s="5">
        <v>155.1</v>
      </c>
      <c r="L275" s="5">
        <v>160</v>
      </c>
      <c r="M275" s="5">
        <v>161.69999999999999</v>
      </c>
      <c r="N275" s="5">
        <v>162.19999999999999</v>
      </c>
      <c r="O275" s="5">
        <v>171.1</v>
      </c>
      <c r="P275" s="5">
        <v>172.2</v>
      </c>
      <c r="Q275" s="5">
        <v>173.6</v>
      </c>
      <c r="R275" s="5">
        <v>173.8</v>
      </c>
      <c r="S275" s="5">
        <v>186.5</v>
      </c>
      <c r="T275" s="5">
        <v>188.2</v>
      </c>
      <c r="U275" s="5">
        <v>191.7</v>
      </c>
      <c r="V275" s="5">
        <v>195</v>
      </c>
      <c r="W275" s="5">
        <v>210.3</v>
      </c>
      <c r="X275" s="5">
        <v>227.6</v>
      </c>
      <c r="Y275" s="5">
        <v>233.7</v>
      </c>
      <c r="Z275" s="5">
        <v>234.7</v>
      </c>
      <c r="AA275" s="5">
        <v>246.4</v>
      </c>
      <c r="AB275" s="5">
        <v>248.3</v>
      </c>
      <c r="AC275" s="5">
        <v>252</v>
      </c>
      <c r="AD275" s="5">
        <v>254.6</v>
      </c>
      <c r="AE275" s="5">
        <v>268.10000000000002</v>
      </c>
      <c r="AF275" s="5">
        <v>269.7</v>
      </c>
      <c r="AG275" s="5">
        <v>272.2</v>
      </c>
      <c r="AH275" s="5">
        <v>285.39999999999998</v>
      </c>
      <c r="AI275" s="5">
        <v>299.2</v>
      </c>
      <c r="AJ275" s="5">
        <v>315.10000000000002</v>
      </c>
      <c r="AK275" s="5">
        <v>321.10000000000002</v>
      </c>
      <c r="AL275" s="5">
        <v>325.2</v>
      </c>
      <c r="AM275" s="5">
        <v>350.4</v>
      </c>
      <c r="AN275" s="5">
        <v>361.1</v>
      </c>
      <c r="AO275" s="5">
        <v>400.3</v>
      </c>
      <c r="AP275" s="5">
        <v>406.9</v>
      </c>
      <c r="AQ275" s="5">
        <v>454.2</v>
      </c>
      <c r="AR275" s="5">
        <v>473.1</v>
      </c>
      <c r="AS275" s="5">
        <v>480</v>
      </c>
      <c r="AT275" s="5">
        <v>488.1</v>
      </c>
      <c r="AU275" s="5">
        <v>541.5</v>
      </c>
      <c r="AV275" s="5">
        <v>573</v>
      </c>
      <c r="AW275" s="5">
        <v>566</v>
      </c>
      <c r="AX275" s="5">
        <v>572.20000000000005</v>
      </c>
      <c r="AY275" s="5">
        <v>614.79999999999995</v>
      </c>
      <c r="AZ275" s="5">
        <v>618.6</v>
      </c>
      <c r="BA275" s="5">
        <v>615.79999999999995</v>
      </c>
      <c r="BB275" s="5">
        <v>619.29999999999995</v>
      </c>
      <c r="BC275" s="5">
        <v>658</v>
      </c>
      <c r="BD275" s="5">
        <v>666.7</v>
      </c>
      <c r="BE275" s="5">
        <v>689.8</v>
      </c>
      <c r="BF275" s="5">
        <v>699</v>
      </c>
      <c r="BG275" s="5">
        <v>756.2</v>
      </c>
      <c r="BH275" s="5">
        <v>760.6</v>
      </c>
      <c r="BI275" s="5">
        <v>767.8</v>
      </c>
      <c r="BJ275" s="5">
        <v>773</v>
      </c>
      <c r="BK275" s="5">
        <v>883.6</v>
      </c>
      <c r="BL275" s="5">
        <v>978.8</v>
      </c>
      <c r="BM275" s="5">
        <v>914.9</v>
      </c>
      <c r="BN275" s="5">
        <v>995.1</v>
      </c>
      <c r="BO275" s="5">
        <v>947.1</v>
      </c>
      <c r="BP275" s="5">
        <v>954.5</v>
      </c>
      <c r="BQ275" s="5">
        <v>1153.0999999999999</v>
      </c>
      <c r="BR275" s="5">
        <v>1263.9000000000001</v>
      </c>
      <c r="BS275" s="5">
        <v>1306.3</v>
      </c>
      <c r="BT275" s="5">
        <v>1331.6</v>
      </c>
      <c r="BU275" s="5">
        <v>1552.3</v>
      </c>
      <c r="BV275" s="5">
        <v>1973.2</v>
      </c>
      <c r="BW275" s="5">
        <v>1723.8</v>
      </c>
      <c r="BX275" s="5">
        <v>2052</v>
      </c>
      <c r="BY275" s="5">
        <v>1733.2</v>
      </c>
      <c r="BZ275" s="5">
        <v>1766.7</v>
      </c>
      <c r="CA275" s="5">
        <v>2673.4</v>
      </c>
      <c r="CB275" s="5">
        <v>3075.7</v>
      </c>
      <c r="CC275" s="5">
        <v>2948.5</v>
      </c>
      <c r="CD275" s="5">
        <v>3010.7</v>
      </c>
      <c r="CE275" s="5">
        <v>3788.5</v>
      </c>
      <c r="CF275" s="5">
        <v>3965</v>
      </c>
      <c r="CG275" s="5">
        <v>4057</v>
      </c>
      <c r="CH275" s="5">
        <v>4231.1000000000004</v>
      </c>
      <c r="CI275" s="5">
        <v>4246.7</v>
      </c>
      <c r="CJ275" s="5">
        <v>4504.6000000000004</v>
      </c>
      <c r="CK275" s="5">
        <v>5327.7</v>
      </c>
      <c r="CL275" s="5">
        <v>5687.8</v>
      </c>
      <c r="CM275" s="5">
        <v>5929.6</v>
      </c>
      <c r="CN275" s="5">
        <v>6038.9</v>
      </c>
      <c r="CO275" s="5">
        <v>7224</v>
      </c>
      <c r="CP275" s="5">
        <v>8029.4</v>
      </c>
      <c r="CQ275" s="5">
        <v>8106.8</v>
      </c>
      <c r="CR275" s="5">
        <v>8427</v>
      </c>
      <c r="CS275" s="5">
        <v>8657.4</v>
      </c>
      <c r="CT275" s="5">
        <v>8909.4</v>
      </c>
    </row>
    <row r="276" spans="1:98">
      <c r="A276" s="2" t="s">
        <v>372</v>
      </c>
      <c r="B276" s="3">
        <v>100</v>
      </c>
      <c r="C276" s="3">
        <v>105.2</v>
      </c>
      <c r="D276" s="3">
        <v>105.2</v>
      </c>
      <c r="E276" s="3">
        <v>106.5</v>
      </c>
      <c r="F276" s="3">
        <v>110.9</v>
      </c>
      <c r="G276" s="3">
        <v>128.30000000000001</v>
      </c>
      <c r="H276" s="3">
        <v>132.6</v>
      </c>
      <c r="I276" s="3">
        <v>139.9</v>
      </c>
      <c r="J276" s="3">
        <v>138.69999999999999</v>
      </c>
      <c r="K276" s="3">
        <v>142</v>
      </c>
      <c r="L276" s="3">
        <v>140.6</v>
      </c>
      <c r="M276" s="3">
        <v>142.6</v>
      </c>
      <c r="N276" s="3">
        <v>141.69999999999999</v>
      </c>
      <c r="O276" s="3">
        <v>152.9</v>
      </c>
      <c r="P276" s="3">
        <v>157.30000000000001</v>
      </c>
      <c r="Q276" s="3">
        <v>164.1</v>
      </c>
      <c r="R276" s="3">
        <v>166.4</v>
      </c>
      <c r="S276" s="3">
        <v>188</v>
      </c>
      <c r="T276" s="3">
        <v>190.3</v>
      </c>
      <c r="U276" s="3">
        <v>200.3</v>
      </c>
      <c r="V276" s="3">
        <v>207.7</v>
      </c>
      <c r="W276" s="3">
        <v>230.8</v>
      </c>
      <c r="X276" s="3">
        <v>239.1</v>
      </c>
      <c r="Y276" s="3">
        <v>227.2</v>
      </c>
      <c r="Z276" s="3">
        <v>209.5</v>
      </c>
      <c r="AA276" s="3">
        <v>213.5</v>
      </c>
      <c r="AB276" s="3">
        <v>219.1</v>
      </c>
      <c r="AC276" s="3">
        <v>219.9</v>
      </c>
      <c r="AD276" s="3">
        <v>222.6</v>
      </c>
      <c r="AE276" s="3">
        <v>243.5</v>
      </c>
      <c r="AF276" s="3">
        <v>246.7</v>
      </c>
      <c r="AG276" s="3">
        <v>254.4</v>
      </c>
      <c r="AH276" s="3">
        <v>259.39999999999998</v>
      </c>
      <c r="AI276" s="3">
        <v>274.39999999999998</v>
      </c>
      <c r="AJ276" s="3">
        <v>281.7</v>
      </c>
      <c r="AK276" s="3">
        <v>293.2</v>
      </c>
      <c r="AL276" s="3">
        <v>312.60000000000002</v>
      </c>
      <c r="AM276" s="3">
        <v>336.9</v>
      </c>
      <c r="AN276" s="3">
        <v>374.2</v>
      </c>
      <c r="AO276" s="3">
        <v>409.1</v>
      </c>
      <c r="AP276" s="3">
        <v>420.8</v>
      </c>
      <c r="AQ276" s="3">
        <v>447.2</v>
      </c>
      <c r="AR276" s="3">
        <v>450</v>
      </c>
      <c r="AS276" s="3">
        <v>458.9</v>
      </c>
      <c r="AT276" s="3">
        <v>461</v>
      </c>
      <c r="AU276" s="3">
        <v>511.3</v>
      </c>
      <c r="AV276" s="3">
        <v>511.2</v>
      </c>
      <c r="AW276" s="3">
        <v>515.70000000000005</v>
      </c>
      <c r="AX276" s="3">
        <v>508</v>
      </c>
      <c r="AY276" s="3">
        <v>522.5</v>
      </c>
      <c r="AZ276" s="3">
        <v>523.4</v>
      </c>
      <c r="BA276" s="3">
        <v>519</v>
      </c>
      <c r="BB276" s="3">
        <v>513.79999999999995</v>
      </c>
      <c r="BC276" s="3">
        <v>559.5</v>
      </c>
      <c r="BD276" s="3">
        <v>562</v>
      </c>
      <c r="BE276" s="3">
        <v>584.4</v>
      </c>
      <c r="BF276" s="3">
        <v>591.29999999999995</v>
      </c>
      <c r="BG276" s="3">
        <v>626.20000000000005</v>
      </c>
      <c r="BH276" s="3">
        <v>653.29999999999995</v>
      </c>
      <c r="BI276" s="3">
        <v>673.2</v>
      </c>
      <c r="BJ276" s="3">
        <v>691.8</v>
      </c>
      <c r="BK276" s="3">
        <v>781.9</v>
      </c>
      <c r="BL276" s="3">
        <v>931.8</v>
      </c>
      <c r="BM276" s="3">
        <v>852.3</v>
      </c>
      <c r="BN276" s="3">
        <v>989.2</v>
      </c>
      <c r="BO276" s="3">
        <v>876.6</v>
      </c>
      <c r="BP276" s="3">
        <v>893.1</v>
      </c>
      <c r="BQ276" s="3">
        <v>1139.8</v>
      </c>
      <c r="BR276" s="3">
        <v>1128.0999999999999</v>
      </c>
      <c r="BS276" s="3">
        <v>1147.3</v>
      </c>
      <c r="BT276" s="3">
        <v>1277.8</v>
      </c>
      <c r="BU276" s="3">
        <v>1549.4</v>
      </c>
      <c r="BV276" s="3">
        <v>2204.1999999999998</v>
      </c>
      <c r="BW276" s="3">
        <v>1869.4</v>
      </c>
      <c r="BX276" s="3">
        <v>2280.9</v>
      </c>
      <c r="BY276" s="3">
        <v>1912.9</v>
      </c>
      <c r="BZ276" s="3">
        <v>1994.6</v>
      </c>
      <c r="CA276" s="3">
        <v>2791.8</v>
      </c>
      <c r="CB276" s="3">
        <v>2989.3</v>
      </c>
      <c r="CC276" s="3">
        <v>3067</v>
      </c>
      <c r="CD276" s="3">
        <v>3033.8</v>
      </c>
      <c r="CE276" s="3">
        <v>3707.3</v>
      </c>
      <c r="CF276" s="3">
        <v>3755.8</v>
      </c>
      <c r="CG276" s="3">
        <v>3931.8</v>
      </c>
      <c r="CH276" s="3">
        <v>4207.8999999999996</v>
      </c>
      <c r="CI276" s="3">
        <v>4277.7</v>
      </c>
      <c r="CJ276" s="3">
        <v>4517.3</v>
      </c>
      <c r="CK276" s="3">
        <v>5149.7</v>
      </c>
      <c r="CL276" s="3">
        <v>5276.2</v>
      </c>
      <c r="CM276" s="3">
        <v>5140.7</v>
      </c>
      <c r="CN276" s="3">
        <v>5380.1</v>
      </c>
      <c r="CO276" s="3">
        <v>6278.6</v>
      </c>
      <c r="CP276" s="3">
        <v>6628.3</v>
      </c>
      <c r="CQ276" s="3">
        <v>6633.7</v>
      </c>
      <c r="CR276" s="3">
        <v>6870.4</v>
      </c>
      <c r="CS276" s="3">
        <v>6929.6</v>
      </c>
      <c r="CT276" s="3">
        <v>7015.7</v>
      </c>
    </row>
    <row r="277" spans="1:98">
      <c r="A277" s="4" t="s">
        <v>373</v>
      </c>
      <c r="B277" s="5">
        <v>100</v>
      </c>
      <c r="C277" s="5">
        <v>99.4</v>
      </c>
      <c r="D277" s="5">
        <v>98.3</v>
      </c>
      <c r="E277" s="5">
        <v>98.8</v>
      </c>
      <c r="F277" s="5">
        <v>118.2</v>
      </c>
      <c r="G277" s="5">
        <v>142.6</v>
      </c>
      <c r="H277" s="5">
        <v>148.30000000000001</v>
      </c>
      <c r="I277" s="5">
        <v>150.9</v>
      </c>
      <c r="J277" s="5">
        <v>144</v>
      </c>
      <c r="K277" s="5">
        <v>137</v>
      </c>
      <c r="L277" s="5">
        <v>128.19999999999999</v>
      </c>
      <c r="M277" s="5">
        <v>126.9</v>
      </c>
      <c r="N277" s="5">
        <v>127.7</v>
      </c>
      <c r="O277" s="5">
        <v>153.69999999999999</v>
      </c>
      <c r="P277" s="5">
        <v>185.1</v>
      </c>
      <c r="Q277" s="5">
        <v>196.3</v>
      </c>
      <c r="R277" s="5">
        <v>201.3</v>
      </c>
      <c r="S277" s="5">
        <v>215.6</v>
      </c>
      <c r="T277" s="5">
        <v>201.5</v>
      </c>
      <c r="U277" s="5">
        <v>227.1</v>
      </c>
      <c r="V277" s="5">
        <v>251.6</v>
      </c>
      <c r="W277" s="5">
        <v>317</v>
      </c>
      <c r="X277" s="5">
        <v>363.7</v>
      </c>
      <c r="Y277" s="5">
        <v>247.3</v>
      </c>
      <c r="Z277" s="5">
        <v>201.8</v>
      </c>
      <c r="AA277" s="5">
        <v>186.3</v>
      </c>
      <c r="AB277" s="5">
        <v>193.1</v>
      </c>
      <c r="AC277" s="5">
        <v>187</v>
      </c>
      <c r="AD277" s="5">
        <v>219</v>
      </c>
      <c r="AE277" s="5">
        <v>240.7</v>
      </c>
      <c r="AF277" s="5">
        <v>249.5</v>
      </c>
      <c r="AG277" s="5">
        <v>271.3</v>
      </c>
      <c r="AH277" s="5">
        <v>266.39999999999998</v>
      </c>
      <c r="AI277" s="5">
        <v>272.89999999999998</v>
      </c>
      <c r="AJ277" s="5">
        <v>289.5</v>
      </c>
      <c r="AK277" s="5">
        <v>299.89999999999998</v>
      </c>
      <c r="AL277" s="5">
        <v>350</v>
      </c>
      <c r="AM277" s="5">
        <v>405.6</v>
      </c>
      <c r="AN277" s="5">
        <v>506.5</v>
      </c>
      <c r="AO277" s="5">
        <v>584.70000000000005</v>
      </c>
      <c r="AP277" s="5">
        <v>584.9</v>
      </c>
      <c r="AQ277" s="5">
        <v>589.20000000000005</v>
      </c>
      <c r="AR277" s="5">
        <v>587.29999999999995</v>
      </c>
      <c r="AS277" s="5">
        <v>577.20000000000005</v>
      </c>
      <c r="AT277" s="5">
        <v>541.1</v>
      </c>
      <c r="AU277" s="5">
        <v>588</v>
      </c>
      <c r="AV277" s="5">
        <v>571.1</v>
      </c>
      <c r="AW277" s="5">
        <v>568.1</v>
      </c>
      <c r="AX277" s="5">
        <v>525.20000000000005</v>
      </c>
      <c r="AY277" s="5">
        <v>493.8</v>
      </c>
      <c r="AZ277" s="5">
        <v>477.1</v>
      </c>
      <c r="BA277" s="5">
        <v>452.2</v>
      </c>
      <c r="BB277" s="5">
        <v>419.4</v>
      </c>
      <c r="BC277" s="5">
        <v>501.3</v>
      </c>
      <c r="BD277" s="5">
        <v>500.3</v>
      </c>
      <c r="BE277" s="5">
        <v>530.79999999999995</v>
      </c>
      <c r="BF277" s="5">
        <v>520.4</v>
      </c>
      <c r="BG277" s="5">
        <v>531</v>
      </c>
      <c r="BH277" s="5">
        <v>654</v>
      </c>
      <c r="BI277" s="5">
        <v>680.7</v>
      </c>
      <c r="BJ277" s="5">
        <v>723.6</v>
      </c>
      <c r="BK277" s="5">
        <v>885.2</v>
      </c>
      <c r="BL277" s="5">
        <v>1270.4000000000001</v>
      </c>
      <c r="BM277" s="5">
        <v>1036.0999999999999</v>
      </c>
      <c r="BN277" s="5">
        <v>1249.4000000000001</v>
      </c>
      <c r="BO277" s="5">
        <v>1317.4</v>
      </c>
      <c r="BP277" s="5">
        <v>1366</v>
      </c>
      <c r="BQ277" s="5">
        <v>1473.1</v>
      </c>
      <c r="BR277" s="5">
        <v>1300.3</v>
      </c>
      <c r="BS277" s="5">
        <v>1353</v>
      </c>
      <c r="BT277" s="5">
        <v>1703.9</v>
      </c>
      <c r="BU277" s="5">
        <v>1923.7</v>
      </c>
      <c r="BV277" s="5">
        <v>3533</v>
      </c>
      <c r="BW277" s="5">
        <v>2925</v>
      </c>
      <c r="BX277" s="5">
        <v>3753.3</v>
      </c>
      <c r="BY277" s="5">
        <v>3165.4</v>
      </c>
      <c r="BZ277" s="5">
        <v>3345.7</v>
      </c>
      <c r="CA277" s="5">
        <v>4145.7</v>
      </c>
      <c r="CB277" s="5">
        <v>4809.5</v>
      </c>
      <c r="CC277" s="5">
        <v>4670.8</v>
      </c>
      <c r="CD277" s="5">
        <v>4586.7</v>
      </c>
      <c r="CE277" s="5">
        <v>5317.8</v>
      </c>
      <c r="CF277" s="5">
        <v>4872.3</v>
      </c>
      <c r="CG277" s="5">
        <v>4877</v>
      </c>
      <c r="CH277" s="5">
        <v>5789.1</v>
      </c>
      <c r="CI277" s="5">
        <v>6482.3</v>
      </c>
      <c r="CJ277" s="5">
        <v>7640.8</v>
      </c>
      <c r="CK277" s="5">
        <v>7690.4</v>
      </c>
      <c r="CL277" s="5">
        <v>7289.7</v>
      </c>
      <c r="CM277" s="5">
        <v>7007.7</v>
      </c>
      <c r="CN277" s="5">
        <v>7340.6</v>
      </c>
      <c r="CO277" s="5">
        <v>8196.2999999999993</v>
      </c>
      <c r="CP277" s="5">
        <v>8590.1</v>
      </c>
      <c r="CQ277" s="5">
        <v>8869.7000000000007</v>
      </c>
      <c r="CR277" s="5">
        <v>9316.1</v>
      </c>
      <c r="CS277" s="5">
        <v>9868</v>
      </c>
      <c r="CT277" s="5">
        <v>10790.7</v>
      </c>
    </row>
    <row r="278" spans="1:98">
      <c r="A278" s="2" t="s">
        <v>374</v>
      </c>
      <c r="B278" s="3"/>
      <c r="C278" s="3"/>
      <c r="D278" s="3"/>
      <c r="E278" s="3"/>
      <c r="F278" s="3">
        <v>113.7</v>
      </c>
      <c r="G278" s="3">
        <v>127.8</v>
      </c>
      <c r="H278" s="3">
        <v>130.9</v>
      </c>
      <c r="I278" s="3">
        <v>133.1</v>
      </c>
      <c r="J278" s="3">
        <v>133.1</v>
      </c>
      <c r="K278" s="3">
        <v>141.19999999999999</v>
      </c>
      <c r="L278" s="3">
        <v>143.5</v>
      </c>
      <c r="M278" s="3">
        <v>146.80000000000001</v>
      </c>
      <c r="N278" s="3">
        <v>147.80000000000001</v>
      </c>
      <c r="O278" s="3">
        <v>158.9</v>
      </c>
      <c r="P278" s="3">
        <v>160.6</v>
      </c>
      <c r="Q278" s="3">
        <v>161.4</v>
      </c>
      <c r="R278" s="3">
        <v>161.6</v>
      </c>
      <c r="S278" s="3">
        <v>176.8</v>
      </c>
      <c r="T278" s="3">
        <v>178.9</v>
      </c>
      <c r="U278" s="3">
        <v>186.3</v>
      </c>
      <c r="V278" s="3">
        <v>191.8</v>
      </c>
      <c r="W278" s="3">
        <v>211.3</v>
      </c>
      <c r="X278" s="3">
        <v>213.7</v>
      </c>
      <c r="Y278" s="3">
        <v>216.6</v>
      </c>
      <c r="Z278" s="3">
        <v>217</v>
      </c>
      <c r="AA278" s="3">
        <v>231.4</v>
      </c>
      <c r="AB278" s="3">
        <v>234.8</v>
      </c>
      <c r="AC278" s="3">
        <v>237.8</v>
      </c>
      <c r="AD278" s="3">
        <v>240.1</v>
      </c>
      <c r="AE278" s="3">
        <v>255.7</v>
      </c>
      <c r="AF278" s="3">
        <v>257.2</v>
      </c>
      <c r="AG278" s="3">
        <v>261.7</v>
      </c>
      <c r="AH278" s="3">
        <v>290.5</v>
      </c>
      <c r="AI278" s="3">
        <v>305.3</v>
      </c>
      <c r="AJ278" s="3">
        <v>315.10000000000002</v>
      </c>
      <c r="AK278" s="3">
        <v>325.89999999999998</v>
      </c>
      <c r="AL278" s="3">
        <v>335.5</v>
      </c>
      <c r="AM278" s="3">
        <v>369.8</v>
      </c>
      <c r="AN278" s="3">
        <v>388.8</v>
      </c>
      <c r="AO278" s="3">
        <v>420</v>
      </c>
      <c r="AP278" s="3">
        <v>434</v>
      </c>
      <c r="AQ278" s="3">
        <v>484</v>
      </c>
      <c r="AR278" s="3">
        <v>494.8</v>
      </c>
      <c r="AS278" s="3">
        <v>469.3</v>
      </c>
      <c r="AT278" s="3">
        <v>478.3</v>
      </c>
      <c r="AU278" s="3">
        <v>548.6</v>
      </c>
      <c r="AV278" s="3">
        <v>558.79999999999995</v>
      </c>
      <c r="AW278" s="3">
        <v>565.9</v>
      </c>
      <c r="AX278" s="3">
        <v>573.5</v>
      </c>
      <c r="AY278" s="3">
        <v>626.70000000000005</v>
      </c>
      <c r="AZ278" s="3">
        <v>631.4</v>
      </c>
      <c r="BA278" s="3">
        <v>634.79999999999995</v>
      </c>
      <c r="BB278" s="3">
        <v>638.4</v>
      </c>
      <c r="BC278" s="3">
        <v>683.8</v>
      </c>
      <c r="BD278" s="3">
        <v>690.3</v>
      </c>
      <c r="BE278" s="3">
        <v>696.6</v>
      </c>
      <c r="BF278" s="3">
        <v>702.9</v>
      </c>
      <c r="BG278" s="3">
        <v>761.3</v>
      </c>
      <c r="BH278" s="3">
        <v>763.1</v>
      </c>
      <c r="BI278" s="3">
        <v>778</v>
      </c>
      <c r="BJ278" s="3">
        <v>785</v>
      </c>
      <c r="BK278" s="3">
        <v>893.6</v>
      </c>
      <c r="BL278" s="3">
        <v>1008.1</v>
      </c>
      <c r="BM278" s="3">
        <v>953</v>
      </c>
      <c r="BN278" s="3">
        <v>1047.5999999999999</v>
      </c>
      <c r="BO278" s="3">
        <v>973.3</v>
      </c>
      <c r="BP278" s="3">
        <v>992.6</v>
      </c>
      <c r="BQ278" s="3">
        <v>1259.8</v>
      </c>
      <c r="BR278" s="3">
        <v>1325</v>
      </c>
      <c r="BS278" s="3">
        <v>1366</v>
      </c>
      <c r="BT278" s="3">
        <v>1416.3</v>
      </c>
      <c r="BU278" s="3">
        <v>1724.2</v>
      </c>
      <c r="BV278" s="3">
        <v>2244.1</v>
      </c>
      <c r="BW278" s="3">
        <v>1927.6</v>
      </c>
      <c r="BX278" s="3">
        <v>2360.5</v>
      </c>
      <c r="BY278" s="3">
        <v>1964.1</v>
      </c>
      <c r="BZ278" s="3">
        <v>2041.1</v>
      </c>
      <c r="CA278" s="3">
        <v>3086</v>
      </c>
      <c r="CB278" s="3">
        <v>3265.9</v>
      </c>
      <c r="CC278" s="3">
        <v>3281.8</v>
      </c>
      <c r="CD278" s="3">
        <v>3336.3</v>
      </c>
      <c r="CE278" s="3">
        <v>4222.3</v>
      </c>
      <c r="CF278" s="3">
        <v>4319.7</v>
      </c>
      <c r="CG278" s="3">
        <v>4656.2</v>
      </c>
      <c r="CH278" s="3">
        <v>4887.8999999999996</v>
      </c>
      <c r="CI278" s="3">
        <v>4888.1000000000004</v>
      </c>
      <c r="CJ278" s="3">
        <v>4888.3</v>
      </c>
      <c r="CK278" s="3">
        <v>5973.2</v>
      </c>
      <c r="CL278" s="3">
        <v>6210.2</v>
      </c>
      <c r="CM278" s="3">
        <v>6362.2</v>
      </c>
      <c r="CN278" s="3">
        <v>6502.6</v>
      </c>
      <c r="CO278" s="3">
        <v>7996.4</v>
      </c>
      <c r="CP278" s="3">
        <v>8340.6</v>
      </c>
      <c r="CQ278" s="3">
        <v>8356.5</v>
      </c>
      <c r="CR278" s="3">
        <v>8808.5</v>
      </c>
      <c r="CS278" s="3">
        <v>8901.7999999999993</v>
      </c>
      <c r="CT278" s="3">
        <v>9012.7999999999993</v>
      </c>
    </row>
    <row r="279" spans="1:98">
      <c r="A279" s="4" t="s">
        <v>375</v>
      </c>
      <c r="B279" s="5"/>
      <c r="C279" s="5"/>
      <c r="D279" s="5"/>
      <c r="E279" s="5"/>
      <c r="F279" s="5">
        <v>118</v>
      </c>
      <c r="G279" s="5">
        <v>137</v>
      </c>
      <c r="H279" s="5">
        <v>143.30000000000001</v>
      </c>
      <c r="I279" s="5">
        <v>149.80000000000001</v>
      </c>
      <c r="J279" s="5">
        <v>145.9</v>
      </c>
      <c r="K279" s="5">
        <v>144.69999999999999</v>
      </c>
      <c r="L279" s="5">
        <v>140.6</v>
      </c>
      <c r="M279" s="5">
        <v>141.6</v>
      </c>
      <c r="N279" s="5">
        <v>139.5</v>
      </c>
      <c r="O279" s="5">
        <v>154.19999999999999</v>
      </c>
      <c r="P279" s="5">
        <v>167.7</v>
      </c>
      <c r="Q279" s="5">
        <v>173.8</v>
      </c>
      <c r="R279" s="5">
        <v>181.3</v>
      </c>
      <c r="S279" s="5">
        <v>201.5</v>
      </c>
      <c r="T279" s="5">
        <v>199.3</v>
      </c>
      <c r="U279" s="5">
        <v>214.4</v>
      </c>
      <c r="V279" s="5">
        <v>226.5</v>
      </c>
      <c r="W279" s="5">
        <v>273</v>
      </c>
      <c r="X279" s="5">
        <v>289.89999999999998</v>
      </c>
      <c r="Y279" s="5">
        <v>228.3</v>
      </c>
      <c r="Z279" s="5">
        <v>201.1</v>
      </c>
      <c r="AA279" s="5">
        <v>196.3</v>
      </c>
      <c r="AB279" s="5">
        <v>208.5</v>
      </c>
      <c r="AC279" s="5">
        <v>204.8</v>
      </c>
      <c r="AD279" s="5">
        <v>213</v>
      </c>
      <c r="AE279" s="5">
        <v>225.6</v>
      </c>
      <c r="AF279" s="5">
        <v>229.8</v>
      </c>
      <c r="AG279" s="5">
        <v>241.6</v>
      </c>
      <c r="AH279" s="5">
        <v>255.4</v>
      </c>
      <c r="AI279" s="5">
        <v>272.10000000000002</v>
      </c>
      <c r="AJ279" s="5">
        <v>297.39999999999998</v>
      </c>
      <c r="AK279" s="5">
        <v>311.2</v>
      </c>
      <c r="AL279" s="5">
        <v>328.5</v>
      </c>
      <c r="AM279" s="5">
        <v>344.5</v>
      </c>
      <c r="AN279" s="5">
        <v>396.4</v>
      </c>
      <c r="AO279" s="5">
        <v>496.4</v>
      </c>
      <c r="AP279" s="5">
        <v>536.1</v>
      </c>
      <c r="AQ279" s="5">
        <v>566.20000000000005</v>
      </c>
      <c r="AR279" s="5">
        <v>561.9</v>
      </c>
      <c r="AS279" s="5">
        <v>553.4</v>
      </c>
      <c r="AT279" s="5">
        <v>546.6</v>
      </c>
      <c r="AU279" s="5">
        <v>578.5</v>
      </c>
      <c r="AV279" s="5">
        <v>572.20000000000005</v>
      </c>
      <c r="AW279" s="5">
        <v>572.6</v>
      </c>
      <c r="AX279" s="5">
        <v>562.79999999999995</v>
      </c>
      <c r="AY279" s="5">
        <v>568.29999999999995</v>
      </c>
      <c r="AZ279" s="5">
        <v>557.9</v>
      </c>
      <c r="BA279" s="5">
        <v>536.6</v>
      </c>
      <c r="BB279" s="5">
        <v>515.1</v>
      </c>
      <c r="BC279" s="5">
        <v>567.29999999999995</v>
      </c>
      <c r="BD279" s="5">
        <v>567.70000000000005</v>
      </c>
      <c r="BE279" s="5">
        <v>604.20000000000005</v>
      </c>
      <c r="BF279" s="5">
        <v>628.70000000000005</v>
      </c>
      <c r="BG279" s="5">
        <v>646.70000000000005</v>
      </c>
      <c r="BH279" s="5">
        <v>698</v>
      </c>
      <c r="BI279" s="5">
        <v>734.6</v>
      </c>
      <c r="BJ279" s="5">
        <v>765.6</v>
      </c>
      <c r="BK279" s="5">
        <v>866.7</v>
      </c>
      <c r="BL279" s="5">
        <v>1188.9000000000001</v>
      </c>
      <c r="BM279" s="5">
        <v>985.8</v>
      </c>
      <c r="BN279" s="5">
        <v>1251.2</v>
      </c>
      <c r="BO279" s="5">
        <v>1159.5999999999999</v>
      </c>
      <c r="BP279" s="5">
        <v>1187.3</v>
      </c>
      <c r="BQ279" s="5">
        <v>1487.3</v>
      </c>
      <c r="BR279" s="5">
        <v>1426.1</v>
      </c>
      <c r="BS279" s="5">
        <v>1500.1</v>
      </c>
      <c r="BT279" s="5">
        <v>1871.8</v>
      </c>
      <c r="BU279" s="5">
        <v>2135.8000000000002</v>
      </c>
      <c r="BV279" s="5">
        <v>3647.4</v>
      </c>
      <c r="BW279" s="5">
        <v>2878</v>
      </c>
      <c r="BX279" s="5">
        <v>3990.1</v>
      </c>
      <c r="BY279" s="5">
        <v>3137.4</v>
      </c>
      <c r="BZ279" s="5">
        <v>3240.3</v>
      </c>
      <c r="CA279" s="5">
        <v>4717.3999999999996</v>
      </c>
      <c r="CB279" s="5">
        <v>5282.3</v>
      </c>
      <c r="CC279" s="5">
        <v>5242</v>
      </c>
      <c r="CD279" s="5">
        <v>5105.8</v>
      </c>
      <c r="CE279" s="5">
        <v>5752.2</v>
      </c>
      <c r="CF279" s="5">
        <v>5548.1</v>
      </c>
      <c r="CG279" s="5">
        <v>5749.6</v>
      </c>
      <c r="CH279" s="5">
        <v>6673.9</v>
      </c>
      <c r="CI279" s="5">
        <v>7269.3</v>
      </c>
      <c r="CJ279" s="5">
        <v>8113.1</v>
      </c>
      <c r="CK279" s="5">
        <v>8342.7999999999993</v>
      </c>
      <c r="CL279" s="5">
        <v>7848.2</v>
      </c>
      <c r="CM279" s="5">
        <v>7859.9</v>
      </c>
      <c r="CN279" s="5">
        <v>8647.6</v>
      </c>
      <c r="CO279" s="5">
        <v>9462.5</v>
      </c>
      <c r="CP279" s="5">
        <v>9439.6</v>
      </c>
      <c r="CQ279" s="5">
        <v>9729.4</v>
      </c>
      <c r="CR279" s="5">
        <v>10393.200000000001</v>
      </c>
      <c r="CS279" s="5">
        <v>10920.6</v>
      </c>
      <c r="CT279" s="5">
        <v>11694.6</v>
      </c>
    </row>
    <row r="280" spans="1:98">
      <c r="A280" s="2" t="s">
        <v>376</v>
      </c>
      <c r="B280" s="3"/>
      <c r="C280" s="3"/>
      <c r="D280" s="3"/>
      <c r="E280" s="3"/>
      <c r="F280" s="3">
        <v>112.1</v>
      </c>
      <c r="G280" s="3">
        <v>144.9</v>
      </c>
      <c r="H280" s="3">
        <v>146.5</v>
      </c>
      <c r="I280" s="3">
        <v>148.80000000000001</v>
      </c>
      <c r="J280" s="3">
        <v>149.1</v>
      </c>
      <c r="K280" s="3">
        <v>150.69999999999999</v>
      </c>
      <c r="L280" s="3">
        <v>152.6</v>
      </c>
      <c r="M280" s="3">
        <v>153.9</v>
      </c>
      <c r="N280" s="3">
        <v>156.19999999999999</v>
      </c>
      <c r="O280" s="3">
        <v>190.1</v>
      </c>
      <c r="P280" s="3">
        <v>198.3</v>
      </c>
      <c r="Q280" s="3">
        <v>216</v>
      </c>
      <c r="R280" s="3">
        <v>226.4</v>
      </c>
      <c r="S280" s="3">
        <v>250.8</v>
      </c>
      <c r="T280" s="3">
        <v>251.1</v>
      </c>
      <c r="U280" s="3">
        <v>263</v>
      </c>
      <c r="V280" s="3">
        <v>264.3</v>
      </c>
      <c r="W280" s="3">
        <v>298.7</v>
      </c>
      <c r="X280" s="3">
        <v>298.10000000000002</v>
      </c>
      <c r="Y280" s="3">
        <v>268.89999999999998</v>
      </c>
      <c r="Z280" s="3">
        <v>239</v>
      </c>
      <c r="AA280" s="3">
        <v>239.5</v>
      </c>
      <c r="AB280" s="3">
        <v>242.6</v>
      </c>
      <c r="AC280" s="3">
        <v>242.2</v>
      </c>
      <c r="AD280" s="3">
        <v>243.9</v>
      </c>
      <c r="AE280" s="3">
        <v>248</v>
      </c>
      <c r="AF280" s="3">
        <v>250.3</v>
      </c>
      <c r="AG280" s="3">
        <v>256.3</v>
      </c>
      <c r="AH280" s="3">
        <v>259.3</v>
      </c>
      <c r="AI280" s="3">
        <v>278.39999999999998</v>
      </c>
      <c r="AJ280" s="3">
        <v>289.60000000000002</v>
      </c>
      <c r="AK280" s="3">
        <v>340.3</v>
      </c>
      <c r="AL280" s="3">
        <v>343.6</v>
      </c>
      <c r="AM280" s="3">
        <v>377.8</v>
      </c>
      <c r="AN280" s="3">
        <v>398.5</v>
      </c>
      <c r="AO280" s="3">
        <v>482.2</v>
      </c>
      <c r="AP280" s="3">
        <v>517.9</v>
      </c>
      <c r="AQ280" s="3">
        <v>550.70000000000005</v>
      </c>
      <c r="AR280" s="3">
        <v>550.5</v>
      </c>
      <c r="AS280" s="3">
        <v>495.6</v>
      </c>
      <c r="AT280" s="3">
        <v>494.9</v>
      </c>
      <c r="AU280" s="3">
        <v>542.1</v>
      </c>
      <c r="AV280" s="3">
        <v>540.1</v>
      </c>
      <c r="AW280" s="3">
        <v>543.20000000000005</v>
      </c>
      <c r="AX280" s="3">
        <v>535.79999999999995</v>
      </c>
      <c r="AY280" s="3">
        <v>542.6</v>
      </c>
      <c r="AZ280" s="3">
        <v>542.4</v>
      </c>
      <c r="BA280" s="3">
        <v>540.5</v>
      </c>
      <c r="BB280" s="3">
        <v>532.1</v>
      </c>
      <c r="BC280" s="3">
        <v>605</v>
      </c>
      <c r="BD280" s="3">
        <v>607.6</v>
      </c>
      <c r="BE280" s="3">
        <v>660.6</v>
      </c>
      <c r="BF280" s="3">
        <v>702.8</v>
      </c>
      <c r="BG280" s="3">
        <v>733.8</v>
      </c>
      <c r="BH280" s="3">
        <v>794.5</v>
      </c>
      <c r="BI280" s="3">
        <v>834.5</v>
      </c>
      <c r="BJ280" s="3">
        <v>844.6</v>
      </c>
      <c r="BK280" s="3">
        <v>939.2</v>
      </c>
      <c r="BL280" s="3">
        <v>1514.6</v>
      </c>
      <c r="BM280" s="3">
        <v>1031.0999999999999</v>
      </c>
      <c r="BN280" s="3">
        <v>1499.6</v>
      </c>
      <c r="BO280" s="3">
        <v>1326.6</v>
      </c>
      <c r="BP280" s="3">
        <v>1353.8</v>
      </c>
      <c r="BQ280" s="3">
        <v>1780.4</v>
      </c>
      <c r="BR280" s="3">
        <v>1619.7</v>
      </c>
      <c r="BS280" s="3">
        <v>1587.9</v>
      </c>
      <c r="BT280" s="3">
        <v>2054.5</v>
      </c>
      <c r="BU280" s="3">
        <v>2527.5</v>
      </c>
      <c r="BV280" s="3">
        <v>4104</v>
      </c>
      <c r="BW280" s="3">
        <v>3593.2</v>
      </c>
      <c r="BX280" s="3">
        <v>4298.3</v>
      </c>
      <c r="BY280" s="3">
        <v>3647.9</v>
      </c>
      <c r="BZ280" s="3">
        <v>3683.7</v>
      </c>
      <c r="CA280" s="3">
        <v>4977.7</v>
      </c>
      <c r="CB280" s="3">
        <v>5492.3</v>
      </c>
      <c r="CC280" s="3">
        <v>5426.4</v>
      </c>
      <c r="CD280" s="3">
        <v>5276.2</v>
      </c>
      <c r="CE280" s="3">
        <v>5789.7</v>
      </c>
      <c r="CF280" s="3">
        <v>5918.3</v>
      </c>
      <c r="CG280" s="3">
        <v>6046.3</v>
      </c>
      <c r="CH280" s="3">
        <v>6979.6</v>
      </c>
      <c r="CI280" s="3">
        <v>8498.2999999999993</v>
      </c>
      <c r="CJ280" s="3">
        <v>9647</v>
      </c>
      <c r="CK280" s="3">
        <v>9765.4</v>
      </c>
      <c r="CL280" s="3">
        <v>9624.6</v>
      </c>
      <c r="CM280" s="3">
        <v>9206.2000000000007</v>
      </c>
      <c r="CN280" s="3">
        <v>10348.1</v>
      </c>
      <c r="CO280" s="3">
        <v>10921.3</v>
      </c>
      <c r="CP280" s="3">
        <v>10780.5</v>
      </c>
      <c r="CQ280" s="3">
        <v>12428</v>
      </c>
      <c r="CR280" s="3">
        <v>13473.2</v>
      </c>
      <c r="CS280" s="3">
        <v>13641.1</v>
      </c>
      <c r="CT280" s="3">
        <v>13843.9</v>
      </c>
    </row>
    <row r="281" spans="1:98">
      <c r="A281" s="4" t="s">
        <v>377</v>
      </c>
      <c r="B281" s="5"/>
      <c r="C281" s="5"/>
      <c r="D281" s="5"/>
      <c r="E281" s="5"/>
      <c r="F281" s="5">
        <v>133.1</v>
      </c>
      <c r="G281" s="5">
        <v>145.80000000000001</v>
      </c>
      <c r="H281" s="5">
        <v>148.5</v>
      </c>
      <c r="I281" s="5">
        <v>150.80000000000001</v>
      </c>
      <c r="J281" s="5">
        <v>150.80000000000001</v>
      </c>
      <c r="K281" s="5">
        <v>160.4</v>
      </c>
      <c r="L281" s="5">
        <v>166.3</v>
      </c>
      <c r="M281" s="5">
        <v>168.9</v>
      </c>
      <c r="N281" s="5">
        <v>169.7</v>
      </c>
      <c r="O281" s="5">
        <v>176.1</v>
      </c>
      <c r="P281" s="5">
        <v>176.8</v>
      </c>
      <c r="Q281" s="5">
        <v>178.3</v>
      </c>
      <c r="R281" s="5">
        <v>178.4</v>
      </c>
      <c r="S281" s="5">
        <v>189.6</v>
      </c>
      <c r="T281" s="5">
        <v>191</v>
      </c>
      <c r="U281" s="5">
        <v>196</v>
      </c>
      <c r="V281" s="5">
        <v>200.8</v>
      </c>
      <c r="W281" s="5">
        <v>212.7</v>
      </c>
      <c r="X281" s="5">
        <v>232</v>
      </c>
      <c r="Y281" s="5">
        <v>237.1</v>
      </c>
      <c r="Z281" s="5">
        <v>237.4</v>
      </c>
      <c r="AA281" s="5">
        <v>244.7</v>
      </c>
      <c r="AB281" s="5">
        <v>247.3</v>
      </c>
      <c r="AC281" s="5">
        <v>248.6</v>
      </c>
      <c r="AD281" s="5">
        <v>249.7</v>
      </c>
      <c r="AE281" s="5">
        <v>260.2</v>
      </c>
      <c r="AF281" s="5">
        <v>261.2</v>
      </c>
      <c r="AG281" s="5">
        <v>262.60000000000002</v>
      </c>
      <c r="AH281" s="5">
        <v>296.3</v>
      </c>
      <c r="AI281" s="5">
        <v>302.7</v>
      </c>
      <c r="AJ281" s="5">
        <v>324.39999999999998</v>
      </c>
      <c r="AK281" s="5">
        <v>335.5</v>
      </c>
      <c r="AL281" s="5">
        <v>345.3</v>
      </c>
      <c r="AM281" s="5">
        <v>367.2</v>
      </c>
      <c r="AN281" s="5">
        <v>383.3</v>
      </c>
      <c r="AO281" s="5">
        <v>431.9</v>
      </c>
      <c r="AP281" s="5">
        <v>443.7</v>
      </c>
      <c r="AQ281" s="5">
        <v>483.7</v>
      </c>
      <c r="AR281" s="5">
        <v>505.3</v>
      </c>
      <c r="AS281" s="5">
        <v>521.9</v>
      </c>
      <c r="AT281" s="5">
        <v>528.5</v>
      </c>
      <c r="AU281" s="5">
        <v>574</v>
      </c>
      <c r="AV281" s="5">
        <v>609.9</v>
      </c>
      <c r="AW281" s="5">
        <v>599.6</v>
      </c>
      <c r="AX281" s="5">
        <v>604.20000000000005</v>
      </c>
      <c r="AY281" s="5">
        <v>636.6</v>
      </c>
      <c r="AZ281" s="5">
        <v>639.29999999999995</v>
      </c>
      <c r="BA281" s="5">
        <v>633.20000000000005</v>
      </c>
      <c r="BB281" s="5">
        <v>634.6</v>
      </c>
      <c r="BC281" s="5">
        <v>661.9</v>
      </c>
      <c r="BD281" s="5">
        <v>671.1</v>
      </c>
      <c r="BE281" s="5">
        <v>696.8</v>
      </c>
      <c r="BF281" s="5">
        <v>706.5</v>
      </c>
      <c r="BG281" s="5">
        <v>756</v>
      </c>
      <c r="BH281" s="5">
        <v>757.4</v>
      </c>
      <c r="BI281" s="5">
        <v>769.4</v>
      </c>
      <c r="BJ281" s="5">
        <v>774.3</v>
      </c>
      <c r="BK281" s="5">
        <v>872.7</v>
      </c>
      <c r="BL281" s="5">
        <v>1034.8</v>
      </c>
      <c r="BM281" s="5">
        <v>938.6</v>
      </c>
      <c r="BN281" s="5">
        <v>1065.4000000000001</v>
      </c>
      <c r="BO281" s="5">
        <v>994.2</v>
      </c>
      <c r="BP281" s="5">
        <v>1020.5</v>
      </c>
      <c r="BQ281" s="5">
        <v>1193</v>
      </c>
      <c r="BR281" s="5">
        <v>1332.5</v>
      </c>
      <c r="BS281" s="5">
        <v>1402.5</v>
      </c>
      <c r="BT281" s="5">
        <v>1453.2</v>
      </c>
      <c r="BU281" s="5">
        <v>1681.1</v>
      </c>
      <c r="BV281" s="5">
        <v>2352.9</v>
      </c>
      <c r="BW281" s="5">
        <v>1915.6</v>
      </c>
      <c r="BX281" s="5">
        <v>2454.8000000000002</v>
      </c>
      <c r="BY281" s="5">
        <v>1950.4</v>
      </c>
      <c r="BZ281" s="5">
        <v>2057</v>
      </c>
      <c r="CA281" s="5">
        <v>3175.1</v>
      </c>
      <c r="CB281" s="5">
        <v>3684</v>
      </c>
      <c r="CC281" s="5">
        <v>3579.4</v>
      </c>
      <c r="CD281" s="5">
        <v>3701.3</v>
      </c>
      <c r="CE281" s="5">
        <v>4516</v>
      </c>
      <c r="CF281" s="5">
        <v>4743.2</v>
      </c>
      <c r="CG281" s="5">
        <v>5006.1000000000004</v>
      </c>
      <c r="CH281" s="5">
        <v>5247.9</v>
      </c>
      <c r="CI281" s="5">
        <v>5263.5</v>
      </c>
      <c r="CJ281" s="5">
        <v>5564.5</v>
      </c>
      <c r="CK281" s="5">
        <v>6484.9</v>
      </c>
      <c r="CL281" s="5">
        <v>6941.4</v>
      </c>
      <c r="CM281" s="5">
        <v>7171</v>
      </c>
      <c r="CN281" s="5">
        <v>7289.7</v>
      </c>
      <c r="CO281" s="5">
        <v>8588.7999999999993</v>
      </c>
      <c r="CP281" s="5">
        <v>9528.7000000000007</v>
      </c>
      <c r="CQ281" s="5">
        <v>9657.7999999999993</v>
      </c>
      <c r="CR281" s="5">
        <v>10145.1</v>
      </c>
      <c r="CS281" s="5">
        <v>10461</v>
      </c>
      <c r="CT281" s="5">
        <v>10820.9</v>
      </c>
    </row>
    <row r="282" spans="1:98">
      <c r="A282" s="2" t="s">
        <v>378</v>
      </c>
      <c r="B282" s="3"/>
      <c r="C282" s="3"/>
      <c r="D282" s="3"/>
      <c r="E282" s="3"/>
      <c r="F282" s="3">
        <v>124.9</v>
      </c>
      <c r="G282" s="3">
        <v>139.19999999999999</v>
      </c>
      <c r="H282" s="3">
        <v>142.19999999999999</v>
      </c>
      <c r="I282" s="3">
        <v>145.6</v>
      </c>
      <c r="J282" s="3">
        <v>145.6</v>
      </c>
      <c r="K282" s="3">
        <v>154</v>
      </c>
      <c r="L282" s="3">
        <v>158</v>
      </c>
      <c r="M282" s="3">
        <v>160.6</v>
      </c>
      <c r="N282" s="3">
        <v>161.4</v>
      </c>
      <c r="O282" s="3">
        <v>169.6</v>
      </c>
      <c r="P282" s="3">
        <v>170.8</v>
      </c>
      <c r="Q282" s="3">
        <v>172.8</v>
      </c>
      <c r="R282" s="3">
        <v>173</v>
      </c>
      <c r="S282" s="3">
        <v>188.3</v>
      </c>
      <c r="T282" s="3">
        <v>190</v>
      </c>
      <c r="U282" s="3">
        <v>194.8</v>
      </c>
      <c r="V282" s="3">
        <v>201</v>
      </c>
      <c r="W282" s="3">
        <v>220</v>
      </c>
      <c r="X282" s="3">
        <v>231.5</v>
      </c>
      <c r="Y282" s="3">
        <v>233.1</v>
      </c>
      <c r="Z282" s="3">
        <v>231.3</v>
      </c>
      <c r="AA282" s="3">
        <v>241</v>
      </c>
      <c r="AB282" s="3">
        <v>243.9</v>
      </c>
      <c r="AC282" s="3">
        <v>246.9</v>
      </c>
      <c r="AD282" s="3">
        <v>248.8</v>
      </c>
      <c r="AE282" s="3">
        <v>262.8</v>
      </c>
      <c r="AF282" s="3">
        <v>264.10000000000002</v>
      </c>
      <c r="AG282" s="3">
        <v>267.3</v>
      </c>
      <c r="AH282" s="3">
        <v>294.3</v>
      </c>
      <c r="AI282" s="3">
        <v>306.10000000000002</v>
      </c>
      <c r="AJ282" s="3">
        <v>320.89999999999998</v>
      </c>
      <c r="AK282" s="3">
        <v>329.9</v>
      </c>
      <c r="AL282" s="3">
        <v>338.3</v>
      </c>
      <c r="AM282" s="3">
        <v>364.6</v>
      </c>
      <c r="AN282" s="3">
        <v>381.5</v>
      </c>
      <c r="AO282" s="3">
        <v>419.5</v>
      </c>
      <c r="AP282" s="3">
        <v>430.6</v>
      </c>
      <c r="AQ282" s="3">
        <v>474.1</v>
      </c>
      <c r="AR282" s="3">
        <v>490.2</v>
      </c>
      <c r="AS282" s="3">
        <v>503</v>
      </c>
      <c r="AT282" s="3">
        <v>510.8</v>
      </c>
      <c r="AU282" s="3">
        <v>566.79999999999995</v>
      </c>
      <c r="AV282" s="3">
        <v>591.1</v>
      </c>
      <c r="AW282" s="3">
        <v>588.79999999999995</v>
      </c>
      <c r="AX282" s="3">
        <v>594.4</v>
      </c>
      <c r="AY282" s="3">
        <v>634.70000000000005</v>
      </c>
      <c r="AZ282" s="3">
        <v>638.5</v>
      </c>
      <c r="BA282" s="3">
        <v>636.5</v>
      </c>
      <c r="BB282" s="3">
        <v>638.9</v>
      </c>
      <c r="BC282" s="3">
        <v>675.7</v>
      </c>
      <c r="BD282" s="3">
        <v>683.8</v>
      </c>
      <c r="BE282" s="3">
        <v>702.1</v>
      </c>
      <c r="BF282" s="3">
        <v>710.2</v>
      </c>
      <c r="BG282" s="3">
        <v>763.6</v>
      </c>
      <c r="BH282" s="3">
        <v>768.6</v>
      </c>
      <c r="BI282" s="3">
        <v>780.1</v>
      </c>
      <c r="BJ282" s="3">
        <v>785.7</v>
      </c>
      <c r="BK282" s="3">
        <v>890.2</v>
      </c>
      <c r="BL282" s="3">
        <v>1032</v>
      </c>
      <c r="BM282" s="3">
        <v>948.9</v>
      </c>
      <c r="BN282" s="3">
        <v>1067</v>
      </c>
      <c r="BO282" s="3">
        <v>988.4</v>
      </c>
      <c r="BP282" s="3">
        <v>1011.2</v>
      </c>
      <c r="BQ282" s="3">
        <v>1230.4000000000001</v>
      </c>
      <c r="BR282" s="3">
        <v>1338.6</v>
      </c>
      <c r="BS282" s="3">
        <v>1400.5</v>
      </c>
      <c r="BT282" s="3">
        <v>1450.5</v>
      </c>
      <c r="BU282" s="3">
        <v>1721.8</v>
      </c>
      <c r="BV282" s="3">
        <v>2315.8000000000002</v>
      </c>
      <c r="BW282" s="3">
        <v>1940</v>
      </c>
      <c r="BX282" s="3">
        <v>2418.5</v>
      </c>
      <c r="BY282" s="3">
        <v>1972.2</v>
      </c>
      <c r="BZ282" s="3">
        <v>2068.6</v>
      </c>
      <c r="CA282" s="3">
        <v>3121.3</v>
      </c>
      <c r="CB282" s="3">
        <v>3492.2</v>
      </c>
      <c r="CC282" s="3">
        <v>3445.9</v>
      </c>
      <c r="CD282" s="3">
        <v>3535.1</v>
      </c>
      <c r="CE282" s="3">
        <v>4382.3999999999996</v>
      </c>
      <c r="CF282" s="3">
        <v>4558.5</v>
      </c>
      <c r="CG282" s="3">
        <v>4810.1000000000004</v>
      </c>
      <c r="CH282" s="3">
        <v>5048.6000000000004</v>
      </c>
      <c r="CI282" s="3">
        <v>5066</v>
      </c>
      <c r="CJ282" s="3">
        <v>5268</v>
      </c>
      <c r="CK282" s="3">
        <v>6234.2</v>
      </c>
      <c r="CL282" s="3">
        <v>6599</v>
      </c>
      <c r="CM282" s="3">
        <v>6818</v>
      </c>
      <c r="CN282" s="3">
        <v>6969.6</v>
      </c>
      <c r="CO282" s="3">
        <v>8348.5</v>
      </c>
      <c r="CP282" s="3">
        <v>9055.5</v>
      </c>
      <c r="CQ282" s="3">
        <v>9129.7999999999993</v>
      </c>
      <c r="CR282" s="3">
        <v>9548.9</v>
      </c>
      <c r="CS282" s="3">
        <v>9766.2999999999993</v>
      </c>
      <c r="CT282" s="3">
        <v>9990.5</v>
      </c>
    </row>
    <row r="283" spans="1:98">
      <c r="A283" s="4" t="s">
        <v>379</v>
      </c>
      <c r="B283" s="5"/>
      <c r="C283" s="5"/>
      <c r="D283" s="5"/>
      <c r="E283" s="5"/>
      <c r="F283" s="5">
        <v>116.5</v>
      </c>
      <c r="G283" s="5">
        <v>137</v>
      </c>
      <c r="H283" s="5">
        <v>141.4</v>
      </c>
      <c r="I283" s="5">
        <v>144.30000000000001</v>
      </c>
      <c r="J283" s="5">
        <v>144.30000000000001</v>
      </c>
      <c r="K283" s="5">
        <v>151.69999999999999</v>
      </c>
      <c r="L283" s="5">
        <v>154.19999999999999</v>
      </c>
      <c r="M283" s="5">
        <v>157.9</v>
      </c>
      <c r="N283" s="5">
        <v>159.19999999999999</v>
      </c>
      <c r="O283" s="5">
        <v>167.4</v>
      </c>
      <c r="P283" s="5">
        <v>168.3</v>
      </c>
      <c r="Q283" s="5">
        <v>169.5</v>
      </c>
      <c r="R283" s="5">
        <v>169.7</v>
      </c>
      <c r="S283" s="5">
        <v>183.3</v>
      </c>
      <c r="T283" s="5">
        <v>185.1</v>
      </c>
      <c r="U283" s="5">
        <v>192.4</v>
      </c>
      <c r="V283" s="5">
        <v>199.6</v>
      </c>
      <c r="W283" s="5">
        <v>215.6</v>
      </c>
      <c r="X283" s="5">
        <v>217.9</v>
      </c>
      <c r="Y283" s="5">
        <v>218.9</v>
      </c>
      <c r="Z283" s="5">
        <v>219.2</v>
      </c>
      <c r="AA283" s="5">
        <v>226.9</v>
      </c>
      <c r="AB283" s="5">
        <v>231.5</v>
      </c>
      <c r="AC283" s="5">
        <v>232.5</v>
      </c>
      <c r="AD283" s="5">
        <v>233.3</v>
      </c>
      <c r="AE283" s="5">
        <v>245.6</v>
      </c>
      <c r="AF283" s="5">
        <v>246.8</v>
      </c>
      <c r="AG283" s="5">
        <v>247</v>
      </c>
      <c r="AH283" s="5">
        <v>315.10000000000002</v>
      </c>
      <c r="AI283" s="5">
        <v>319.2</v>
      </c>
      <c r="AJ283" s="5">
        <v>333.7</v>
      </c>
      <c r="AK283" s="5">
        <v>353.8</v>
      </c>
      <c r="AL283" s="5">
        <v>372.5</v>
      </c>
      <c r="AM283" s="5">
        <v>401.7</v>
      </c>
      <c r="AN283" s="5">
        <v>427.5</v>
      </c>
      <c r="AO283" s="5">
        <v>478.1</v>
      </c>
      <c r="AP283" s="5">
        <v>502.2</v>
      </c>
      <c r="AQ283" s="5">
        <v>542.5</v>
      </c>
      <c r="AR283" s="5">
        <v>556.9</v>
      </c>
      <c r="AS283" s="5">
        <v>575.9</v>
      </c>
      <c r="AT283" s="5">
        <v>585.20000000000005</v>
      </c>
      <c r="AU283" s="5">
        <v>651.29999999999995</v>
      </c>
      <c r="AV283" s="5">
        <v>663.4</v>
      </c>
      <c r="AW283" s="5">
        <v>668</v>
      </c>
      <c r="AX283" s="5">
        <v>672.1</v>
      </c>
      <c r="AY283" s="5">
        <v>715.8</v>
      </c>
      <c r="AZ283" s="5">
        <v>718.2</v>
      </c>
      <c r="BA283" s="5">
        <v>716.3</v>
      </c>
      <c r="BB283" s="5">
        <v>716.4</v>
      </c>
      <c r="BC283" s="5">
        <v>750</v>
      </c>
      <c r="BD283" s="5">
        <v>756.5</v>
      </c>
      <c r="BE283" s="5">
        <v>766.5</v>
      </c>
      <c r="BF283" s="5">
        <v>773</v>
      </c>
      <c r="BG283" s="5">
        <v>817.3</v>
      </c>
      <c r="BH283" s="5">
        <v>820.3</v>
      </c>
      <c r="BI283" s="5">
        <v>836.2</v>
      </c>
      <c r="BJ283" s="5">
        <v>845.2</v>
      </c>
      <c r="BK283" s="5">
        <v>930.9</v>
      </c>
      <c r="BL283" s="5">
        <v>1157.5</v>
      </c>
      <c r="BM283" s="5">
        <v>1042.9000000000001</v>
      </c>
      <c r="BN283" s="5">
        <v>1205.0999999999999</v>
      </c>
      <c r="BO283" s="5">
        <v>1096</v>
      </c>
      <c r="BP283" s="5">
        <v>1147.5999999999999</v>
      </c>
      <c r="BQ283" s="5">
        <v>1379.5</v>
      </c>
      <c r="BR283" s="5">
        <v>1464.9</v>
      </c>
      <c r="BS283" s="5">
        <v>1555.9</v>
      </c>
      <c r="BT283" s="5">
        <v>1646.5</v>
      </c>
      <c r="BU283" s="5">
        <v>1955.1</v>
      </c>
      <c r="BV283" s="5">
        <v>3022</v>
      </c>
      <c r="BW283" s="5">
        <v>2214</v>
      </c>
      <c r="BX283" s="5">
        <v>3186.3</v>
      </c>
      <c r="BY283" s="5">
        <v>2274.1</v>
      </c>
      <c r="BZ283" s="5">
        <v>2470.1999999999998</v>
      </c>
      <c r="CA283" s="5">
        <v>4071.1</v>
      </c>
      <c r="CB283" s="5">
        <v>4389</v>
      </c>
      <c r="CC283" s="5">
        <v>4513.5</v>
      </c>
      <c r="CD283" s="5">
        <v>4667.3999999999996</v>
      </c>
      <c r="CE283" s="5">
        <v>5772.6</v>
      </c>
      <c r="CF283" s="5">
        <v>5961.3</v>
      </c>
      <c r="CG283" s="5">
        <v>6491.1</v>
      </c>
      <c r="CH283" s="5">
        <v>6913.1</v>
      </c>
      <c r="CI283" s="5">
        <v>6913.1</v>
      </c>
      <c r="CJ283" s="5">
        <v>6933.4</v>
      </c>
      <c r="CK283" s="5">
        <v>8282.5</v>
      </c>
      <c r="CL283" s="5">
        <v>8445.1</v>
      </c>
      <c r="CM283" s="5">
        <v>8833.9</v>
      </c>
      <c r="CN283" s="5">
        <v>9029</v>
      </c>
      <c r="CO283" s="5">
        <v>10791.1</v>
      </c>
      <c r="CP283" s="5">
        <v>11281.3</v>
      </c>
      <c r="CQ283" s="5">
        <v>11439</v>
      </c>
      <c r="CR283" s="5">
        <v>12181.7</v>
      </c>
      <c r="CS283" s="5">
        <v>12378.9</v>
      </c>
      <c r="CT283" s="5">
        <v>12549.9</v>
      </c>
    </row>
    <row r="284" spans="1:98">
      <c r="A284" s="2" t="s">
        <v>380</v>
      </c>
      <c r="B284" s="3"/>
      <c r="C284" s="3"/>
      <c r="D284" s="3"/>
      <c r="E284" s="3"/>
      <c r="F284" s="3">
        <v>107.1</v>
      </c>
      <c r="G284" s="3">
        <v>115.9</v>
      </c>
      <c r="H284" s="3">
        <v>117.6</v>
      </c>
      <c r="I284" s="3">
        <v>121.3</v>
      </c>
      <c r="J284" s="3">
        <v>121.3</v>
      </c>
      <c r="K284" s="3">
        <v>124.4</v>
      </c>
      <c r="L284" s="3">
        <v>125.4</v>
      </c>
      <c r="M284" s="3">
        <v>130.19999999999999</v>
      </c>
      <c r="N284" s="3">
        <v>131.1</v>
      </c>
      <c r="O284" s="3">
        <v>134.5</v>
      </c>
      <c r="P284" s="3">
        <v>134.80000000000001</v>
      </c>
      <c r="Q284" s="3">
        <v>135.69999999999999</v>
      </c>
      <c r="R284" s="3">
        <v>135.9</v>
      </c>
      <c r="S284" s="3">
        <v>141.6</v>
      </c>
      <c r="T284" s="3">
        <v>142.6</v>
      </c>
      <c r="U284" s="3">
        <v>146.1</v>
      </c>
      <c r="V284" s="3">
        <v>148.80000000000001</v>
      </c>
      <c r="W284" s="3">
        <v>305.89999999999998</v>
      </c>
      <c r="X284" s="3">
        <v>355.2</v>
      </c>
      <c r="Y284" s="3">
        <v>355.8</v>
      </c>
      <c r="Z284" s="3">
        <v>319.89999999999998</v>
      </c>
      <c r="AA284" s="3">
        <v>305.39999999999998</v>
      </c>
      <c r="AB284" s="3">
        <v>333.2</v>
      </c>
      <c r="AC284" s="3">
        <v>371.7</v>
      </c>
      <c r="AD284" s="3">
        <v>373.9</v>
      </c>
      <c r="AE284" s="3">
        <v>375</v>
      </c>
      <c r="AF284" s="3">
        <v>370</v>
      </c>
      <c r="AG284" s="3">
        <v>386.7</v>
      </c>
      <c r="AH284" s="3">
        <v>502.8</v>
      </c>
      <c r="AI284" s="3">
        <v>578.29999999999995</v>
      </c>
      <c r="AJ284" s="3">
        <v>607.4</v>
      </c>
      <c r="AK284" s="3">
        <v>632.79999999999995</v>
      </c>
      <c r="AL284" s="3">
        <v>692.8</v>
      </c>
      <c r="AM284" s="3">
        <v>752.5</v>
      </c>
      <c r="AN284" s="3">
        <v>733.6</v>
      </c>
      <c r="AO284" s="3">
        <v>757</v>
      </c>
      <c r="AP284" s="3">
        <v>1082.8</v>
      </c>
      <c r="AQ284" s="3">
        <v>1214.5</v>
      </c>
      <c r="AR284" s="3">
        <v>1224.2</v>
      </c>
      <c r="AS284" s="3">
        <v>1261.2</v>
      </c>
      <c r="AT284" s="3">
        <v>1246.7</v>
      </c>
      <c r="AU284" s="3">
        <v>1315.1</v>
      </c>
      <c r="AV284" s="3">
        <v>1376.6</v>
      </c>
      <c r="AW284" s="3">
        <v>1215.5</v>
      </c>
      <c r="AX284" s="3">
        <v>1072.5</v>
      </c>
      <c r="AY284" s="3">
        <v>1078.2</v>
      </c>
      <c r="AZ284" s="3">
        <v>1065.0999999999999</v>
      </c>
      <c r="BA284" s="3">
        <v>978.3</v>
      </c>
      <c r="BB284" s="3">
        <v>794.2</v>
      </c>
      <c r="BC284" s="3">
        <v>836.1</v>
      </c>
      <c r="BD284" s="3">
        <v>887.9</v>
      </c>
      <c r="BE284" s="3">
        <v>956.5</v>
      </c>
      <c r="BF284" s="3">
        <v>1060.5</v>
      </c>
      <c r="BG284" s="3">
        <v>1056.2</v>
      </c>
      <c r="BH284" s="3">
        <v>1069.0999999999999</v>
      </c>
      <c r="BI284" s="3">
        <v>1186.3</v>
      </c>
      <c r="BJ284" s="3">
        <v>1366.9</v>
      </c>
      <c r="BK284" s="3">
        <v>1409.3</v>
      </c>
      <c r="BL284" s="3">
        <v>1505.8</v>
      </c>
      <c r="BM284" s="3">
        <v>1458.5</v>
      </c>
      <c r="BN284" s="3">
        <v>1516</v>
      </c>
      <c r="BO284" s="3">
        <v>1481.7</v>
      </c>
      <c r="BP284" s="3">
        <v>1505</v>
      </c>
      <c r="BQ284" s="3">
        <v>1576.6</v>
      </c>
      <c r="BR284" s="3">
        <v>1682.7</v>
      </c>
      <c r="BS284" s="3">
        <v>1697.9</v>
      </c>
      <c r="BT284" s="3">
        <v>1713.1</v>
      </c>
      <c r="BU284" s="3">
        <v>1803.9</v>
      </c>
      <c r="BV284" s="3">
        <v>2055.6999999999998</v>
      </c>
      <c r="BW284" s="3">
        <v>1896.4</v>
      </c>
      <c r="BX284" s="3">
        <v>2107.1</v>
      </c>
      <c r="BY284" s="3">
        <v>1925.5</v>
      </c>
      <c r="BZ284" s="3">
        <v>1983.8</v>
      </c>
      <c r="CA284" s="3">
        <v>2332.6</v>
      </c>
      <c r="CB284" s="3">
        <v>2475.8000000000002</v>
      </c>
      <c r="CC284" s="3">
        <v>2480</v>
      </c>
      <c r="CD284" s="3">
        <v>2486.4</v>
      </c>
      <c r="CE284" s="3">
        <v>2669.7</v>
      </c>
      <c r="CF284" s="3">
        <v>2698.5</v>
      </c>
      <c r="CG284" s="3">
        <v>2710.2</v>
      </c>
      <c r="CH284" s="3">
        <v>2760</v>
      </c>
      <c r="CI284" s="3">
        <v>2760</v>
      </c>
      <c r="CJ284" s="3">
        <v>2760</v>
      </c>
      <c r="CK284" s="3">
        <v>2911.8</v>
      </c>
      <c r="CL284" s="3">
        <v>2953.2</v>
      </c>
      <c r="CM284" s="3">
        <v>2968.1</v>
      </c>
      <c r="CN284" s="3">
        <v>2999.7</v>
      </c>
      <c r="CO284" s="3">
        <v>3207.9</v>
      </c>
      <c r="CP284" s="3">
        <v>3266.4</v>
      </c>
      <c r="CQ284" s="3">
        <v>3268.6</v>
      </c>
      <c r="CR284" s="3">
        <v>3372.2</v>
      </c>
      <c r="CS284" s="3">
        <v>3390.6</v>
      </c>
      <c r="CT284" s="3">
        <v>3413.9</v>
      </c>
    </row>
    <row r="285" spans="1:98">
      <c r="A285" s="4" t="s">
        <v>381</v>
      </c>
      <c r="B285" s="5"/>
      <c r="C285" s="5"/>
      <c r="D285" s="5"/>
      <c r="E285" s="5"/>
      <c r="F285" s="5">
        <v>108.2</v>
      </c>
      <c r="G285" s="5">
        <v>118.5</v>
      </c>
      <c r="H285" s="5">
        <v>120.7</v>
      </c>
      <c r="I285" s="5">
        <v>129.4</v>
      </c>
      <c r="J285" s="5">
        <v>129.4</v>
      </c>
      <c r="K285" s="5">
        <v>134.5</v>
      </c>
      <c r="L285" s="5">
        <v>135.69999999999999</v>
      </c>
      <c r="M285" s="5">
        <v>140.9</v>
      </c>
      <c r="N285" s="5">
        <v>141.6</v>
      </c>
      <c r="O285" s="5">
        <v>147.6</v>
      </c>
      <c r="P285" s="5">
        <v>148.4</v>
      </c>
      <c r="Q285" s="5">
        <v>150.6</v>
      </c>
      <c r="R285" s="5">
        <v>150.80000000000001</v>
      </c>
      <c r="S285" s="5">
        <v>162.4</v>
      </c>
      <c r="T285" s="5">
        <v>163.69999999999999</v>
      </c>
      <c r="U285" s="5">
        <v>169.5</v>
      </c>
      <c r="V285" s="5">
        <v>180.4</v>
      </c>
      <c r="W285" s="5">
        <v>205.9</v>
      </c>
      <c r="X285" s="5">
        <v>213.5</v>
      </c>
      <c r="Y285" s="5">
        <v>215.4</v>
      </c>
      <c r="Z285" s="5">
        <v>212.5</v>
      </c>
      <c r="AA285" s="5">
        <v>208.3</v>
      </c>
      <c r="AB285" s="5">
        <v>213.4</v>
      </c>
      <c r="AC285" s="5">
        <v>219.8</v>
      </c>
      <c r="AD285" s="5">
        <v>224.7</v>
      </c>
      <c r="AE285" s="5">
        <v>235.7</v>
      </c>
      <c r="AF285" s="5">
        <v>235.9</v>
      </c>
      <c r="AG285" s="5">
        <v>238.8</v>
      </c>
      <c r="AH285" s="5">
        <v>268.8</v>
      </c>
      <c r="AI285" s="5">
        <v>283.89999999999998</v>
      </c>
      <c r="AJ285" s="5">
        <v>295.60000000000002</v>
      </c>
      <c r="AK285" s="5">
        <v>307.7</v>
      </c>
      <c r="AL285" s="5">
        <v>320.60000000000002</v>
      </c>
      <c r="AM285" s="5">
        <v>362.4</v>
      </c>
      <c r="AN285" s="5">
        <v>376.3</v>
      </c>
      <c r="AO285" s="5">
        <v>397.8</v>
      </c>
      <c r="AP285" s="5">
        <v>445</v>
      </c>
      <c r="AQ285" s="5">
        <v>495.1</v>
      </c>
      <c r="AR285" s="5">
        <v>501.5</v>
      </c>
      <c r="AS285" s="5">
        <v>512.1</v>
      </c>
      <c r="AT285" s="5">
        <v>517.1</v>
      </c>
      <c r="AU285" s="5">
        <v>559.9</v>
      </c>
      <c r="AV285" s="5">
        <v>573.1</v>
      </c>
      <c r="AW285" s="5">
        <v>564.70000000000005</v>
      </c>
      <c r="AX285" s="5">
        <v>555.20000000000005</v>
      </c>
      <c r="AY285" s="5">
        <v>585.20000000000005</v>
      </c>
      <c r="AZ285" s="5">
        <v>586.4</v>
      </c>
      <c r="BA285" s="5">
        <v>579.1</v>
      </c>
      <c r="BB285" s="5">
        <v>561.4</v>
      </c>
      <c r="BC285" s="5">
        <v>588.79999999999995</v>
      </c>
      <c r="BD285" s="5">
        <v>598.29999999999995</v>
      </c>
      <c r="BE285" s="5">
        <v>614.1</v>
      </c>
      <c r="BF285" s="5">
        <v>628.9</v>
      </c>
      <c r="BG285" s="5">
        <v>663.5</v>
      </c>
      <c r="BH285" s="5">
        <v>667.3</v>
      </c>
      <c r="BI285" s="5">
        <v>690.7</v>
      </c>
      <c r="BJ285" s="5">
        <v>721.4</v>
      </c>
      <c r="BK285" s="5">
        <v>857.4</v>
      </c>
      <c r="BL285" s="5">
        <v>1126.2</v>
      </c>
      <c r="BM285" s="5">
        <v>952.9</v>
      </c>
      <c r="BN285" s="5">
        <v>1115.5999999999999</v>
      </c>
      <c r="BO285" s="5">
        <v>1005.4</v>
      </c>
      <c r="BP285" s="5">
        <v>1101.5</v>
      </c>
      <c r="BQ285" s="5">
        <v>1307.4000000000001</v>
      </c>
      <c r="BR285" s="5">
        <v>1320.6</v>
      </c>
      <c r="BS285" s="5">
        <v>1340.2</v>
      </c>
      <c r="BT285" s="5">
        <v>1380</v>
      </c>
      <c r="BU285" s="5">
        <v>1566.8</v>
      </c>
      <c r="BV285" s="5">
        <v>2248.9</v>
      </c>
      <c r="BW285" s="5">
        <v>1816.1</v>
      </c>
      <c r="BX285" s="5">
        <v>2437.9</v>
      </c>
      <c r="BY285" s="5">
        <v>1881</v>
      </c>
      <c r="BZ285" s="5">
        <v>2001.4</v>
      </c>
      <c r="CA285" s="5">
        <v>3022.2</v>
      </c>
      <c r="CB285" s="5">
        <v>3246.9</v>
      </c>
      <c r="CC285" s="5">
        <v>3414.2</v>
      </c>
      <c r="CD285" s="5">
        <v>3554.9</v>
      </c>
      <c r="CE285" s="5">
        <v>4412.5</v>
      </c>
      <c r="CF285" s="5">
        <v>4408</v>
      </c>
      <c r="CG285" s="5">
        <v>4676.2</v>
      </c>
      <c r="CH285" s="5">
        <v>4958.2</v>
      </c>
      <c r="CI285" s="5">
        <v>5046</v>
      </c>
      <c r="CJ285" s="5">
        <v>5256.5</v>
      </c>
      <c r="CK285" s="5">
        <v>5993.1</v>
      </c>
      <c r="CL285" s="5">
        <v>6170</v>
      </c>
      <c r="CM285" s="5">
        <v>6235.8</v>
      </c>
      <c r="CN285" s="5">
        <v>6317.5</v>
      </c>
      <c r="CO285" s="5">
        <v>7437.6</v>
      </c>
      <c r="CP285" s="5">
        <v>7846.4</v>
      </c>
      <c r="CQ285" s="5">
        <v>8126.2</v>
      </c>
      <c r="CR285" s="5">
        <v>8718.7999999999993</v>
      </c>
      <c r="CS285" s="5">
        <v>9045.2000000000007</v>
      </c>
      <c r="CT285" s="5">
        <v>9253.4</v>
      </c>
    </row>
    <row r="286" spans="1:98">
      <c r="A286" s="2" t="s">
        <v>382</v>
      </c>
      <c r="B286" s="3"/>
      <c r="C286" s="3"/>
      <c r="D286" s="3"/>
      <c r="E286" s="3"/>
      <c r="F286" s="3">
        <v>117</v>
      </c>
      <c r="G286" s="3">
        <v>134.6</v>
      </c>
      <c r="H286" s="3">
        <v>138.69999999999999</v>
      </c>
      <c r="I286" s="3">
        <v>141.1</v>
      </c>
      <c r="J286" s="3">
        <v>141.1</v>
      </c>
      <c r="K286" s="3">
        <v>148.9</v>
      </c>
      <c r="L286" s="3">
        <v>151</v>
      </c>
      <c r="M286" s="3">
        <v>154.30000000000001</v>
      </c>
      <c r="N286" s="3">
        <v>155.4</v>
      </c>
      <c r="O286" s="3">
        <v>166.1</v>
      </c>
      <c r="P286" s="3">
        <v>167.5</v>
      </c>
      <c r="Q286" s="3">
        <v>168.3</v>
      </c>
      <c r="R286" s="3">
        <v>168.5</v>
      </c>
      <c r="S286" s="3">
        <v>183.5</v>
      </c>
      <c r="T286" s="3">
        <v>185.6</v>
      </c>
      <c r="U286" s="3">
        <v>192.3</v>
      </c>
      <c r="V286" s="3">
        <v>198.6</v>
      </c>
      <c r="W286" s="3">
        <v>218</v>
      </c>
      <c r="X286" s="3">
        <v>220.3</v>
      </c>
      <c r="Y286" s="3">
        <v>223</v>
      </c>
      <c r="Z286" s="3">
        <v>223.9</v>
      </c>
      <c r="AA286" s="3">
        <v>235.6</v>
      </c>
      <c r="AB286" s="3">
        <v>239.6</v>
      </c>
      <c r="AC286" s="3">
        <v>242.7</v>
      </c>
      <c r="AD286" s="3">
        <v>244.8</v>
      </c>
      <c r="AE286" s="3">
        <v>261.39999999999998</v>
      </c>
      <c r="AF286" s="3">
        <v>263.2</v>
      </c>
      <c r="AG286" s="3">
        <v>265.2</v>
      </c>
      <c r="AH286" s="3">
        <v>302</v>
      </c>
      <c r="AI286" s="3">
        <v>315</v>
      </c>
      <c r="AJ286" s="3">
        <v>324.5</v>
      </c>
      <c r="AK286" s="3">
        <v>338.5</v>
      </c>
      <c r="AL286" s="3">
        <v>350.3</v>
      </c>
      <c r="AM286" s="3">
        <v>383.2</v>
      </c>
      <c r="AN286" s="3">
        <v>403.7</v>
      </c>
      <c r="AO286" s="3">
        <v>441.1</v>
      </c>
      <c r="AP286" s="3">
        <v>457.7</v>
      </c>
      <c r="AQ286" s="3">
        <v>505.1</v>
      </c>
      <c r="AR286" s="3">
        <v>516.9</v>
      </c>
      <c r="AS286" s="3">
        <v>530.9</v>
      </c>
      <c r="AT286" s="3">
        <v>543.79999999999995</v>
      </c>
      <c r="AU286" s="3">
        <v>613</v>
      </c>
      <c r="AV286" s="3">
        <v>624.79999999999995</v>
      </c>
      <c r="AW286" s="3">
        <v>631.70000000000005</v>
      </c>
      <c r="AX286" s="3">
        <v>639.6</v>
      </c>
      <c r="AY286" s="3">
        <v>694.8</v>
      </c>
      <c r="AZ286" s="3">
        <v>699.5</v>
      </c>
      <c r="BA286" s="3">
        <v>702.1</v>
      </c>
      <c r="BB286" s="3">
        <v>705.1</v>
      </c>
      <c r="BC286" s="3">
        <v>753.8</v>
      </c>
      <c r="BD286" s="3">
        <v>760.8</v>
      </c>
      <c r="BE286" s="3">
        <v>767.9</v>
      </c>
      <c r="BF286" s="3">
        <v>774.9</v>
      </c>
      <c r="BG286" s="3">
        <v>832.9</v>
      </c>
      <c r="BH286" s="3">
        <v>836.6</v>
      </c>
      <c r="BI286" s="3">
        <v>852.3</v>
      </c>
      <c r="BJ286" s="3">
        <v>860.1</v>
      </c>
      <c r="BK286" s="3">
        <v>972.9</v>
      </c>
      <c r="BL286" s="3">
        <v>1132.3</v>
      </c>
      <c r="BM286" s="3">
        <v>1053.2</v>
      </c>
      <c r="BN286" s="3">
        <v>1184.5999999999999</v>
      </c>
      <c r="BO286" s="3">
        <v>1084.5999999999999</v>
      </c>
      <c r="BP286" s="3">
        <v>1115.0999999999999</v>
      </c>
      <c r="BQ286" s="3">
        <v>1399.1</v>
      </c>
      <c r="BR286" s="3">
        <v>1478.2</v>
      </c>
      <c r="BS286" s="3">
        <v>1530</v>
      </c>
      <c r="BT286" s="3">
        <v>1593.6</v>
      </c>
      <c r="BU286" s="3">
        <v>1901.7</v>
      </c>
      <c r="BV286" s="3">
        <v>2563.9</v>
      </c>
      <c r="BW286" s="3">
        <v>2146.1999999999998</v>
      </c>
      <c r="BX286" s="3">
        <v>2702.9</v>
      </c>
      <c r="BY286" s="3">
        <v>2203.9</v>
      </c>
      <c r="BZ286" s="3">
        <v>2324.6999999999998</v>
      </c>
      <c r="CA286" s="3">
        <v>3507.7</v>
      </c>
      <c r="CB286" s="3">
        <v>3753.5</v>
      </c>
      <c r="CC286" s="3">
        <v>3777.1</v>
      </c>
      <c r="CD286" s="3">
        <v>3861.3</v>
      </c>
      <c r="CE286" s="3">
        <v>4929.1000000000004</v>
      </c>
      <c r="CF286" s="3">
        <v>5062.3</v>
      </c>
      <c r="CG286" s="3">
        <v>5289</v>
      </c>
      <c r="CH286" s="3">
        <v>5613.4</v>
      </c>
      <c r="CI286" s="3">
        <v>5613.4</v>
      </c>
      <c r="CJ286" s="3">
        <v>5613.4</v>
      </c>
      <c r="CK286" s="3">
        <v>6822.9</v>
      </c>
      <c r="CL286" s="3">
        <v>7121</v>
      </c>
      <c r="CM286" s="3">
        <v>7253.3</v>
      </c>
      <c r="CN286" s="3">
        <v>7478.1</v>
      </c>
      <c r="CO286" s="3">
        <v>9107.2999999999993</v>
      </c>
      <c r="CP286" s="3">
        <v>9542.1</v>
      </c>
      <c r="CQ286" s="3">
        <v>9542.4</v>
      </c>
      <c r="CR286" s="3">
        <v>10101.299999999999</v>
      </c>
      <c r="CS286" s="3">
        <v>10214</v>
      </c>
      <c r="CT286" s="3">
        <v>10350.5</v>
      </c>
    </row>
    <row r="287" spans="1:98">
      <c r="A287" s="4" t="s">
        <v>383</v>
      </c>
      <c r="B287" s="5"/>
      <c r="C287" s="5"/>
      <c r="D287" s="5"/>
      <c r="E287" s="5"/>
      <c r="F287" s="5">
        <v>100</v>
      </c>
      <c r="G287" s="5">
        <v>101.7</v>
      </c>
      <c r="H287" s="5">
        <v>102.1</v>
      </c>
      <c r="I287" s="5">
        <v>104.1</v>
      </c>
      <c r="J287" s="5">
        <v>104.1</v>
      </c>
      <c r="K287" s="5">
        <v>106.9</v>
      </c>
      <c r="L287" s="5">
        <v>107.1</v>
      </c>
      <c r="M287" s="5">
        <v>119.2</v>
      </c>
      <c r="N287" s="5">
        <v>119.6</v>
      </c>
      <c r="O287" s="5">
        <v>120.9</v>
      </c>
      <c r="P287" s="5">
        <v>120.9</v>
      </c>
      <c r="Q287" s="5">
        <v>121.7</v>
      </c>
      <c r="R287" s="5">
        <v>121.7</v>
      </c>
      <c r="S287" s="5">
        <v>130.5</v>
      </c>
      <c r="T287" s="5">
        <v>131</v>
      </c>
      <c r="U287" s="5">
        <v>137.9</v>
      </c>
      <c r="V287" s="5">
        <v>146</v>
      </c>
      <c r="W287" s="5">
        <v>147.9</v>
      </c>
      <c r="X287" s="5">
        <v>148.1</v>
      </c>
      <c r="Y287" s="5">
        <v>140.6</v>
      </c>
      <c r="Z287" s="5">
        <v>134.6</v>
      </c>
      <c r="AA287" s="5">
        <v>131.69999999999999</v>
      </c>
      <c r="AB287" s="5">
        <v>132.1</v>
      </c>
      <c r="AC287" s="5">
        <v>134.69999999999999</v>
      </c>
      <c r="AD287" s="5">
        <v>145.1</v>
      </c>
      <c r="AE287" s="5">
        <v>146.6</v>
      </c>
      <c r="AF287" s="5">
        <v>146.80000000000001</v>
      </c>
      <c r="AG287" s="5">
        <v>147</v>
      </c>
      <c r="AH287" s="5">
        <v>151.9</v>
      </c>
      <c r="AI287" s="5">
        <v>153</v>
      </c>
      <c r="AJ287" s="5">
        <v>166</v>
      </c>
      <c r="AK287" s="5">
        <v>169.6</v>
      </c>
      <c r="AL287" s="5">
        <v>171.1</v>
      </c>
      <c r="AM287" s="5">
        <v>188.4</v>
      </c>
      <c r="AN287" s="5">
        <v>218.6</v>
      </c>
      <c r="AO287" s="5">
        <v>226.1</v>
      </c>
      <c r="AP287" s="5">
        <v>223.3</v>
      </c>
      <c r="AQ287" s="5">
        <v>254</v>
      </c>
      <c r="AR287" s="5">
        <v>255.3</v>
      </c>
      <c r="AS287" s="5">
        <v>256.3</v>
      </c>
      <c r="AT287" s="5">
        <v>257.39999999999998</v>
      </c>
      <c r="AU287" s="5">
        <v>264.2</v>
      </c>
      <c r="AV287" s="5">
        <v>265.39999999999998</v>
      </c>
      <c r="AW287" s="5">
        <v>266.5</v>
      </c>
      <c r="AX287" s="5">
        <v>267.2</v>
      </c>
      <c r="AY287" s="5">
        <v>244.5</v>
      </c>
      <c r="AZ287" s="5">
        <v>245</v>
      </c>
      <c r="BA287" s="5">
        <v>273.10000000000002</v>
      </c>
      <c r="BB287" s="5">
        <v>273.3</v>
      </c>
      <c r="BC287" s="5">
        <v>282.7</v>
      </c>
      <c r="BD287" s="5">
        <v>283.39999999999998</v>
      </c>
      <c r="BE287" s="5">
        <v>288.89999999999998</v>
      </c>
      <c r="BF287" s="5">
        <v>289.60000000000002</v>
      </c>
      <c r="BG287" s="5">
        <v>308.10000000000002</v>
      </c>
      <c r="BH287" s="5">
        <v>308.10000000000002</v>
      </c>
      <c r="BI287" s="5">
        <v>312.89999999999998</v>
      </c>
      <c r="BJ287" s="5">
        <v>315.5</v>
      </c>
      <c r="BK287" s="5">
        <v>393.9</v>
      </c>
      <c r="BL287" s="5">
        <v>507.2</v>
      </c>
      <c r="BM287" s="5">
        <v>448.4</v>
      </c>
      <c r="BN287" s="5">
        <v>513.29999999999995</v>
      </c>
      <c r="BO287" s="5">
        <v>493.1</v>
      </c>
      <c r="BP287" s="5">
        <v>497.7</v>
      </c>
      <c r="BQ287" s="5">
        <v>600.9</v>
      </c>
      <c r="BR287" s="5">
        <v>610.79999999999995</v>
      </c>
      <c r="BS287" s="5">
        <v>598.9</v>
      </c>
      <c r="BT287" s="5">
        <v>597.1</v>
      </c>
      <c r="BU287" s="5">
        <v>690.6</v>
      </c>
      <c r="BV287" s="5">
        <v>902.9</v>
      </c>
      <c r="BW287" s="5">
        <v>740.7</v>
      </c>
      <c r="BX287" s="5">
        <v>1019.9</v>
      </c>
      <c r="BY287" s="5">
        <v>747.8</v>
      </c>
      <c r="BZ287" s="5">
        <v>846.3</v>
      </c>
      <c r="CA287" s="5">
        <v>1280.8</v>
      </c>
      <c r="CB287" s="5">
        <v>1459.4</v>
      </c>
      <c r="CC287" s="5">
        <v>1501.5</v>
      </c>
      <c r="CD287" s="5">
        <v>1552.8</v>
      </c>
      <c r="CE287" s="5">
        <v>1847.4</v>
      </c>
      <c r="CF287" s="5">
        <v>1922.1</v>
      </c>
      <c r="CG287" s="5">
        <v>2007.3</v>
      </c>
      <c r="CH287" s="5">
        <v>2098.8000000000002</v>
      </c>
      <c r="CI287" s="5">
        <v>2098.9</v>
      </c>
      <c r="CJ287" s="5">
        <v>2196</v>
      </c>
      <c r="CK287" s="5">
        <v>2231.1</v>
      </c>
      <c r="CL287" s="5">
        <v>2459.5</v>
      </c>
      <c r="CM287" s="5">
        <v>2688.3</v>
      </c>
      <c r="CN287" s="5">
        <v>2854.8</v>
      </c>
      <c r="CO287" s="5">
        <v>3022.4</v>
      </c>
      <c r="CP287" s="5">
        <v>3105.4</v>
      </c>
      <c r="CQ287" s="5">
        <v>3380.1</v>
      </c>
      <c r="CR287" s="5">
        <v>3853.9</v>
      </c>
      <c r="CS287" s="5">
        <v>3996.7</v>
      </c>
      <c r="CT287" s="5">
        <v>4139.5</v>
      </c>
    </row>
    <row r="288" spans="1:98">
      <c r="A288" s="2" t="s">
        <v>384</v>
      </c>
      <c r="B288" s="3"/>
      <c r="C288" s="3"/>
      <c r="D288" s="3"/>
      <c r="E288" s="3"/>
      <c r="F288" s="3">
        <v>117.9</v>
      </c>
      <c r="G288" s="3">
        <v>138.9</v>
      </c>
      <c r="H288" s="3">
        <v>143.6</v>
      </c>
      <c r="I288" s="3">
        <v>145.9</v>
      </c>
      <c r="J288" s="3">
        <v>145.9</v>
      </c>
      <c r="K288" s="3">
        <v>154.69999999999999</v>
      </c>
      <c r="L288" s="3">
        <v>157.5</v>
      </c>
      <c r="M288" s="3">
        <v>161.80000000000001</v>
      </c>
      <c r="N288" s="3">
        <v>163.30000000000001</v>
      </c>
      <c r="O288" s="3">
        <v>172.4</v>
      </c>
      <c r="P288" s="3">
        <v>173.5</v>
      </c>
      <c r="Q288" s="3">
        <v>174</v>
      </c>
      <c r="R288" s="3">
        <v>174.2</v>
      </c>
      <c r="S288" s="3">
        <v>187.6</v>
      </c>
      <c r="T288" s="3">
        <v>189.6</v>
      </c>
      <c r="U288" s="3">
        <v>197.8</v>
      </c>
      <c r="V288" s="3">
        <v>205.8</v>
      </c>
      <c r="W288" s="3">
        <v>223.6</v>
      </c>
      <c r="X288" s="3">
        <v>226</v>
      </c>
      <c r="Y288" s="3">
        <v>227.2</v>
      </c>
      <c r="Z288" s="3">
        <v>227.5</v>
      </c>
      <c r="AA288" s="3">
        <v>235.8</v>
      </c>
      <c r="AB288" s="3">
        <v>240.9</v>
      </c>
      <c r="AC288" s="3">
        <v>242.1</v>
      </c>
      <c r="AD288" s="3">
        <v>242.9</v>
      </c>
      <c r="AE288" s="3">
        <v>256.5</v>
      </c>
      <c r="AF288" s="3">
        <v>257.7</v>
      </c>
      <c r="AG288" s="3">
        <v>257.89999999999998</v>
      </c>
      <c r="AH288" s="3">
        <v>336.1</v>
      </c>
      <c r="AI288" s="3">
        <v>340.1</v>
      </c>
      <c r="AJ288" s="3">
        <v>356.5</v>
      </c>
      <c r="AK288" s="3">
        <v>379.5</v>
      </c>
      <c r="AL288" s="3">
        <v>400.8</v>
      </c>
      <c r="AM288" s="3">
        <v>433.2</v>
      </c>
      <c r="AN288" s="3">
        <v>462.5</v>
      </c>
      <c r="AO288" s="3">
        <v>520</v>
      </c>
      <c r="AP288" s="3">
        <v>547.5</v>
      </c>
      <c r="AQ288" s="3">
        <v>592.1</v>
      </c>
      <c r="AR288" s="3">
        <v>608.4</v>
      </c>
      <c r="AS288" s="3">
        <v>619.4</v>
      </c>
      <c r="AT288" s="3">
        <v>630.4</v>
      </c>
      <c r="AU288" s="3">
        <v>694.6</v>
      </c>
      <c r="AV288" s="3">
        <v>709</v>
      </c>
      <c r="AW288" s="3">
        <v>713.7</v>
      </c>
      <c r="AX288" s="3">
        <v>720.1</v>
      </c>
      <c r="AY288" s="3">
        <v>768.6</v>
      </c>
      <c r="AZ288" s="3">
        <v>772.3</v>
      </c>
      <c r="BA288" s="3">
        <v>771.8</v>
      </c>
      <c r="BB288" s="3">
        <v>772</v>
      </c>
      <c r="BC288" s="3">
        <v>811.5</v>
      </c>
      <c r="BD288" s="3">
        <v>819.3</v>
      </c>
      <c r="BE288" s="3">
        <v>827</v>
      </c>
      <c r="BF288" s="3">
        <v>834.7</v>
      </c>
      <c r="BG288" s="3">
        <v>885.6</v>
      </c>
      <c r="BH288" s="3">
        <v>885.9</v>
      </c>
      <c r="BI288" s="3">
        <v>910.4</v>
      </c>
      <c r="BJ288" s="3">
        <v>918.7</v>
      </c>
      <c r="BK288" s="3">
        <v>1019.3</v>
      </c>
      <c r="BL288" s="3">
        <v>1296.5999999999999</v>
      </c>
      <c r="BM288" s="3">
        <v>1153.7</v>
      </c>
      <c r="BN288" s="3">
        <v>1377.7</v>
      </c>
      <c r="BO288" s="3">
        <v>1217.7</v>
      </c>
      <c r="BP288" s="3">
        <v>1279.9000000000001</v>
      </c>
      <c r="BQ288" s="3">
        <v>1587</v>
      </c>
      <c r="BR288" s="3">
        <v>1696.1</v>
      </c>
      <c r="BS288" s="3">
        <v>1790.3</v>
      </c>
      <c r="BT288" s="3">
        <v>1898.3</v>
      </c>
      <c r="BU288" s="3">
        <v>2244.6999999999998</v>
      </c>
      <c r="BV288" s="3">
        <v>3288.3</v>
      </c>
      <c r="BW288" s="3">
        <v>2620.6999999999998</v>
      </c>
      <c r="BX288" s="3">
        <v>3476.7</v>
      </c>
      <c r="BY288" s="3">
        <v>2737.3</v>
      </c>
      <c r="BZ288" s="3">
        <v>2981.6</v>
      </c>
      <c r="CA288" s="3">
        <v>4486.3999999999996</v>
      </c>
      <c r="CB288" s="3">
        <v>4865.3</v>
      </c>
      <c r="CC288" s="3">
        <v>4912.8999999999996</v>
      </c>
      <c r="CD288" s="3">
        <v>5083.2</v>
      </c>
      <c r="CE288" s="3">
        <v>6327.7</v>
      </c>
      <c r="CF288" s="3">
        <v>6529.6</v>
      </c>
      <c r="CG288" s="3">
        <v>6958.9</v>
      </c>
      <c r="CH288" s="3">
        <v>7405.2</v>
      </c>
      <c r="CI288" s="3">
        <v>7405.2</v>
      </c>
      <c r="CJ288" s="3">
        <v>7405.2</v>
      </c>
      <c r="CK288" s="3">
        <v>8882.7999999999993</v>
      </c>
      <c r="CL288" s="3">
        <v>9334</v>
      </c>
      <c r="CM288" s="3">
        <v>9441.5</v>
      </c>
      <c r="CN288" s="3">
        <v>9758.7999999999993</v>
      </c>
      <c r="CO288" s="3">
        <v>11683</v>
      </c>
      <c r="CP288" s="3">
        <v>12283.6</v>
      </c>
      <c r="CQ288" s="3">
        <v>12308.7</v>
      </c>
      <c r="CR288" s="3">
        <v>13220.9</v>
      </c>
      <c r="CS288" s="3">
        <v>13395</v>
      </c>
      <c r="CT288" s="3">
        <v>13616.9</v>
      </c>
    </row>
    <row r="289" spans="1:98">
      <c r="A289" s="4" t="s">
        <v>385</v>
      </c>
      <c r="B289" s="5"/>
      <c r="C289" s="5"/>
      <c r="D289" s="5"/>
      <c r="E289" s="5"/>
      <c r="F289" s="5">
        <v>116.3</v>
      </c>
      <c r="G289" s="5">
        <v>132.69999999999999</v>
      </c>
      <c r="H289" s="5">
        <v>136.19999999999999</v>
      </c>
      <c r="I289" s="5">
        <v>139</v>
      </c>
      <c r="J289" s="5">
        <v>139.19999999999999</v>
      </c>
      <c r="K289" s="5">
        <v>147.30000000000001</v>
      </c>
      <c r="L289" s="5">
        <v>149.4</v>
      </c>
      <c r="M289" s="5">
        <v>152.5</v>
      </c>
      <c r="N289" s="5">
        <v>153.5</v>
      </c>
      <c r="O289" s="5">
        <v>167.3</v>
      </c>
      <c r="P289" s="5">
        <v>169.4</v>
      </c>
      <c r="Q289" s="5">
        <v>171</v>
      </c>
      <c r="R289" s="5">
        <v>171.6</v>
      </c>
      <c r="S289" s="5">
        <v>189.4</v>
      </c>
      <c r="T289" s="5">
        <v>192.5</v>
      </c>
      <c r="U289" s="5">
        <v>199.8</v>
      </c>
      <c r="V289" s="5">
        <v>204.6</v>
      </c>
      <c r="W289" s="5">
        <v>227.3</v>
      </c>
      <c r="X289" s="5">
        <v>230.7</v>
      </c>
      <c r="Y289" s="5">
        <v>234.8</v>
      </c>
      <c r="Z289" s="5">
        <v>235.5</v>
      </c>
      <c r="AA289" s="5">
        <v>254.4</v>
      </c>
      <c r="AB289" s="5">
        <v>257.10000000000002</v>
      </c>
      <c r="AC289" s="5">
        <v>261.10000000000002</v>
      </c>
      <c r="AD289" s="5">
        <v>264.5</v>
      </c>
      <c r="AE289" s="5">
        <v>283.10000000000002</v>
      </c>
      <c r="AF289" s="5">
        <v>284.8</v>
      </c>
      <c r="AG289" s="5">
        <v>291.3</v>
      </c>
      <c r="AH289" s="5">
        <v>306.5</v>
      </c>
      <c r="AI289" s="5">
        <v>327</v>
      </c>
      <c r="AJ289" s="5">
        <v>334.7</v>
      </c>
      <c r="AK289" s="5">
        <v>342.4</v>
      </c>
      <c r="AL289" s="5">
        <v>347.8</v>
      </c>
      <c r="AM289" s="5">
        <v>387.6</v>
      </c>
      <c r="AN289" s="5">
        <v>403.7</v>
      </c>
      <c r="AO289" s="5">
        <v>432</v>
      </c>
      <c r="AP289" s="5">
        <v>441.5</v>
      </c>
      <c r="AQ289" s="5">
        <v>497.6</v>
      </c>
      <c r="AR289" s="5">
        <v>506.8</v>
      </c>
      <c r="AS289" s="5">
        <v>518.9</v>
      </c>
      <c r="AT289" s="5">
        <v>529.20000000000005</v>
      </c>
      <c r="AU289" s="5">
        <v>613</v>
      </c>
      <c r="AV289" s="5">
        <v>624.6</v>
      </c>
      <c r="AW289" s="5">
        <v>634.5</v>
      </c>
      <c r="AX289" s="5">
        <v>643.79999999999995</v>
      </c>
      <c r="AY289" s="5">
        <v>707.6</v>
      </c>
      <c r="AZ289" s="5">
        <v>713.4</v>
      </c>
      <c r="BA289" s="5">
        <v>718.6</v>
      </c>
      <c r="BB289" s="5">
        <v>723.9</v>
      </c>
      <c r="BC289" s="5">
        <v>779.1</v>
      </c>
      <c r="BD289" s="5">
        <v>786.2</v>
      </c>
      <c r="BE289" s="5">
        <v>793.1</v>
      </c>
      <c r="BF289" s="5">
        <v>800.1</v>
      </c>
      <c r="BG289" s="5">
        <v>870.6</v>
      </c>
      <c r="BH289" s="5">
        <v>873.4</v>
      </c>
      <c r="BI289" s="5">
        <v>888.8</v>
      </c>
      <c r="BJ289" s="5">
        <v>896.6</v>
      </c>
      <c r="BK289" s="5">
        <v>1025.9000000000001</v>
      </c>
      <c r="BL289" s="5">
        <v>1112.0999999999999</v>
      </c>
      <c r="BM289" s="5">
        <v>1073.0999999999999</v>
      </c>
      <c r="BN289" s="5">
        <v>1142.7</v>
      </c>
      <c r="BO289" s="5">
        <v>1082.3</v>
      </c>
      <c r="BP289" s="5">
        <v>1090.9000000000001</v>
      </c>
      <c r="BQ289" s="5">
        <v>1394</v>
      </c>
      <c r="BR289" s="5">
        <v>1455.7</v>
      </c>
      <c r="BS289" s="5">
        <v>1484.4</v>
      </c>
      <c r="BT289" s="5">
        <v>1523.3</v>
      </c>
      <c r="BU289" s="5">
        <v>1877.5</v>
      </c>
      <c r="BV289" s="5">
        <v>2310.9</v>
      </c>
      <c r="BW289" s="5">
        <v>2057.9</v>
      </c>
      <c r="BX289" s="5">
        <v>2446.6</v>
      </c>
      <c r="BY289" s="5">
        <v>2074.1</v>
      </c>
      <c r="BZ289" s="5">
        <v>2108.4</v>
      </c>
      <c r="CA289" s="5">
        <v>3215.2</v>
      </c>
      <c r="CB289" s="5">
        <v>3374</v>
      </c>
      <c r="CC289" s="5">
        <v>3386.6</v>
      </c>
      <c r="CD289" s="5">
        <v>3424.5</v>
      </c>
      <c r="CE289" s="5">
        <v>4351.1000000000004</v>
      </c>
      <c r="CF289" s="5">
        <v>4430</v>
      </c>
      <c r="CG289" s="5">
        <v>4803.8999999999996</v>
      </c>
      <c r="CH289" s="5">
        <v>5006.2</v>
      </c>
      <c r="CI289" s="5">
        <v>5006.3</v>
      </c>
      <c r="CJ289" s="5">
        <v>5006.3999999999996</v>
      </c>
      <c r="CK289" s="5">
        <v>6151.4</v>
      </c>
      <c r="CL289" s="5">
        <v>6356.1</v>
      </c>
      <c r="CM289" s="5">
        <v>6532.9</v>
      </c>
      <c r="CN289" s="5">
        <v>6693</v>
      </c>
      <c r="CO289" s="5">
        <v>8303.9</v>
      </c>
      <c r="CP289" s="5">
        <v>8630.6</v>
      </c>
      <c r="CQ289" s="5">
        <v>8713.9</v>
      </c>
      <c r="CR289" s="5">
        <v>9088.9</v>
      </c>
      <c r="CS289" s="5">
        <v>9169.1</v>
      </c>
      <c r="CT289" s="5">
        <v>9260.9</v>
      </c>
    </row>
    <row r="290" spans="1:98">
      <c r="A290" s="2" t="s">
        <v>386</v>
      </c>
      <c r="B290" s="3"/>
      <c r="C290" s="3"/>
      <c r="D290" s="3"/>
      <c r="E290" s="3"/>
      <c r="F290" s="3">
        <v>117.1</v>
      </c>
      <c r="G290" s="3">
        <v>138.30000000000001</v>
      </c>
      <c r="H290" s="3">
        <v>142.9</v>
      </c>
      <c r="I290" s="3">
        <v>146.1</v>
      </c>
      <c r="J290" s="3">
        <v>146.1</v>
      </c>
      <c r="K290" s="3">
        <v>151.80000000000001</v>
      </c>
      <c r="L290" s="3">
        <v>154.1</v>
      </c>
      <c r="M290" s="3">
        <v>161.6</v>
      </c>
      <c r="N290" s="3">
        <v>161</v>
      </c>
      <c r="O290" s="3">
        <v>168.9</v>
      </c>
      <c r="P290" s="3">
        <v>172.6</v>
      </c>
      <c r="Q290" s="3">
        <v>172.8</v>
      </c>
      <c r="R290" s="3">
        <v>172.9</v>
      </c>
      <c r="S290" s="3">
        <v>185.6</v>
      </c>
      <c r="T290" s="3">
        <v>190.7</v>
      </c>
      <c r="U290" s="3">
        <v>207.6</v>
      </c>
      <c r="V290" s="3">
        <v>205.4</v>
      </c>
      <c r="W290" s="3">
        <v>220</v>
      </c>
      <c r="X290" s="3">
        <v>221.3</v>
      </c>
      <c r="Y290" s="3">
        <v>220.4</v>
      </c>
      <c r="Z290" s="3">
        <v>219.5</v>
      </c>
      <c r="AA290" s="3">
        <v>220.2</v>
      </c>
      <c r="AB290" s="3">
        <v>231.4</v>
      </c>
      <c r="AC290" s="3">
        <v>224.5</v>
      </c>
      <c r="AD290" s="3">
        <v>233.7</v>
      </c>
      <c r="AE290" s="3">
        <v>251</v>
      </c>
      <c r="AF290" s="3">
        <v>253</v>
      </c>
      <c r="AG290" s="3">
        <v>253.4</v>
      </c>
      <c r="AH290" s="3">
        <v>307.2</v>
      </c>
      <c r="AI290" s="3">
        <v>313.5</v>
      </c>
      <c r="AJ290" s="3">
        <v>325.2</v>
      </c>
      <c r="AK290" s="3">
        <v>344.7</v>
      </c>
      <c r="AL290" s="3">
        <v>364.2</v>
      </c>
      <c r="AM290" s="3">
        <v>399.1</v>
      </c>
      <c r="AN290" s="3">
        <v>422.3</v>
      </c>
      <c r="AO290" s="3">
        <v>466.6</v>
      </c>
      <c r="AP290" s="3">
        <v>480.9</v>
      </c>
      <c r="AQ290" s="3">
        <v>529.1</v>
      </c>
      <c r="AR290" s="3">
        <v>549.4</v>
      </c>
      <c r="AS290" s="3">
        <v>557.1</v>
      </c>
      <c r="AT290" s="3">
        <v>563.79999999999995</v>
      </c>
      <c r="AU290" s="3">
        <v>618.29999999999995</v>
      </c>
      <c r="AV290" s="3">
        <v>633.4</v>
      </c>
      <c r="AW290" s="3">
        <v>641.20000000000005</v>
      </c>
      <c r="AX290" s="3">
        <v>646</v>
      </c>
      <c r="AY290" s="3">
        <v>679.7</v>
      </c>
      <c r="AZ290" s="3">
        <v>689.7</v>
      </c>
      <c r="BA290" s="3">
        <v>694.8</v>
      </c>
      <c r="BB290" s="3">
        <v>695.2</v>
      </c>
      <c r="BC290" s="3">
        <v>724.6</v>
      </c>
      <c r="BD290" s="3">
        <v>738.8</v>
      </c>
      <c r="BE290" s="3">
        <v>748.4</v>
      </c>
      <c r="BF290" s="3">
        <v>754.4</v>
      </c>
      <c r="BG290" s="3">
        <v>796.6</v>
      </c>
      <c r="BH290" s="3">
        <v>803.6</v>
      </c>
      <c r="BI290" s="3">
        <v>823.4</v>
      </c>
      <c r="BJ290" s="3">
        <v>831</v>
      </c>
      <c r="BK290" s="3">
        <v>922.7</v>
      </c>
      <c r="BL290" s="3">
        <v>1177.0999999999999</v>
      </c>
      <c r="BM290" s="3">
        <v>1028.7</v>
      </c>
      <c r="BN290" s="3">
        <v>1253.3</v>
      </c>
      <c r="BO290" s="3">
        <v>1103.3</v>
      </c>
      <c r="BP290" s="3">
        <v>1149.5</v>
      </c>
      <c r="BQ290" s="3">
        <v>1445.1</v>
      </c>
      <c r="BR290" s="3">
        <v>1544.8</v>
      </c>
      <c r="BS290" s="3">
        <v>1680.5</v>
      </c>
      <c r="BT290" s="3">
        <v>1796.5</v>
      </c>
      <c r="BU290" s="3">
        <v>2186</v>
      </c>
      <c r="BV290" s="3">
        <v>3184.3</v>
      </c>
      <c r="BW290" s="3">
        <v>2636.6</v>
      </c>
      <c r="BX290" s="3">
        <v>3341.2</v>
      </c>
      <c r="BY290" s="3">
        <v>2733.9</v>
      </c>
      <c r="BZ290" s="3">
        <v>2956.8</v>
      </c>
      <c r="CA290" s="3">
        <v>4366.7</v>
      </c>
      <c r="CB290" s="3">
        <v>4661.8999999999996</v>
      </c>
      <c r="CC290" s="3">
        <v>4752.3</v>
      </c>
      <c r="CD290" s="3">
        <v>4908.3</v>
      </c>
      <c r="CE290" s="3">
        <v>6104.5</v>
      </c>
      <c r="CF290" s="3">
        <v>6300.9</v>
      </c>
      <c r="CG290" s="3">
        <v>6745.9</v>
      </c>
      <c r="CH290" s="3">
        <v>7151.8</v>
      </c>
      <c r="CI290" s="3">
        <v>7197.1</v>
      </c>
      <c r="CJ290" s="3">
        <v>7243.2</v>
      </c>
      <c r="CK290" s="3">
        <v>8619.4</v>
      </c>
      <c r="CL290" s="3">
        <v>9198.9</v>
      </c>
      <c r="CM290" s="3">
        <v>9850.7000000000007</v>
      </c>
      <c r="CN290" s="3">
        <v>9995.6</v>
      </c>
      <c r="CO290" s="3">
        <v>11654.9</v>
      </c>
      <c r="CP290" s="3">
        <v>12144.7</v>
      </c>
      <c r="CQ290" s="3">
        <v>12495</v>
      </c>
      <c r="CR290" s="3">
        <v>13544</v>
      </c>
      <c r="CS290" s="3">
        <v>13724</v>
      </c>
      <c r="CT290" s="3">
        <v>13963</v>
      </c>
    </row>
    <row r="291" spans="1:98">
      <c r="A291" s="4" t="s">
        <v>387</v>
      </c>
      <c r="B291" s="5"/>
      <c r="C291" s="5"/>
      <c r="D291" s="5"/>
      <c r="E291" s="5"/>
      <c r="F291" s="5">
        <v>118.4</v>
      </c>
      <c r="G291" s="5">
        <v>140.30000000000001</v>
      </c>
      <c r="H291" s="5">
        <v>145</v>
      </c>
      <c r="I291" s="5">
        <v>147.69999999999999</v>
      </c>
      <c r="J291" s="5">
        <v>147.69999999999999</v>
      </c>
      <c r="K291" s="5">
        <v>156.5</v>
      </c>
      <c r="L291" s="5">
        <v>159.30000000000001</v>
      </c>
      <c r="M291" s="5">
        <v>163.5</v>
      </c>
      <c r="N291" s="5">
        <v>164.8</v>
      </c>
      <c r="O291" s="5">
        <v>174.6</v>
      </c>
      <c r="P291" s="5">
        <v>175.9</v>
      </c>
      <c r="Q291" s="5">
        <v>176.5</v>
      </c>
      <c r="R291" s="5">
        <v>176.7</v>
      </c>
      <c r="S291" s="5">
        <v>191.1</v>
      </c>
      <c r="T291" s="5">
        <v>193.2</v>
      </c>
      <c r="U291" s="5">
        <v>201.4</v>
      </c>
      <c r="V291" s="5">
        <v>209</v>
      </c>
      <c r="W291" s="5">
        <v>227.7</v>
      </c>
      <c r="X291" s="5">
        <v>230.2</v>
      </c>
      <c r="Y291" s="5">
        <v>231.8</v>
      </c>
      <c r="Z291" s="5">
        <v>232.1</v>
      </c>
      <c r="AA291" s="5">
        <v>242.1</v>
      </c>
      <c r="AB291" s="5">
        <v>247</v>
      </c>
      <c r="AC291" s="5">
        <v>248.5</v>
      </c>
      <c r="AD291" s="5">
        <v>249.7</v>
      </c>
      <c r="AE291" s="5">
        <v>264</v>
      </c>
      <c r="AF291" s="5">
        <v>265.39999999999998</v>
      </c>
      <c r="AG291" s="5">
        <v>266.5</v>
      </c>
      <c r="AH291" s="5">
        <v>339.1</v>
      </c>
      <c r="AI291" s="5">
        <v>345.5</v>
      </c>
      <c r="AJ291" s="5">
        <v>361.1</v>
      </c>
      <c r="AK291" s="5">
        <v>382.3</v>
      </c>
      <c r="AL291" s="5">
        <v>401.8</v>
      </c>
      <c r="AM291" s="5">
        <v>435.7</v>
      </c>
      <c r="AN291" s="5">
        <v>463.7</v>
      </c>
      <c r="AO291" s="5">
        <v>517.6</v>
      </c>
      <c r="AP291" s="5">
        <v>543.1</v>
      </c>
      <c r="AQ291" s="5">
        <v>590.4</v>
      </c>
      <c r="AR291" s="5">
        <v>606</v>
      </c>
      <c r="AS291" s="5">
        <v>620.1</v>
      </c>
      <c r="AT291" s="5">
        <v>631.29999999999995</v>
      </c>
      <c r="AU291" s="5">
        <v>700.6</v>
      </c>
      <c r="AV291" s="5">
        <v>714.8</v>
      </c>
      <c r="AW291" s="5">
        <v>720.2</v>
      </c>
      <c r="AX291" s="5">
        <v>727.2</v>
      </c>
      <c r="AY291" s="5">
        <v>778.9</v>
      </c>
      <c r="AZ291" s="5">
        <v>783</v>
      </c>
      <c r="BA291" s="5">
        <v>783.3</v>
      </c>
      <c r="BB291" s="5">
        <v>784.2</v>
      </c>
      <c r="BC291" s="5">
        <v>826.8</v>
      </c>
      <c r="BD291" s="5">
        <v>834.6</v>
      </c>
      <c r="BE291" s="5">
        <v>842.7</v>
      </c>
      <c r="BF291" s="5">
        <v>850.4</v>
      </c>
      <c r="BG291" s="5">
        <v>905.3</v>
      </c>
      <c r="BH291" s="5">
        <v>905.9</v>
      </c>
      <c r="BI291" s="5">
        <v>929.5</v>
      </c>
      <c r="BJ291" s="5">
        <v>938</v>
      </c>
      <c r="BK291" s="5">
        <v>1044.9000000000001</v>
      </c>
      <c r="BL291" s="5">
        <v>1297.5</v>
      </c>
      <c r="BM291" s="5">
        <v>1169.5999999999999</v>
      </c>
      <c r="BN291" s="5">
        <v>1358</v>
      </c>
      <c r="BO291" s="5">
        <v>1227.3</v>
      </c>
      <c r="BP291" s="5">
        <v>1283.4000000000001</v>
      </c>
      <c r="BQ291" s="5">
        <v>1575</v>
      </c>
      <c r="BR291" s="5">
        <v>1674.7</v>
      </c>
      <c r="BS291" s="5">
        <v>1764.2</v>
      </c>
      <c r="BT291" s="5">
        <v>1863.5</v>
      </c>
      <c r="BU291" s="5">
        <v>2218.1</v>
      </c>
      <c r="BV291" s="5">
        <v>3185.3</v>
      </c>
      <c r="BW291" s="5">
        <v>2572.1</v>
      </c>
      <c r="BX291" s="5">
        <v>3364.7</v>
      </c>
      <c r="BY291" s="5">
        <v>2675.5</v>
      </c>
      <c r="BZ291" s="5">
        <v>2892.2</v>
      </c>
      <c r="CA291" s="5">
        <v>4348</v>
      </c>
      <c r="CB291" s="5">
        <v>4696.5</v>
      </c>
      <c r="CC291" s="5">
        <v>4743.5</v>
      </c>
      <c r="CD291" s="5">
        <v>4895.1000000000004</v>
      </c>
      <c r="CE291" s="5">
        <v>6104.2</v>
      </c>
      <c r="CF291" s="5">
        <v>6291.1</v>
      </c>
      <c r="CG291" s="5">
        <v>6720.9</v>
      </c>
      <c r="CH291" s="5">
        <v>7138.6</v>
      </c>
      <c r="CI291" s="5">
        <v>7138.6</v>
      </c>
      <c r="CJ291" s="5">
        <v>7140</v>
      </c>
      <c r="CK291" s="5">
        <v>8573.1</v>
      </c>
      <c r="CL291" s="5">
        <v>9007</v>
      </c>
      <c r="CM291" s="5">
        <v>8121.3</v>
      </c>
      <c r="CN291" s="5">
        <v>9419.7999999999993</v>
      </c>
      <c r="CO291" s="5">
        <v>11276.4</v>
      </c>
      <c r="CP291" s="5">
        <v>11825</v>
      </c>
      <c r="CQ291" s="5">
        <v>11893.3</v>
      </c>
      <c r="CR291" s="5">
        <v>12761.1</v>
      </c>
      <c r="CS291" s="5">
        <v>12924.5</v>
      </c>
      <c r="CT291" s="5">
        <v>13130.8</v>
      </c>
    </row>
    <row r="292" spans="1:98">
      <c r="A292" s="2" t="s">
        <v>388</v>
      </c>
      <c r="B292" s="3"/>
      <c r="C292" s="3"/>
      <c r="D292" s="3"/>
      <c r="E292" s="3"/>
      <c r="F292" s="3">
        <v>114.7</v>
      </c>
      <c r="G292" s="3">
        <v>125.9</v>
      </c>
      <c r="H292" s="3">
        <v>128.80000000000001</v>
      </c>
      <c r="I292" s="3">
        <v>129.5</v>
      </c>
      <c r="J292" s="3">
        <v>129.5</v>
      </c>
      <c r="K292" s="3">
        <v>134.1</v>
      </c>
      <c r="L292" s="3">
        <v>135.80000000000001</v>
      </c>
      <c r="M292" s="3">
        <v>137.1</v>
      </c>
      <c r="N292" s="3">
        <v>137.80000000000001</v>
      </c>
      <c r="O292" s="3">
        <v>145</v>
      </c>
      <c r="P292" s="3">
        <v>146.6</v>
      </c>
      <c r="Q292" s="3">
        <v>146.80000000000001</v>
      </c>
      <c r="R292" s="3">
        <v>146.9</v>
      </c>
      <c r="S292" s="3">
        <v>167.2</v>
      </c>
      <c r="T292" s="3">
        <v>170</v>
      </c>
      <c r="U292" s="3">
        <v>171.7</v>
      </c>
      <c r="V292" s="3">
        <v>174.7</v>
      </c>
      <c r="W292" s="3">
        <v>187.9</v>
      </c>
      <c r="X292" s="3">
        <v>190.7</v>
      </c>
      <c r="Y292" s="3">
        <v>190.4</v>
      </c>
      <c r="Z292" s="3">
        <v>191</v>
      </c>
      <c r="AA292" s="3">
        <v>200.2</v>
      </c>
      <c r="AB292" s="3">
        <v>203.4</v>
      </c>
      <c r="AC292" s="3">
        <v>204.1</v>
      </c>
      <c r="AD292" s="3">
        <v>205.8</v>
      </c>
      <c r="AE292" s="3">
        <v>220.5</v>
      </c>
      <c r="AF292" s="3">
        <v>223.5</v>
      </c>
      <c r="AG292" s="3">
        <v>223.7</v>
      </c>
      <c r="AH292" s="3">
        <v>264.3</v>
      </c>
      <c r="AI292" s="3">
        <v>274.5</v>
      </c>
      <c r="AJ292" s="3">
        <v>279.8</v>
      </c>
      <c r="AK292" s="3">
        <v>286.3</v>
      </c>
      <c r="AL292" s="3">
        <v>292.60000000000002</v>
      </c>
      <c r="AM292" s="3">
        <v>318.3</v>
      </c>
      <c r="AN292" s="3">
        <v>335.3</v>
      </c>
      <c r="AO292" s="3">
        <v>358.8</v>
      </c>
      <c r="AP292" s="3">
        <v>372.2</v>
      </c>
      <c r="AQ292" s="3">
        <v>406.6</v>
      </c>
      <c r="AR292" s="3">
        <v>413.2</v>
      </c>
      <c r="AS292" s="3">
        <v>446.7</v>
      </c>
      <c r="AT292" s="3">
        <v>454.9</v>
      </c>
      <c r="AU292" s="3">
        <v>504.3</v>
      </c>
      <c r="AV292" s="3">
        <v>521.70000000000005</v>
      </c>
      <c r="AW292" s="3">
        <v>528.20000000000005</v>
      </c>
      <c r="AX292" s="3">
        <v>532.5</v>
      </c>
      <c r="AY292" s="3">
        <v>567.1</v>
      </c>
      <c r="AZ292" s="3">
        <v>571.29999999999995</v>
      </c>
      <c r="BA292" s="3">
        <v>585.70000000000005</v>
      </c>
      <c r="BB292" s="3">
        <v>587.79999999999995</v>
      </c>
      <c r="BC292" s="3">
        <v>619.29999999999995</v>
      </c>
      <c r="BD292" s="3">
        <v>624.4</v>
      </c>
      <c r="BE292" s="3">
        <v>640.9</v>
      </c>
      <c r="BF292" s="3">
        <v>644.70000000000005</v>
      </c>
      <c r="BG292" s="3">
        <v>690.3</v>
      </c>
      <c r="BH292" s="3">
        <v>694.5</v>
      </c>
      <c r="BI292" s="3">
        <v>709.8</v>
      </c>
      <c r="BJ292" s="3">
        <v>715.3</v>
      </c>
      <c r="BK292" s="3">
        <v>812.8</v>
      </c>
      <c r="BL292" s="3">
        <v>922.6</v>
      </c>
      <c r="BM292" s="3">
        <v>860.6</v>
      </c>
      <c r="BN292" s="3">
        <v>954.9</v>
      </c>
      <c r="BO292" s="3">
        <v>882.2</v>
      </c>
      <c r="BP292" s="3">
        <v>897.7</v>
      </c>
      <c r="BQ292" s="3">
        <v>1106.4000000000001</v>
      </c>
      <c r="BR292" s="3">
        <v>1162.3</v>
      </c>
      <c r="BS292" s="3">
        <v>1257.0999999999999</v>
      </c>
      <c r="BT292" s="3">
        <v>1293</v>
      </c>
      <c r="BU292" s="3">
        <v>1565.5</v>
      </c>
      <c r="BV292" s="3">
        <v>2007.8</v>
      </c>
      <c r="BW292" s="3">
        <v>1742.9</v>
      </c>
      <c r="BX292" s="3">
        <v>2091.4</v>
      </c>
      <c r="BY292" s="3">
        <v>1775</v>
      </c>
      <c r="BZ292" s="3">
        <v>1842.8</v>
      </c>
      <c r="CA292" s="3">
        <v>2788.4</v>
      </c>
      <c r="CB292" s="3">
        <v>2947.2</v>
      </c>
      <c r="CC292" s="3">
        <v>2985.9</v>
      </c>
      <c r="CD292" s="3">
        <v>3057.2</v>
      </c>
      <c r="CE292" s="3">
        <v>3849.1</v>
      </c>
      <c r="CF292" s="3">
        <v>3946.1</v>
      </c>
      <c r="CG292" s="3">
        <v>4117.7</v>
      </c>
      <c r="CH292" s="3">
        <v>4321.5</v>
      </c>
      <c r="CI292" s="3">
        <v>4323.5</v>
      </c>
      <c r="CJ292" s="3">
        <v>4325.6000000000004</v>
      </c>
      <c r="CK292" s="3">
        <v>5276.5</v>
      </c>
      <c r="CL292" s="3">
        <v>5608.2</v>
      </c>
      <c r="CM292" s="3">
        <v>5731.7</v>
      </c>
      <c r="CN292" s="3">
        <v>5891.7</v>
      </c>
      <c r="CO292" s="3">
        <v>7388.5</v>
      </c>
      <c r="CP292" s="3">
        <v>7838</v>
      </c>
      <c r="CQ292" s="3">
        <v>7652.3</v>
      </c>
      <c r="CR292" s="3">
        <v>8042.3</v>
      </c>
      <c r="CS292" s="3">
        <v>8093.2</v>
      </c>
      <c r="CT292" s="3">
        <v>8328.9</v>
      </c>
    </row>
    <row r="293" spans="1:98">
      <c r="A293" s="4" t="s">
        <v>389</v>
      </c>
      <c r="B293" s="5"/>
      <c r="C293" s="5"/>
      <c r="D293" s="5"/>
      <c r="E293" s="5"/>
      <c r="F293" s="5">
        <v>117</v>
      </c>
      <c r="G293" s="5">
        <v>134.80000000000001</v>
      </c>
      <c r="H293" s="5">
        <v>138.80000000000001</v>
      </c>
      <c r="I293" s="5">
        <v>141.30000000000001</v>
      </c>
      <c r="J293" s="5">
        <v>141.30000000000001</v>
      </c>
      <c r="K293" s="5">
        <v>149.4</v>
      </c>
      <c r="L293" s="5">
        <v>151.80000000000001</v>
      </c>
      <c r="M293" s="5">
        <v>155.1</v>
      </c>
      <c r="N293" s="5">
        <v>156.19999999999999</v>
      </c>
      <c r="O293" s="5">
        <v>167.4</v>
      </c>
      <c r="P293" s="5">
        <v>169.1</v>
      </c>
      <c r="Q293" s="5">
        <v>169.9</v>
      </c>
      <c r="R293" s="5">
        <v>170.1</v>
      </c>
      <c r="S293" s="5">
        <v>186</v>
      </c>
      <c r="T293" s="5">
        <v>188.2</v>
      </c>
      <c r="U293" s="5">
        <v>196</v>
      </c>
      <c r="V293" s="5">
        <v>201.8</v>
      </c>
      <c r="W293" s="5">
        <v>221.8</v>
      </c>
      <c r="X293" s="5">
        <v>224.2</v>
      </c>
      <c r="Y293" s="5">
        <v>227.2</v>
      </c>
      <c r="Z293" s="5">
        <v>227.9</v>
      </c>
      <c r="AA293" s="5">
        <v>241.7</v>
      </c>
      <c r="AB293" s="5">
        <v>245.4</v>
      </c>
      <c r="AC293" s="5">
        <v>248.5</v>
      </c>
      <c r="AD293" s="5">
        <v>250.9</v>
      </c>
      <c r="AE293" s="5">
        <v>266.89999999999998</v>
      </c>
      <c r="AF293" s="5">
        <v>268.60000000000002</v>
      </c>
      <c r="AG293" s="5">
        <v>271.8</v>
      </c>
      <c r="AH293" s="5">
        <v>323.7</v>
      </c>
      <c r="AI293" s="5">
        <v>337</v>
      </c>
      <c r="AJ293" s="5">
        <v>347.7</v>
      </c>
      <c r="AK293" s="5">
        <v>361.8</v>
      </c>
      <c r="AL293" s="5">
        <v>373.9</v>
      </c>
      <c r="AM293" s="5">
        <v>408.5</v>
      </c>
      <c r="AN293" s="5">
        <v>429.8</v>
      </c>
      <c r="AO293" s="5">
        <v>467.5</v>
      </c>
      <c r="AP293" s="5">
        <v>484.6</v>
      </c>
      <c r="AQ293" s="5">
        <v>534.4</v>
      </c>
      <c r="AR293" s="5">
        <v>546.4</v>
      </c>
      <c r="AS293" s="5">
        <v>557.29999999999995</v>
      </c>
      <c r="AT293" s="5">
        <v>568</v>
      </c>
      <c r="AU293" s="5">
        <v>640.5</v>
      </c>
      <c r="AV293" s="5">
        <v>652.5</v>
      </c>
      <c r="AW293" s="5">
        <v>659.6</v>
      </c>
      <c r="AX293" s="5">
        <v>667.5</v>
      </c>
      <c r="AY293" s="5">
        <v>723.5</v>
      </c>
      <c r="AZ293" s="5">
        <v>728.2</v>
      </c>
      <c r="BA293" s="5">
        <v>730.9</v>
      </c>
      <c r="BB293" s="5">
        <v>733.9</v>
      </c>
      <c r="BC293" s="5">
        <v>781.9</v>
      </c>
      <c r="BD293" s="5">
        <v>789.1</v>
      </c>
      <c r="BE293" s="5">
        <v>796.2</v>
      </c>
      <c r="BF293" s="5">
        <v>803.4</v>
      </c>
      <c r="BG293" s="5">
        <v>863.9</v>
      </c>
      <c r="BH293" s="5">
        <v>866.3</v>
      </c>
      <c r="BI293" s="5">
        <v>883.7</v>
      </c>
      <c r="BJ293" s="5">
        <v>891.9</v>
      </c>
      <c r="BK293" s="5">
        <v>1006.6</v>
      </c>
      <c r="BL293" s="5">
        <v>1162.3</v>
      </c>
      <c r="BM293" s="5">
        <v>1088.5</v>
      </c>
      <c r="BN293" s="5">
        <v>1179.9000000000001</v>
      </c>
      <c r="BO293" s="5">
        <v>1120.4000000000001</v>
      </c>
      <c r="BP293" s="5">
        <v>1151.3</v>
      </c>
      <c r="BQ293" s="5">
        <v>1398.2</v>
      </c>
      <c r="BR293" s="5">
        <v>1475.6</v>
      </c>
      <c r="BS293" s="5">
        <v>1528.2</v>
      </c>
      <c r="BT293" s="5">
        <v>1592</v>
      </c>
      <c r="BU293" s="5">
        <v>1920</v>
      </c>
      <c r="BV293" s="5">
        <v>2564.5</v>
      </c>
      <c r="BW293" s="5">
        <v>2167.6</v>
      </c>
      <c r="BX293" s="5">
        <v>2701.3</v>
      </c>
      <c r="BY293" s="5">
        <v>2222.4</v>
      </c>
      <c r="BZ293" s="5">
        <v>2337.1999999999998</v>
      </c>
      <c r="CA293" s="5">
        <v>3422.1</v>
      </c>
      <c r="CB293" s="5">
        <v>3652</v>
      </c>
      <c r="CC293" s="5">
        <v>3675.2</v>
      </c>
      <c r="CD293" s="5">
        <v>3849.8</v>
      </c>
      <c r="CE293" s="5">
        <v>4865.1000000000004</v>
      </c>
      <c r="CF293" s="5">
        <v>4990</v>
      </c>
      <c r="CG293" s="5">
        <v>5312.4</v>
      </c>
      <c r="CH293" s="5">
        <v>5616.1</v>
      </c>
      <c r="CI293" s="5">
        <v>5616.2</v>
      </c>
      <c r="CJ293" s="5">
        <v>5618.2</v>
      </c>
      <c r="CK293" s="5">
        <v>6827.3</v>
      </c>
      <c r="CL293" s="5">
        <v>7027.2</v>
      </c>
      <c r="CM293" s="5">
        <v>7069.6</v>
      </c>
      <c r="CN293" s="5">
        <v>7281</v>
      </c>
      <c r="CO293" s="5">
        <v>9032.9</v>
      </c>
      <c r="CP293" s="5">
        <v>9426.1</v>
      </c>
      <c r="CQ293" s="5">
        <v>9490.2999999999993</v>
      </c>
      <c r="CR293" s="5">
        <v>10079.299999999999</v>
      </c>
      <c r="CS293" s="5">
        <v>10192.5</v>
      </c>
      <c r="CT293" s="5">
        <v>10328.4</v>
      </c>
    </row>
    <row r="294" spans="1:98">
      <c r="A294" s="2" t="s">
        <v>390</v>
      </c>
      <c r="B294" s="3"/>
      <c r="C294" s="3"/>
      <c r="D294" s="3"/>
      <c r="E294" s="3"/>
      <c r="F294" s="3">
        <v>116.2</v>
      </c>
      <c r="G294" s="3">
        <v>132.30000000000001</v>
      </c>
      <c r="H294" s="3">
        <v>135.9</v>
      </c>
      <c r="I294" s="3">
        <v>138.4</v>
      </c>
      <c r="J294" s="3">
        <v>138.4</v>
      </c>
      <c r="K294" s="3">
        <v>145.69999999999999</v>
      </c>
      <c r="L294" s="3">
        <v>147.5</v>
      </c>
      <c r="M294" s="3">
        <v>150.4</v>
      </c>
      <c r="N294" s="3">
        <v>151.4</v>
      </c>
      <c r="O294" s="3">
        <v>163.1</v>
      </c>
      <c r="P294" s="3">
        <v>164.9</v>
      </c>
      <c r="Q294" s="3">
        <v>165.8</v>
      </c>
      <c r="R294" s="3">
        <v>166</v>
      </c>
      <c r="S294" s="3">
        <v>181.8</v>
      </c>
      <c r="T294" s="3">
        <v>184</v>
      </c>
      <c r="U294" s="3">
        <v>189.6</v>
      </c>
      <c r="V294" s="3">
        <v>194.7</v>
      </c>
      <c r="W294" s="3">
        <v>215.1</v>
      </c>
      <c r="X294" s="3">
        <v>217.2</v>
      </c>
      <c r="Y294" s="3">
        <v>221.1</v>
      </c>
      <c r="Z294" s="3">
        <v>222.3</v>
      </c>
      <c r="AA294" s="3">
        <v>236.2</v>
      </c>
      <c r="AB294" s="3">
        <v>239.5</v>
      </c>
      <c r="AC294" s="3">
        <v>243.9</v>
      </c>
      <c r="AD294" s="3">
        <v>246.9</v>
      </c>
      <c r="AE294" s="3">
        <v>264.3</v>
      </c>
      <c r="AF294" s="3">
        <v>266.3</v>
      </c>
      <c r="AG294" s="3">
        <v>268.7</v>
      </c>
      <c r="AH294" s="3">
        <v>299.2</v>
      </c>
      <c r="AI294" s="3">
        <v>314.7</v>
      </c>
      <c r="AJ294" s="3">
        <v>322.39999999999998</v>
      </c>
      <c r="AK294" s="3">
        <v>334.2</v>
      </c>
      <c r="AL294" s="3">
        <v>343.6</v>
      </c>
      <c r="AM294" s="3">
        <v>376.9</v>
      </c>
      <c r="AN294" s="3">
        <v>395.4</v>
      </c>
      <c r="AO294" s="3">
        <v>427.9</v>
      </c>
      <c r="AP294" s="3">
        <v>441.7</v>
      </c>
      <c r="AQ294" s="3">
        <v>490.9</v>
      </c>
      <c r="AR294" s="3">
        <v>501.7</v>
      </c>
      <c r="AS294" s="3">
        <v>511.7</v>
      </c>
      <c r="AT294" s="3">
        <v>522.9</v>
      </c>
      <c r="AU294" s="3">
        <v>592.9</v>
      </c>
      <c r="AV294" s="3">
        <v>604</v>
      </c>
      <c r="AW294" s="3">
        <v>611.5</v>
      </c>
      <c r="AX294" s="3">
        <v>619.70000000000005</v>
      </c>
      <c r="AY294" s="3">
        <v>676.5</v>
      </c>
      <c r="AZ294" s="3">
        <v>681.4</v>
      </c>
      <c r="BA294" s="3">
        <v>684.8</v>
      </c>
      <c r="BB294" s="3">
        <v>688.5</v>
      </c>
      <c r="BC294" s="3">
        <v>739.4</v>
      </c>
      <c r="BD294" s="3">
        <v>746.3</v>
      </c>
      <c r="BE294" s="3">
        <v>753.1</v>
      </c>
      <c r="BF294" s="3">
        <v>760</v>
      </c>
      <c r="BG294" s="3">
        <v>819.7</v>
      </c>
      <c r="BH294" s="3">
        <v>824.3</v>
      </c>
      <c r="BI294" s="3">
        <v>837.7</v>
      </c>
      <c r="BJ294" s="3">
        <v>845.3</v>
      </c>
      <c r="BK294" s="3">
        <v>960.8</v>
      </c>
      <c r="BL294" s="3">
        <v>1091.5</v>
      </c>
      <c r="BM294" s="3">
        <v>1027.0999999999999</v>
      </c>
      <c r="BN294" s="3">
        <v>1134.2</v>
      </c>
      <c r="BO294" s="3">
        <v>1050.0999999999999</v>
      </c>
      <c r="BP294" s="3">
        <v>1072.5</v>
      </c>
      <c r="BQ294" s="3">
        <v>1349.3</v>
      </c>
      <c r="BR294" s="3">
        <v>1419.5</v>
      </c>
      <c r="BS294" s="3">
        <v>1459.9</v>
      </c>
      <c r="BT294" s="3">
        <v>1511.7</v>
      </c>
      <c r="BU294" s="3">
        <v>1809.2</v>
      </c>
      <c r="BV294" s="3">
        <v>2370.8000000000002</v>
      </c>
      <c r="BW294" s="3">
        <v>2018.8</v>
      </c>
      <c r="BX294" s="3">
        <v>2496.3000000000002</v>
      </c>
      <c r="BY294" s="3">
        <v>2061.6999999999998</v>
      </c>
      <c r="BZ294" s="3">
        <v>2151.5</v>
      </c>
      <c r="CA294" s="3">
        <v>2623.2</v>
      </c>
      <c r="CB294" s="3">
        <v>2795.8</v>
      </c>
      <c r="CC294" s="3">
        <v>2810.2</v>
      </c>
      <c r="CD294" s="3">
        <v>2861.7</v>
      </c>
      <c r="CE294" s="3">
        <v>3685.7</v>
      </c>
      <c r="CF294" s="3">
        <v>3779.9</v>
      </c>
      <c r="CG294" s="3">
        <v>3917.6</v>
      </c>
      <c r="CH294" s="3">
        <v>4155.8999999999996</v>
      </c>
      <c r="CI294" s="3">
        <v>4155.8999999999996</v>
      </c>
      <c r="CJ294" s="3">
        <v>4155.8999999999996</v>
      </c>
      <c r="CK294" s="3">
        <v>5071.3999999999996</v>
      </c>
      <c r="CL294" s="3">
        <v>5283.5</v>
      </c>
      <c r="CM294" s="3">
        <v>5394.6</v>
      </c>
      <c r="CN294" s="3">
        <v>5557.6</v>
      </c>
      <c r="CO294" s="3">
        <v>6799.5</v>
      </c>
      <c r="CP294" s="3">
        <v>7115</v>
      </c>
      <c r="CQ294" s="3">
        <v>7115</v>
      </c>
      <c r="CR294" s="3">
        <v>7498.6</v>
      </c>
      <c r="CS294" s="3">
        <v>7577.3</v>
      </c>
      <c r="CT294" s="3">
        <v>7670.4</v>
      </c>
    </row>
    <row r="295" spans="1:98">
      <c r="A295" s="4" t="s">
        <v>391</v>
      </c>
      <c r="B295" s="5"/>
      <c r="C295" s="5"/>
      <c r="D295" s="5"/>
      <c r="E295" s="5"/>
      <c r="F295" s="5">
        <v>112.7</v>
      </c>
      <c r="G295" s="5">
        <v>128.6</v>
      </c>
      <c r="H295" s="5">
        <v>131.30000000000001</v>
      </c>
      <c r="I295" s="5">
        <v>133.30000000000001</v>
      </c>
      <c r="J295" s="5">
        <v>133.30000000000001</v>
      </c>
      <c r="K295" s="5">
        <v>140.9</v>
      </c>
      <c r="L295" s="5">
        <v>141.9</v>
      </c>
      <c r="M295" s="5">
        <v>143.5</v>
      </c>
      <c r="N295" s="5">
        <v>144</v>
      </c>
      <c r="O295" s="5">
        <v>156.5</v>
      </c>
      <c r="P295" s="5">
        <v>158.1</v>
      </c>
      <c r="Q295" s="5">
        <v>159.30000000000001</v>
      </c>
      <c r="R295" s="5">
        <v>159.5</v>
      </c>
      <c r="S295" s="5">
        <v>176</v>
      </c>
      <c r="T295" s="5">
        <v>177.9</v>
      </c>
      <c r="U295" s="5">
        <v>180.4</v>
      </c>
      <c r="V295" s="5">
        <v>183.7</v>
      </c>
      <c r="W295" s="5">
        <v>206.7</v>
      </c>
      <c r="X295" s="5">
        <v>208.4</v>
      </c>
      <c r="Y295" s="5">
        <v>213.2</v>
      </c>
      <c r="Z295" s="5">
        <v>215.2</v>
      </c>
      <c r="AA295" s="5">
        <v>229.7</v>
      </c>
      <c r="AB295" s="5">
        <v>232.1</v>
      </c>
      <c r="AC295" s="5">
        <v>237.2</v>
      </c>
      <c r="AD295" s="5">
        <v>240.7</v>
      </c>
      <c r="AE295" s="5">
        <v>258</v>
      </c>
      <c r="AF295" s="5">
        <v>260.60000000000002</v>
      </c>
      <c r="AG295" s="5">
        <v>264.10000000000002</v>
      </c>
      <c r="AH295" s="5">
        <v>269.89999999999998</v>
      </c>
      <c r="AI295" s="5">
        <v>289</v>
      </c>
      <c r="AJ295" s="5">
        <v>291.3</v>
      </c>
      <c r="AK295" s="5">
        <v>299.2</v>
      </c>
      <c r="AL295" s="5">
        <v>304.3</v>
      </c>
      <c r="AM295" s="5">
        <v>338.8</v>
      </c>
      <c r="AN295" s="5">
        <v>352.8</v>
      </c>
      <c r="AO295" s="5">
        <v>383.6</v>
      </c>
      <c r="AP295" s="5">
        <v>395</v>
      </c>
      <c r="AQ295" s="5">
        <v>435.5</v>
      </c>
      <c r="AR295" s="5">
        <v>441.8</v>
      </c>
      <c r="AS295" s="5">
        <v>462.3</v>
      </c>
      <c r="AT295" s="5">
        <v>471.7</v>
      </c>
      <c r="AU295" s="5">
        <v>541.29999999999995</v>
      </c>
      <c r="AV295" s="5">
        <v>551.6</v>
      </c>
      <c r="AW295" s="5">
        <v>559.20000000000005</v>
      </c>
      <c r="AX295" s="5">
        <v>566.79999999999995</v>
      </c>
      <c r="AY295" s="5">
        <v>618.70000000000005</v>
      </c>
      <c r="AZ295" s="5">
        <v>623.29999999999995</v>
      </c>
      <c r="BA295" s="5">
        <v>625.20000000000005</v>
      </c>
      <c r="BB295" s="5">
        <v>625.5</v>
      </c>
      <c r="BC295" s="5">
        <v>674</v>
      </c>
      <c r="BD295" s="5">
        <v>680.7</v>
      </c>
      <c r="BE295" s="5">
        <v>694.4</v>
      </c>
      <c r="BF295" s="5">
        <v>701.4</v>
      </c>
      <c r="BG295" s="5">
        <v>759.2</v>
      </c>
      <c r="BH295" s="5">
        <v>767</v>
      </c>
      <c r="BI295" s="5">
        <v>775.2</v>
      </c>
      <c r="BJ295" s="5">
        <v>784.8</v>
      </c>
      <c r="BK295" s="5">
        <v>911.1</v>
      </c>
      <c r="BL295" s="5">
        <v>1032.7</v>
      </c>
      <c r="BM295" s="5">
        <v>951.1</v>
      </c>
      <c r="BN295" s="5">
        <v>1046.3</v>
      </c>
      <c r="BO295" s="5">
        <v>968.8</v>
      </c>
      <c r="BP295" s="5">
        <v>1026.2</v>
      </c>
      <c r="BQ295" s="5">
        <v>1257</v>
      </c>
      <c r="BR295" s="5">
        <v>1288.9000000000001</v>
      </c>
      <c r="BS295" s="5">
        <v>1305.2</v>
      </c>
      <c r="BT295" s="5">
        <v>1330.6</v>
      </c>
      <c r="BU295" s="5">
        <v>1591.5</v>
      </c>
      <c r="BV295" s="5">
        <v>1987</v>
      </c>
      <c r="BW295" s="5">
        <v>1724.4</v>
      </c>
      <c r="BX295" s="5">
        <v>2090.1</v>
      </c>
      <c r="BY295" s="5">
        <v>1730</v>
      </c>
      <c r="BZ295" s="5">
        <v>1770.1</v>
      </c>
      <c r="CA295" s="5">
        <v>2665</v>
      </c>
      <c r="CB295" s="5">
        <v>2816.2</v>
      </c>
      <c r="CC295" s="5">
        <v>2857.3</v>
      </c>
      <c r="CD295" s="5">
        <v>2894.1</v>
      </c>
      <c r="CE295" s="5">
        <v>3729.9</v>
      </c>
      <c r="CF295" s="5">
        <v>3804.2</v>
      </c>
      <c r="CG295" s="5">
        <v>3887.2</v>
      </c>
      <c r="CH295" s="5">
        <v>4106.8</v>
      </c>
      <c r="CI295" s="5">
        <v>4174.2</v>
      </c>
      <c r="CJ295" s="5">
        <v>4199</v>
      </c>
      <c r="CK295" s="5">
        <v>5024.5</v>
      </c>
      <c r="CL295" s="5">
        <v>5152.7</v>
      </c>
      <c r="CM295" s="5">
        <v>5296.6</v>
      </c>
      <c r="CN295" s="5">
        <v>5408.5</v>
      </c>
      <c r="CO295" s="5">
        <v>6634</v>
      </c>
      <c r="CP295" s="5">
        <v>6885.7</v>
      </c>
      <c r="CQ295" s="5">
        <v>6927.3</v>
      </c>
      <c r="CR295" s="5">
        <v>7223.7</v>
      </c>
      <c r="CS295" s="5">
        <v>7326.7</v>
      </c>
      <c r="CT295" s="5">
        <v>7480.2</v>
      </c>
    </row>
    <row r="296" spans="1:98">
      <c r="A296" s="2" t="s">
        <v>392</v>
      </c>
      <c r="B296" s="3"/>
      <c r="C296" s="3"/>
      <c r="D296" s="3"/>
      <c r="E296" s="3"/>
      <c r="F296" s="3">
        <v>117.5</v>
      </c>
      <c r="G296" s="3">
        <v>135.19999999999999</v>
      </c>
      <c r="H296" s="3">
        <v>139</v>
      </c>
      <c r="I296" s="3">
        <v>142</v>
      </c>
      <c r="J296" s="3">
        <v>142</v>
      </c>
      <c r="K296" s="3">
        <v>150.9</v>
      </c>
      <c r="L296" s="3">
        <v>153.19999999999999</v>
      </c>
      <c r="M296" s="3">
        <v>156.4</v>
      </c>
      <c r="N296" s="3">
        <v>157.5</v>
      </c>
      <c r="O296" s="3">
        <v>170.7</v>
      </c>
      <c r="P296" s="3">
        <v>172.9</v>
      </c>
      <c r="Q296" s="3">
        <v>173.9</v>
      </c>
      <c r="R296" s="3">
        <v>174.2</v>
      </c>
      <c r="S296" s="3">
        <v>192</v>
      </c>
      <c r="T296" s="3">
        <v>194.4</v>
      </c>
      <c r="U296" s="3">
        <v>202.5</v>
      </c>
      <c r="V296" s="3">
        <v>207.4</v>
      </c>
      <c r="W296" s="3">
        <v>230.5</v>
      </c>
      <c r="X296" s="3">
        <v>233.4</v>
      </c>
      <c r="Y296" s="3">
        <v>237.1</v>
      </c>
      <c r="Z296" s="3">
        <v>237.5</v>
      </c>
      <c r="AA296" s="3">
        <v>256.5</v>
      </c>
      <c r="AB296" s="3">
        <v>259.60000000000002</v>
      </c>
      <c r="AC296" s="3">
        <v>263.7</v>
      </c>
      <c r="AD296" s="3">
        <v>266.8</v>
      </c>
      <c r="AE296" s="3">
        <v>284.39999999999998</v>
      </c>
      <c r="AF296" s="3">
        <v>286</v>
      </c>
      <c r="AG296" s="3">
        <v>292.89999999999998</v>
      </c>
      <c r="AH296" s="3">
        <v>316.10000000000002</v>
      </c>
      <c r="AI296" s="3">
        <v>336</v>
      </c>
      <c r="AJ296" s="3">
        <v>345.8</v>
      </c>
      <c r="AK296" s="3">
        <v>354.4</v>
      </c>
      <c r="AL296" s="3">
        <v>362.1</v>
      </c>
      <c r="AM296" s="3">
        <v>402</v>
      </c>
      <c r="AN296" s="3">
        <v>420.5</v>
      </c>
      <c r="AO296" s="3">
        <v>448.1</v>
      </c>
      <c r="AP296" s="3">
        <v>461.1</v>
      </c>
      <c r="AQ296" s="3">
        <v>520</v>
      </c>
      <c r="AR296" s="3">
        <v>530.70000000000005</v>
      </c>
      <c r="AS296" s="3">
        <v>541.6</v>
      </c>
      <c r="AT296" s="3">
        <v>552</v>
      </c>
      <c r="AU296" s="3">
        <v>639.6</v>
      </c>
      <c r="AV296" s="3">
        <v>651.20000000000005</v>
      </c>
      <c r="AW296" s="3">
        <v>659.7</v>
      </c>
      <c r="AX296" s="3">
        <v>668.7</v>
      </c>
      <c r="AY296" s="3">
        <v>734.1</v>
      </c>
      <c r="AZ296" s="3">
        <v>739.9</v>
      </c>
      <c r="BA296" s="3">
        <v>744.7</v>
      </c>
      <c r="BB296" s="3">
        <v>749.1</v>
      </c>
      <c r="BC296" s="3">
        <v>804.8</v>
      </c>
      <c r="BD296" s="3">
        <v>812.5</v>
      </c>
      <c r="BE296" s="3">
        <v>820.1</v>
      </c>
      <c r="BF296" s="3">
        <v>827.8</v>
      </c>
      <c r="BG296" s="3">
        <v>900.6</v>
      </c>
      <c r="BH296" s="3">
        <v>902.5</v>
      </c>
      <c r="BI296" s="3">
        <v>919.6</v>
      </c>
      <c r="BJ296" s="3">
        <v>928.4</v>
      </c>
      <c r="BK296" s="3">
        <v>1061.9000000000001</v>
      </c>
      <c r="BL296" s="3">
        <v>1172.5</v>
      </c>
      <c r="BM296" s="3">
        <v>1119.5</v>
      </c>
      <c r="BN296" s="3">
        <v>1212</v>
      </c>
      <c r="BO296" s="3">
        <v>1135.9000000000001</v>
      </c>
      <c r="BP296" s="3">
        <v>1153</v>
      </c>
      <c r="BQ296" s="3">
        <v>1473.9</v>
      </c>
      <c r="BR296" s="3">
        <v>1544.6</v>
      </c>
      <c r="BS296" s="3">
        <v>1583.6</v>
      </c>
      <c r="BT296" s="3">
        <v>1634</v>
      </c>
      <c r="BU296" s="3">
        <v>2005.7</v>
      </c>
      <c r="BV296" s="3">
        <v>2542.4</v>
      </c>
      <c r="BW296" s="3">
        <v>2223.5</v>
      </c>
      <c r="BX296" s="3">
        <v>2672.7</v>
      </c>
      <c r="BY296" s="3">
        <v>2252.8000000000002</v>
      </c>
      <c r="BZ296" s="3">
        <v>2313.8000000000002</v>
      </c>
      <c r="CA296" s="3">
        <v>3505.8</v>
      </c>
      <c r="CB296" s="3">
        <v>3683.2</v>
      </c>
      <c r="CC296" s="3">
        <v>3699.8</v>
      </c>
      <c r="CD296" s="3">
        <v>3745.5</v>
      </c>
      <c r="CE296" s="3">
        <v>4740.3</v>
      </c>
      <c r="CF296" s="3">
        <v>4832.8999999999996</v>
      </c>
      <c r="CG296" s="3">
        <v>5267</v>
      </c>
      <c r="CH296" s="3">
        <v>5499.2</v>
      </c>
      <c r="CI296" s="3">
        <v>5501.6</v>
      </c>
      <c r="CJ296" s="3">
        <v>5506.8</v>
      </c>
      <c r="CK296" s="3">
        <v>6754.8</v>
      </c>
      <c r="CL296" s="3">
        <v>6998.2</v>
      </c>
      <c r="CM296" s="3">
        <v>7136.3</v>
      </c>
      <c r="CN296" s="3">
        <v>7319.4</v>
      </c>
      <c r="CO296" s="3">
        <v>9068.2000000000007</v>
      </c>
      <c r="CP296" s="3">
        <v>9437.7000000000007</v>
      </c>
      <c r="CQ296" s="3">
        <v>9461.9</v>
      </c>
      <c r="CR296" s="3">
        <v>9932.1</v>
      </c>
      <c r="CS296" s="3">
        <v>10035.799999999999</v>
      </c>
      <c r="CT296" s="3">
        <v>10153.9</v>
      </c>
    </row>
    <row r="297" spans="1:98">
      <c r="A297" s="4" t="s">
        <v>393</v>
      </c>
      <c r="B297" s="5"/>
      <c r="C297" s="5"/>
      <c r="D297" s="5"/>
      <c r="E297" s="5"/>
      <c r="F297" s="5">
        <v>117</v>
      </c>
      <c r="G297" s="5">
        <v>133.4</v>
      </c>
      <c r="H297" s="5">
        <v>137.1</v>
      </c>
      <c r="I297" s="5">
        <v>139.80000000000001</v>
      </c>
      <c r="J297" s="5">
        <v>139.80000000000001</v>
      </c>
      <c r="K297" s="5">
        <v>147.80000000000001</v>
      </c>
      <c r="L297" s="5">
        <v>149.9</v>
      </c>
      <c r="M297" s="5">
        <v>152.5</v>
      </c>
      <c r="N297" s="5">
        <v>153.30000000000001</v>
      </c>
      <c r="O297" s="5">
        <v>166.8</v>
      </c>
      <c r="P297" s="5">
        <v>170.5</v>
      </c>
      <c r="Q297" s="5">
        <v>171.4</v>
      </c>
      <c r="R297" s="5">
        <v>171.7</v>
      </c>
      <c r="S297" s="5">
        <v>189.7</v>
      </c>
      <c r="T297" s="5">
        <v>192.2</v>
      </c>
      <c r="U297" s="5">
        <v>198.6</v>
      </c>
      <c r="V297" s="5">
        <v>203</v>
      </c>
      <c r="W297" s="5">
        <v>226</v>
      </c>
      <c r="X297" s="5">
        <v>228.4</v>
      </c>
      <c r="Y297" s="5">
        <v>233.1</v>
      </c>
      <c r="Z297" s="5">
        <v>234.3</v>
      </c>
      <c r="AA297" s="5">
        <v>251.6</v>
      </c>
      <c r="AB297" s="5">
        <v>255.7</v>
      </c>
      <c r="AC297" s="5">
        <v>259.39999999999998</v>
      </c>
      <c r="AD297" s="5">
        <v>264.5</v>
      </c>
      <c r="AE297" s="5">
        <v>283.5</v>
      </c>
      <c r="AF297" s="5">
        <v>285.5</v>
      </c>
      <c r="AG297" s="5">
        <v>290.89999999999998</v>
      </c>
      <c r="AH297" s="5">
        <v>302.10000000000002</v>
      </c>
      <c r="AI297" s="5">
        <v>323.10000000000002</v>
      </c>
      <c r="AJ297" s="5">
        <v>329.7</v>
      </c>
      <c r="AK297" s="5">
        <v>337.1</v>
      </c>
      <c r="AL297" s="5">
        <v>342.6</v>
      </c>
      <c r="AM297" s="5">
        <v>380.3</v>
      </c>
      <c r="AN297" s="5">
        <v>399.9</v>
      </c>
      <c r="AO297" s="5">
        <v>420.3</v>
      </c>
      <c r="AP297" s="5">
        <v>429.7</v>
      </c>
      <c r="AQ297" s="5">
        <v>486.1</v>
      </c>
      <c r="AR297" s="5">
        <v>495.3</v>
      </c>
      <c r="AS297" s="5">
        <v>505.7</v>
      </c>
      <c r="AT297" s="5">
        <v>517</v>
      </c>
      <c r="AU297" s="5">
        <v>599.70000000000005</v>
      </c>
      <c r="AV297" s="5">
        <v>610.20000000000005</v>
      </c>
      <c r="AW297" s="5">
        <v>619.6</v>
      </c>
      <c r="AX297" s="5">
        <v>629.20000000000005</v>
      </c>
      <c r="AY297" s="5">
        <v>694.3</v>
      </c>
      <c r="AZ297" s="5">
        <v>700.2</v>
      </c>
      <c r="BA297" s="5">
        <v>705.3</v>
      </c>
      <c r="BB297" s="5">
        <v>710.7</v>
      </c>
      <c r="BC297" s="5">
        <v>768.3</v>
      </c>
      <c r="BD297" s="5">
        <v>775.4</v>
      </c>
      <c r="BE297" s="5">
        <v>782.5</v>
      </c>
      <c r="BF297" s="5">
        <v>789.6</v>
      </c>
      <c r="BG297" s="5">
        <v>859.5</v>
      </c>
      <c r="BH297" s="5">
        <v>863.8</v>
      </c>
      <c r="BI297" s="5">
        <v>876.4</v>
      </c>
      <c r="BJ297" s="5">
        <v>884.3</v>
      </c>
      <c r="BK297" s="5">
        <v>1015.2</v>
      </c>
      <c r="BL297" s="5">
        <v>1097.3</v>
      </c>
      <c r="BM297" s="5">
        <v>1061.2</v>
      </c>
      <c r="BN297" s="5">
        <v>1125.5999999999999</v>
      </c>
      <c r="BO297" s="5">
        <v>1070.9000000000001</v>
      </c>
      <c r="BP297" s="5">
        <v>1080.2</v>
      </c>
      <c r="BQ297" s="5">
        <v>1371.5</v>
      </c>
      <c r="BR297" s="5">
        <v>1432.8</v>
      </c>
      <c r="BS297" s="5">
        <v>1459.2</v>
      </c>
      <c r="BT297" s="5">
        <v>1493.5</v>
      </c>
      <c r="BU297" s="5">
        <v>1823.6</v>
      </c>
      <c r="BV297" s="5">
        <v>2235.8000000000002</v>
      </c>
      <c r="BW297" s="5">
        <v>1992.3</v>
      </c>
      <c r="BX297" s="5">
        <v>2347.8000000000002</v>
      </c>
      <c r="BY297" s="5">
        <v>2005.8</v>
      </c>
      <c r="BZ297" s="5">
        <v>2035.6</v>
      </c>
      <c r="CA297" s="5">
        <v>3082.7</v>
      </c>
      <c r="CB297" s="5">
        <v>3228.2</v>
      </c>
      <c r="CC297" s="5">
        <v>3235.3</v>
      </c>
      <c r="CD297" s="5">
        <v>3251.7</v>
      </c>
      <c r="CE297" s="5">
        <v>4227.2</v>
      </c>
      <c r="CF297" s="5">
        <v>4308.5</v>
      </c>
      <c r="CG297" s="5">
        <v>4578.3999999999996</v>
      </c>
      <c r="CH297" s="5">
        <v>4747.5</v>
      </c>
      <c r="CI297" s="5">
        <v>4747.5</v>
      </c>
      <c r="CJ297" s="5">
        <v>4747.5</v>
      </c>
      <c r="CK297" s="5">
        <v>5867.9</v>
      </c>
      <c r="CL297" s="5">
        <v>6067.3</v>
      </c>
      <c r="CM297" s="5">
        <v>6224</v>
      </c>
      <c r="CN297" s="5">
        <v>6385.4</v>
      </c>
      <c r="CO297" s="5">
        <v>7949.8</v>
      </c>
      <c r="CP297" s="5">
        <v>8262.7000000000007</v>
      </c>
      <c r="CQ297" s="5">
        <v>8275.5</v>
      </c>
      <c r="CR297" s="5">
        <v>8620.2999999999993</v>
      </c>
      <c r="CS297" s="5">
        <v>8696.9</v>
      </c>
      <c r="CT297" s="5">
        <v>8773.5</v>
      </c>
    </row>
    <row r="298" spans="1:98">
      <c r="A298" s="2" t="s">
        <v>394</v>
      </c>
      <c r="B298" s="3"/>
      <c r="C298" s="3"/>
      <c r="D298" s="3"/>
      <c r="E298" s="3"/>
      <c r="F298" s="3">
        <v>119.3</v>
      </c>
      <c r="G298" s="3">
        <v>143.5</v>
      </c>
      <c r="H298" s="3">
        <v>148.6</v>
      </c>
      <c r="I298" s="3">
        <v>151.4</v>
      </c>
      <c r="J298" s="3">
        <v>151.4</v>
      </c>
      <c r="K298" s="3">
        <v>160.5</v>
      </c>
      <c r="L298" s="3">
        <v>163.5</v>
      </c>
      <c r="M298" s="3">
        <v>167.9</v>
      </c>
      <c r="N298" s="3">
        <v>169.4</v>
      </c>
      <c r="O298" s="3">
        <v>178.8</v>
      </c>
      <c r="P298" s="3">
        <v>179.9</v>
      </c>
      <c r="Q298" s="3">
        <v>180.4</v>
      </c>
      <c r="R298" s="3">
        <v>180.6</v>
      </c>
      <c r="S298" s="3">
        <v>194.9</v>
      </c>
      <c r="T298" s="3">
        <v>197</v>
      </c>
      <c r="U298" s="3">
        <v>205.5</v>
      </c>
      <c r="V298" s="3">
        <v>213.8</v>
      </c>
      <c r="W298" s="3">
        <v>232.2</v>
      </c>
      <c r="X298" s="3">
        <v>234.8</v>
      </c>
      <c r="Y298" s="3">
        <v>235.8</v>
      </c>
      <c r="Z298" s="3">
        <v>236.1</v>
      </c>
      <c r="AA298" s="3">
        <v>244.7</v>
      </c>
      <c r="AB298" s="3">
        <v>250.1</v>
      </c>
      <c r="AC298" s="3">
        <v>251</v>
      </c>
      <c r="AD298" s="3">
        <v>251.8</v>
      </c>
      <c r="AE298" s="3">
        <v>265.8</v>
      </c>
      <c r="AF298" s="3">
        <v>267.10000000000002</v>
      </c>
      <c r="AG298" s="3">
        <v>267.2</v>
      </c>
      <c r="AH298" s="3">
        <v>344.7</v>
      </c>
      <c r="AI298" s="3">
        <v>348.6</v>
      </c>
      <c r="AJ298" s="3">
        <v>365.6</v>
      </c>
      <c r="AK298" s="3">
        <v>389.2</v>
      </c>
      <c r="AL298" s="3">
        <v>411</v>
      </c>
      <c r="AM298" s="3">
        <v>444.2</v>
      </c>
      <c r="AN298" s="3">
        <v>474.2</v>
      </c>
      <c r="AO298" s="3">
        <v>533.20000000000005</v>
      </c>
      <c r="AP298" s="3">
        <v>561.4</v>
      </c>
      <c r="AQ298" s="3">
        <v>607</v>
      </c>
      <c r="AR298" s="3">
        <v>623.70000000000005</v>
      </c>
      <c r="AS298" s="3">
        <v>634.79999999999995</v>
      </c>
      <c r="AT298" s="3">
        <v>646.1</v>
      </c>
      <c r="AU298" s="3">
        <v>711.7</v>
      </c>
      <c r="AV298" s="3">
        <v>726.5</v>
      </c>
      <c r="AW298" s="3">
        <v>731.3</v>
      </c>
      <c r="AX298" s="3">
        <v>737.8</v>
      </c>
      <c r="AY298" s="3">
        <v>787.2</v>
      </c>
      <c r="AZ298" s="3">
        <v>790.9</v>
      </c>
      <c r="BA298" s="3">
        <v>790.4</v>
      </c>
      <c r="BB298" s="3">
        <v>790.5</v>
      </c>
      <c r="BC298" s="3">
        <v>830.7</v>
      </c>
      <c r="BD298" s="3">
        <v>838.6</v>
      </c>
      <c r="BE298" s="3">
        <v>846.5</v>
      </c>
      <c r="BF298" s="3">
        <v>854.4</v>
      </c>
      <c r="BG298" s="3">
        <v>906.3</v>
      </c>
      <c r="BH298" s="3">
        <v>906.5</v>
      </c>
      <c r="BI298" s="3">
        <v>931.7</v>
      </c>
      <c r="BJ298" s="3">
        <v>940.3</v>
      </c>
      <c r="BK298" s="3">
        <v>1042.8</v>
      </c>
      <c r="BL298" s="3">
        <v>1318.6</v>
      </c>
      <c r="BM298" s="3">
        <v>1181.4000000000001</v>
      </c>
      <c r="BN298" s="3">
        <v>1350.9</v>
      </c>
      <c r="BO298" s="3">
        <v>1247.5999999999999</v>
      </c>
      <c r="BP298" s="3">
        <v>1311.9</v>
      </c>
      <c r="BQ298" s="3">
        <v>1555.6</v>
      </c>
      <c r="BR298" s="3">
        <v>1655.9</v>
      </c>
      <c r="BS298" s="3">
        <v>1755.9</v>
      </c>
      <c r="BT298" s="3">
        <v>1862.3</v>
      </c>
      <c r="BU298" s="3">
        <v>2212.1</v>
      </c>
      <c r="BV298" s="3">
        <v>3230.4</v>
      </c>
      <c r="BW298" s="3">
        <v>2587.3000000000002</v>
      </c>
      <c r="BX298" s="3">
        <v>3415.6</v>
      </c>
      <c r="BY298" s="3">
        <v>2702.3</v>
      </c>
      <c r="BZ298" s="3">
        <v>2943.5</v>
      </c>
      <c r="CA298" s="3">
        <v>4407.6000000000004</v>
      </c>
      <c r="CB298" s="3">
        <v>4780.3</v>
      </c>
      <c r="CC298" s="3">
        <v>4827.5</v>
      </c>
      <c r="CD298" s="3">
        <v>4995.8</v>
      </c>
      <c r="CE298" s="3">
        <v>6214.5</v>
      </c>
      <c r="CF298" s="3">
        <v>6413</v>
      </c>
      <c r="CG298" s="3">
        <v>6841.2</v>
      </c>
      <c r="CH298" s="3">
        <v>7279.1</v>
      </c>
      <c r="CI298" s="3">
        <v>7279.1</v>
      </c>
      <c r="CJ298" s="3">
        <v>7278.9</v>
      </c>
      <c r="CK298" s="3">
        <v>8701.1</v>
      </c>
      <c r="CL298" s="3">
        <v>9173.7000000000007</v>
      </c>
      <c r="CM298" s="3">
        <v>9277.7999999999993</v>
      </c>
      <c r="CN298" s="3">
        <v>9589.6</v>
      </c>
      <c r="CO298" s="3">
        <v>11395.2</v>
      </c>
      <c r="CP298" s="3">
        <v>11950.4</v>
      </c>
      <c r="CQ298" s="3">
        <v>12051</v>
      </c>
      <c r="CR298" s="3">
        <v>12992.9</v>
      </c>
      <c r="CS298" s="3">
        <v>13164.5</v>
      </c>
      <c r="CT298" s="3">
        <v>13383.3</v>
      </c>
    </row>
    <row r="299" spans="1:98">
      <c r="A299" s="4" t="s">
        <v>395</v>
      </c>
      <c r="B299" s="5"/>
      <c r="C299" s="5"/>
      <c r="D299" s="5"/>
      <c r="E299" s="5"/>
      <c r="F299" s="5">
        <v>115.6</v>
      </c>
      <c r="G299" s="5">
        <v>131.4</v>
      </c>
      <c r="H299" s="5">
        <v>134.80000000000001</v>
      </c>
      <c r="I299" s="5">
        <v>139.6</v>
      </c>
      <c r="J299" s="5">
        <v>140</v>
      </c>
      <c r="K299" s="5">
        <v>147.30000000000001</v>
      </c>
      <c r="L299" s="5">
        <v>149.1</v>
      </c>
      <c r="M299" s="5">
        <v>152.69999999999999</v>
      </c>
      <c r="N299" s="5">
        <v>153.80000000000001</v>
      </c>
      <c r="O299" s="5">
        <v>165.2</v>
      </c>
      <c r="P299" s="5">
        <v>166.4</v>
      </c>
      <c r="Q299" s="5">
        <v>169.9</v>
      </c>
      <c r="R299" s="5">
        <v>171.7</v>
      </c>
      <c r="S299" s="5">
        <v>186.3</v>
      </c>
      <c r="T299" s="5">
        <v>190.2</v>
      </c>
      <c r="U299" s="5">
        <v>197.3</v>
      </c>
      <c r="V299" s="5">
        <v>203.6</v>
      </c>
      <c r="W299" s="5">
        <v>223</v>
      </c>
      <c r="X299" s="5">
        <v>227.8</v>
      </c>
      <c r="Y299" s="5">
        <v>230.2</v>
      </c>
      <c r="Z299" s="5">
        <v>230.5</v>
      </c>
      <c r="AA299" s="5">
        <v>242.8</v>
      </c>
      <c r="AB299" s="5">
        <v>246</v>
      </c>
      <c r="AC299" s="5">
        <v>247.8</v>
      </c>
      <c r="AD299" s="5">
        <v>249.7</v>
      </c>
      <c r="AE299" s="5">
        <v>265</v>
      </c>
      <c r="AF299" s="5">
        <v>266.3</v>
      </c>
      <c r="AG299" s="5">
        <v>269.7</v>
      </c>
      <c r="AH299" s="5">
        <v>307.10000000000002</v>
      </c>
      <c r="AI299" s="5">
        <v>318.39999999999998</v>
      </c>
      <c r="AJ299" s="5">
        <v>328.6</v>
      </c>
      <c r="AK299" s="5">
        <v>343.7</v>
      </c>
      <c r="AL299" s="5">
        <v>355.1</v>
      </c>
      <c r="AM299" s="5">
        <v>392.4</v>
      </c>
      <c r="AN299" s="5">
        <v>411.3</v>
      </c>
      <c r="AO299" s="5">
        <v>442.2</v>
      </c>
      <c r="AP299" s="5">
        <v>457.9</v>
      </c>
      <c r="AQ299" s="5">
        <v>496.1</v>
      </c>
      <c r="AR299" s="5">
        <v>509</v>
      </c>
      <c r="AS299" s="5">
        <v>550.20000000000005</v>
      </c>
      <c r="AT299" s="5">
        <v>559.1</v>
      </c>
      <c r="AU299" s="5">
        <v>613.5</v>
      </c>
      <c r="AV299" s="5">
        <v>621.9</v>
      </c>
      <c r="AW299" s="5">
        <v>631.5</v>
      </c>
      <c r="AX299" s="5">
        <v>636.70000000000005</v>
      </c>
      <c r="AY299" s="5">
        <v>683.2</v>
      </c>
      <c r="AZ299" s="5">
        <v>684.5</v>
      </c>
      <c r="BA299" s="5">
        <v>691.3</v>
      </c>
      <c r="BB299" s="5">
        <v>693</v>
      </c>
      <c r="BC299" s="5">
        <v>757.3</v>
      </c>
      <c r="BD299" s="5">
        <v>763.6</v>
      </c>
      <c r="BE299" s="5">
        <v>768.8</v>
      </c>
      <c r="BF299" s="5">
        <v>773.8</v>
      </c>
      <c r="BG299" s="5">
        <v>828.6</v>
      </c>
      <c r="BH299" s="5">
        <v>829.7</v>
      </c>
      <c r="BI299" s="5">
        <v>844.9</v>
      </c>
      <c r="BJ299" s="5">
        <v>857.1</v>
      </c>
      <c r="BK299" s="5">
        <v>958.3</v>
      </c>
      <c r="BL299" s="5">
        <v>1126.0999999999999</v>
      </c>
      <c r="BM299" s="5">
        <v>1039.9000000000001</v>
      </c>
      <c r="BN299" s="5">
        <v>1171.7</v>
      </c>
      <c r="BO299" s="5">
        <v>1068.5999999999999</v>
      </c>
      <c r="BP299" s="5">
        <v>1101</v>
      </c>
      <c r="BQ299" s="5">
        <v>1402.8</v>
      </c>
      <c r="BR299" s="5">
        <v>1473</v>
      </c>
      <c r="BS299" s="5">
        <v>1523.9</v>
      </c>
      <c r="BT299" s="5">
        <v>1584.1</v>
      </c>
      <c r="BU299" s="5">
        <v>1946.4</v>
      </c>
      <c r="BV299" s="5">
        <v>2558.1</v>
      </c>
      <c r="BW299" s="5">
        <v>2173.4</v>
      </c>
      <c r="BX299" s="5">
        <v>2770.4</v>
      </c>
      <c r="BY299" s="5">
        <v>2225.1</v>
      </c>
      <c r="BZ299" s="5">
        <v>2334.3000000000002</v>
      </c>
      <c r="CA299" s="5">
        <v>3581.3</v>
      </c>
      <c r="CB299" s="5">
        <v>3841.5</v>
      </c>
      <c r="CC299" s="5">
        <v>3883.9</v>
      </c>
      <c r="CD299" s="5">
        <v>3989.7</v>
      </c>
      <c r="CE299" s="5">
        <v>4959.8</v>
      </c>
      <c r="CF299" s="5">
        <v>5074.1000000000004</v>
      </c>
      <c r="CG299" s="5">
        <v>5500.7</v>
      </c>
      <c r="CH299" s="5">
        <v>5881.3</v>
      </c>
      <c r="CI299" s="5">
        <v>5881.3</v>
      </c>
      <c r="CJ299" s="5">
        <v>5936</v>
      </c>
      <c r="CK299" s="5">
        <v>6967.1</v>
      </c>
      <c r="CL299" s="5">
        <v>7216.6</v>
      </c>
      <c r="CM299" s="5">
        <v>7469.5</v>
      </c>
      <c r="CN299" s="5">
        <v>7666.3</v>
      </c>
      <c r="CO299" s="5">
        <v>9241.7999999999993</v>
      </c>
      <c r="CP299" s="5">
        <v>9658.2000000000007</v>
      </c>
      <c r="CQ299" s="5">
        <v>9700.2999999999993</v>
      </c>
      <c r="CR299" s="5">
        <v>10194.299999999999</v>
      </c>
      <c r="CS299" s="5">
        <v>10412.9</v>
      </c>
      <c r="CT299" s="5">
        <v>10524.9</v>
      </c>
    </row>
    <row r="300" spans="1:98">
      <c r="A300" s="2" t="s">
        <v>396</v>
      </c>
      <c r="B300" s="3"/>
      <c r="C300" s="3"/>
      <c r="D300" s="3"/>
      <c r="E300" s="3"/>
      <c r="F300" s="3">
        <v>122.7</v>
      </c>
      <c r="G300" s="3">
        <v>139.4</v>
      </c>
      <c r="H300" s="3">
        <v>143.9</v>
      </c>
      <c r="I300" s="3">
        <v>147.6</v>
      </c>
      <c r="J300" s="3">
        <v>147</v>
      </c>
      <c r="K300" s="3">
        <v>154</v>
      </c>
      <c r="L300" s="3">
        <v>156.69999999999999</v>
      </c>
      <c r="M300" s="3">
        <v>158.80000000000001</v>
      </c>
      <c r="N300" s="3">
        <v>159.19999999999999</v>
      </c>
      <c r="O300" s="3">
        <v>167.3</v>
      </c>
      <c r="P300" s="3">
        <v>169.3</v>
      </c>
      <c r="Q300" s="3">
        <v>172.8</v>
      </c>
      <c r="R300" s="3">
        <v>173.8</v>
      </c>
      <c r="S300" s="3">
        <v>190.9</v>
      </c>
      <c r="T300" s="3">
        <v>193.3</v>
      </c>
      <c r="U300" s="3">
        <v>200.2</v>
      </c>
      <c r="V300" s="3">
        <v>206.2</v>
      </c>
      <c r="W300" s="3">
        <v>226.3</v>
      </c>
      <c r="X300" s="3">
        <v>238.4</v>
      </c>
      <c r="Y300" s="3">
        <v>234.1</v>
      </c>
      <c r="Z300" s="3">
        <v>227.1</v>
      </c>
      <c r="AA300" s="3">
        <v>234.3</v>
      </c>
      <c r="AB300" s="3">
        <v>239.1</v>
      </c>
      <c r="AC300" s="3">
        <v>240.1</v>
      </c>
      <c r="AD300" s="3">
        <v>241.9</v>
      </c>
      <c r="AE300" s="3">
        <v>255</v>
      </c>
      <c r="AF300" s="3">
        <v>256.89999999999998</v>
      </c>
      <c r="AG300" s="3">
        <v>260.8</v>
      </c>
      <c r="AH300" s="3">
        <v>303.8</v>
      </c>
      <c r="AI300" s="3">
        <v>312.2</v>
      </c>
      <c r="AJ300" s="3">
        <v>329.1</v>
      </c>
      <c r="AK300" s="3">
        <v>344.9</v>
      </c>
      <c r="AL300" s="3">
        <v>359.9</v>
      </c>
      <c r="AM300" s="3">
        <v>388.1</v>
      </c>
      <c r="AN300" s="3">
        <v>414.1</v>
      </c>
      <c r="AO300" s="3">
        <v>465</v>
      </c>
      <c r="AP300" s="3">
        <v>483</v>
      </c>
      <c r="AQ300" s="3">
        <v>521.70000000000005</v>
      </c>
      <c r="AR300" s="3">
        <v>536.1</v>
      </c>
      <c r="AS300" s="3">
        <v>556.20000000000005</v>
      </c>
      <c r="AT300" s="3">
        <v>563.6</v>
      </c>
      <c r="AU300" s="3">
        <v>620.5</v>
      </c>
      <c r="AV300" s="3">
        <v>639</v>
      </c>
      <c r="AW300" s="3">
        <v>637.6</v>
      </c>
      <c r="AX300" s="3">
        <v>638.29999999999995</v>
      </c>
      <c r="AY300" s="3">
        <v>675.4</v>
      </c>
      <c r="AZ300" s="3">
        <v>677.4</v>
      </c>
      <c r="BA300" s="3">
        <v>671.3</v>
      </c>
      <c r="BB300" s="3">
        <v>669.6</v>
      </c>
      <c r="BC300" s="3">
        <v>713.1</v>
      </c>
      <c r="BD300" s="3">
        <v>719.3</v>
      </c>
      <c r="BE300" s="3">
        <v>740.1</v>
      </c>
      <c r="BF300" s="3">
        <v>748.9</v>
      </c>
      <c r="BG300" s="3">
        <v>795.2</v>
      </c>
      <c r="BH300" s="3">
        <v>808.5</v>
      </c>
      <c r="BI300" s="3">
        <v>829.4</v>
      </c>
      <c r="BJ300" s="3">
        <v>840.9</v>
      </c>
      <c r="BK300" s="3">
        <v>940.6</v>
      </c>
      <c r="BL300" s="3">
        <v>1180.9000000000001</v>
      </c>
      <c r="BM300" s="3">
        <v>1033.2</v>
      </c>
      <c r="BN300" s="3">
        <v>1225.0999999999999</v>
      </c>
      <c r="BO300" s="3">
        <v>1102.7</v>
      </c>
      <c r="BP300" s="3">
        <v>1141.4000000000001</v>
      </c>
      <c r="BQ300" s="3">
        <v>1411.6</v>
      </c>
      <c r="BR300" s="3">
        <v>1494.8</v>
      </c>
      <c r="BS300" s="3">
        <v>1558.7</v>
      </c>
      <c r="BT300" s="3">
        <v>1672</v>
      </c>
      <c r="BU300" s="3">
        <v>1974.3</v>
      </c>
      <c r="BV300" s="3">
        <v>2928.9</v>
      </c>
      <c r="BW300" s="3">
        <v>2314.6999999999998</v>
      </c>
      <c r="BX300" s="3">
        <v>3066.2</v>
      </c>
      <c r="BY300" s="3">
        <v>2439.4</v>
      </c>
      <c r="BZ300" s="3">
        <v>2611.1</v>
      </c>
      <c r="CA300" s="3">
        <v>3841.3</v>
      </c>
      <c r="CB300" s="3">
        <v>4277.8999999999996</v>
      </c>
      <c r="CC300" s="3">
        <v>4238.7</v>
      </c>
      <c r="CD300" s="3">
        <v>4320.1000000000004</v>
      </c>
      <c r="CE300" s="3">
        <v>5264.2</v>
      </c>
      <c r="CF300" s="3">
        <v>5372.2</v>
      </c>
      <c r="CG300" s="3">
        <v>5669.4</v>
      </c>
      <c r="CH300" s="3">
        <v>6113.5</v>
      </c>
      <c r="CI300" s="3">
        <v>6207.5</v>
      </c>
      <c r="CJ300" s="3">
        <v>6458.5</v>
      </c>
      <c r="CK300" s="3">
        <v>7520.9</v>
      </c>
      <c r="CL300" s="3">
        <v>7732.8</v>
      </c>
      <c r="CM300" s="3">
        <v>7882.6</v>
      </c>
      <c r="CN300" s="3">
        <v>8162.4</v>
      </c>
      <c r="CO300" s="3">
        <v>9591.2000000000007</v>
      </c>
      <c r="CP300" s="3">
        <v>10222.799999999999</v>
      </c>
      <c r="CQ300" s="3">
        <v>10313.1</v>
      </c>
      <c r="CR300" s="3">
        <v>10928.6</v>
      </c>
      <c r="CS300" s="3">
        <v>11195.5</v>
      </c>
      <c r="CT300" s="3">
        <v>11482.4</v>
      </c>
    </row>
    <row r="301" spans="1:98">
      <c r="A301" s="4" t="s">
        <v>397</v>
      </c>
      <c r="B301" s="5"/>
      <c r="C301" s="5"/>
      <c r="D301" s="5"/>
      <c r="E301" s="5"/>
      <c r="F301" s="5">
        <v>119.7</v>
      </c>
      <c r="G301" s="5">
        <v>131.69999999999999</v>
      </c>
      <c r="H301" s="5">
        <v>134.1</v>
      </c>
      <c r="I301" s="5">
        <v>140.9</v>
      </c>
      <c r="J301" s="5">
        <v>141.1</v>
      </c>
      <c r="K301" s="5">
        <v>148.30000000000001</v>
      </c>
      <c r="L301" s="5">
        <v>150.4</v>
      </c>
      <c r="M301" s="5">
        <v>152</v>
      </c>
      <c r="N301" s="5">
        <v>152.69999999999999</v>
      </c>
      <c r="O301" s="5">
        <v>162.6</v>
      </c>
      <c r="P301" s="5">
        <v>164</v>
      </c>
      <c r="Q301" s="5">
        <v>176.3</v>
      </c>
      <c r="R301" s="5">
        <v>177.5</v>
      </c>
      <c r="S301" s="5">
        <v>196.2</v>
      </c>
      <c r="T301" s="5">
        <v>199.1</v>
      </c>
      <c r="U301" s="5">
        <v>205.4</v>
      </c>
      <c r="V301" s="5">
        <v>213.2</v>
      </c>
      <c r="W301" s="5">
        <v>240.8</v>
      </c>
      <c r="X301" s="5">
        <v>245.5</v>
      </c>
      <c r="Y301" s="5">
        <v>245.7</v>
      </c>
      <c r="Z301" s="5">
        <v>244.5</v>
      </c>
      <c r="AA301" s="5">
        <v>253</v>
      </c>
      <c r="AB301" s="5">
        <v>253.5</v>
      </c>
      <c r="AC301" s="5">
        <v>256.5</v>
      </c>
      <c r="AD301" s="5">
        <v>259</v>
      </c>
      <c r="AE301" s="5">
        <v>274.3</v>
      </c>
      <c r="AF301" s="5">
        <v>278.5</v>
      </c>
      <c r="AG301" s="5">
        <v>282.3</v>
      </c>
      <c r="AH301" s="5">
        <v>292.60000000000002</v>
      </c>
      <c r="AI301" s="5">
        <v>306.89999999999998</v>
      </c>
      <c r="AJ301" s="5">
        <v>312.39999999999998</v>
      </c>
      <c r="AK301" s="5">
        <v>329.5</v>
      </c>
      <c r="AL301" s="5">
        <v>333.7</v>
      </c>
      <c r="AM301" s="5">
        <v>369.3</v>
      </c>
      <c r="AN301" s="5">
        <v>396.6</v>
      </c>
      <c r="AO301" s="5">
        <v>418.8</v>
      </c>
      <c r="AP301" s="5">
        <v>425.7</v>
      </c>
      <c r="AQ301" s="5">
        <v>466</v>
      </c>
      <c r="AR301" s="5">
        <v>477.1</v>
      </c>
      <c r="AS301" s="5">
        <v>498.5</v>
      </c>
      <c r="AT301" s="5">
        <v>504.4</v>
      </c>
      <c r="AU301" s="5">
        <v>565.29999999999995</v>
      </c>
      <c r="AV301" s="5">
        <v>577.79999999999995</v>
      </c>
      <c r="AW301" s="5">
        <v>574.4</v>
      </c>
      <c r="AX301" s="5">
        <v>579.29999999999995</v>
      </c>
      <c r="AY301" s="5">
        <v>619.70000000000005</v>
      </c>
      <c r="AZ301" s="5">
        <v>619.6</v>
      </c>
      <c r="BA301" s="5">
        <v>621.79999999999995</v>
      </c>
      <c r="BB301" s="5">
        <v>624.6</v>
      </c>
      <c r="BC301" s="5">
        <v>683.1</v>
      </c>
      <c r="BD301" s="5">
        <v>688.9</v>
      </c>
      <c r="BE301" s="5">
        <v>697.8</v>
      </c>
      <c r="BF301" s="5">
        <v>702.7</v>
      </c>
      <c r="BG301" s="5">
        <v>758</v>
      </c>
      <c r="BH301" s="5">
        <v>764.5</v>
      </c>
      <c r="BI301" s="5">
        <v>776</v>
      </c>
      <c r="BJ301" s="5">
        <v>784.5</v>
      </c>
      <c r="BK301" s="5">
        <v>890.5</v>
      </c>
      <c r="BL301" s="5">
        <v>1032.8</v>
      </c>
      <c r="BM301" s="5">
        <v>926</v>
      </c>
      <c r="BN301" s="5">
        <v>1050.5</v>
      </c>
      <c r="BO301" s="5">
        <v>953.8</v>
      </c>
      <c r="BP301" s="5">
        <v>975.8</v>
      </c>
      <c r="BQ301" s="5">
        <v>1245</v>
      </c>
      <c r="BR301" s="5">
        <v>1300.0999999999999</v>
      </c>
      <c r="BS301" s="5">
        <v>1327.1</v>
      </c>
      <c r="BT301" s="5">
        <v>1386.6</v>
      </c>
      <c r="BU301" s="5">
        <v>1712.9</v>
      </c>
      <c r="BV301" s="5">
        <v>2159.1999999999998</v>
      </c>
      <c r="BW301" s="5">
        <v>1891</v>
      </c>
      <c r="BX301" s="5">
        <v>2307.5</v>
      </c>
      <c r="BY301" s="5">
        <v>1899.3</v>
      </c>
      <c r="BZ301" s="5">
        <v>1975.9</v>
      </c>
      <c r="CA301" s="5">
        <v>2906</v>
      </c>
      <c r="CB301" s="5">
        <v>3161.4</v>
      </c>
      <c r="CC301" s="5">
        <v>3153.9</v>
      </c>
      <c r="CD301" s="5">
        <v>3195</v>
      </c>
      <c r="CE301" s="5">
        <v>3962.8</v>
      </c>
      <c r="CF301" s="5">
        <v>4051.5</v>
      </c>
      <c r="CG301" s="5">
        <v>4307.3</v>
      </c>
      <c r="CH301" s="5">
        <v>4561.8999999999996</v>
      </c>
      <c r="CI301" s="5">
        <v>4587.1000000000004</v>
      </c>
      <c r="CJ301" s="5">
        <v>4840.7</v>
      </c>
      <c r="CK301" s="5">
        <v>5653.7</v>
      </c>
      <c r="CL301" s="5">
        <v>5832.4</v>
      </c>
      <c r="CM301" s="5">
        <v>6064.1</v>
      </c>
      <c r="CN301" s="5">
        <v>6171.9</v>
      </c>
      <c r="CO301" s="5">
        <v>7431.8</v>
      </c>
      <c r="CP301" s="5">
        <v>7697.9</v>
      </c>
      <c r="CQ301" s="5">
        <v>7952</v>
      </c>
      <c r="CR301" s="5">
        <v>8302.7000000000007</v>
      </c>
      <c r="CS301" s="5">
        <v>8480.7999999999993</v>
      </c>
      <c r="CT301" s="5">
        <v>8606.1</v>
      </c>
    </row>
    <row r="302" spans="1:98">
      <c r="A302" s="2" t="s">
        <v>398</v>
      </c>
      <c r="B302" s="3"/>
      <c r="C302" s="3"/>
      <c r="D302" s="3"/>
      <c r="E302" s="3"/>
      <c r="F302" s="3">
        <v>128</v>
      </c>
      <c r="G302" s="3">
        <v>139.6</v>
      </c>
      <c r="H302" s="3">
        <v>142.4</v>
      </c>
      <c r="I302" s="3">
        <v>144.4</v>
      </c>
      <c r="J302" s="3">
        <v>144.4</v>
      </c>
      <c r="K302" s="3">
        <v>152.80000000000001</v>
      </c>
      <c r="L302" s="3">
        <v>157.1</v>
      </c>
      <c r="M302" s="3">
        <v>158.9</v>
      </c>
      <c r="N302" s="3">
        <v>159.5</v>
      </c>
      <c r="O302" s="3">
        <v>169.2</v>
      </c>
      <c r="P302" s="3">
        <v>170.7</v>
      </c>
      <c r="Q302" s="3">
        <v>172</v>
      </c>
      <c r="R302" s="3">
        <v>172.2</v>
      </c>
      <c r="S302" s="3">
        <v>185.9</v>
      </c>
      <c r="T302" s="3">
        <v>187.8</v>
      </c>
      <c r="U302" s="3">
        <v>191.5</v>
      </c>
      <c r="V302" s="3">
        <v>194.9</v>
      </c>
      <c r="W302" s="3">
        <v>211.7</v>
      </c>
      <c r="X302" s="3">
        <v>226.1</v>
      </c>
      <c r="Y302" s="3">
        <v>232.1</v>
      </c>
      <c r="Z302" s="3">
        <v>233.3</v>
      </c>
      <c r="AA302" s="3">
        <v>246.2</v>
      </c>
      <c r="AB302" s="3">
        <v>248.2</v>
      </c>
      <c r="AC302" s="3">
        <v>252.4</v>
      </c>
      <c r="AD302" s="3">
        <v>255.3</v>
      </c>
      <c r="AE302" s="3">
        <v>270</v>
      </c>
      <c r="AF302" s="3">
        <v>271.7</v>
      </c>
      <c r="AG302" s="3">
        <v>274.7</v>
      </c>
      <c r="AH302" s="3">
        <v>286.7</v>
      </c>
      <c r="AI302" s="3">
        <v>302.3</v>
      </c>
      <c r="AJ302" s="3">
        <v>315.89999999999998</v>
      </c>
      <c r="AK302" s="3">
        <v>321.8</v>
      </c>
      <c r="AL302" s="3">
        <v>325.7</v>
      </c>
      <c r="AM302" s="3">
        <v>353</v>
      </c>
      <c r="AN302" s="3">
        <v>364.3</v>
      </c>
      <c r="AO302" s="3">
        <v>399.8</v>
      </c>
      <c r="AP302" s="3">
        <v>406.4</v>
      </c>
      <c r="AQ302" s="3">
        <v>455.2</v>
      </c>
      <c r="AR302" s="3">
        <v>472.1</v>
      </c>
      <c r="AS302" s="3">
        <v>479.7</v>
      </c>
      <c r="AT302" s="3">
        <v>488.4</v>
      </c>
      <c r="AU302" s="3">
        <v>547</v>
      </c>
      <c r="AV302" s="3">
        <v>574.4</v>
      </c>
      <c r="AW302" s="3">
        <v>571</v>
      </c>
      <c r="AX302" s="3">
        <v>577.9</v>
      </c>
      <c r="AY302" s="3">
        <v>624.79999999999995</v>
      </c>
      <c r="AZ302" s="3">
        <v>629.1</v>
      </c>
      <c r="BA302" s="3">
        <v>627.79999999999995</v>
      </c>
      <c r="BB302" s="3">
        <v>631.79999999999995</v>
      </c>
      <c r="BC302" s="3">
        <v>674.5</v>
      </c>
      <c r="BD302" s="3">
        <v>682.9</v>
      </c>
      <c r="BE302" s="3">
        <v>703</v>
      </c>
      <c r="BF302" s="3">
        <v>711.8</v>
      </c>
      <c r="BG302" s="3">
        <v>771.4</v>
      </c>
      <c r="BH302" s="3">
        <v>776.1</v>
      </c>
      <c r="BI302" s="3">
        <v>783.7</v>
      </c>
      <c r="BJ302" s="3">
        <v>789.4</v>
      </c>
      <c r="BK302" s="3">
        <v>904</v>
      </c>
      <c r="BL302" s="3">
        <v>994.6</v>
      </c>
      <c r="BM302" s="3">
        <v>935.2</v>
      </c>
      <c r="BN302" s="3">
        <v>1012</v>
      </c>
      <c r="BO302" s="3">
        <v>961.4</v>
      </c>
      <c r="BP302" s="3">
        <v>967.4</v>
      </c>
      <c r="BQ302" s="3">
        <v>1184.8</v>
      </c>
      <c r="BR302" s="3">
        <v>1285</v>
      </c>
      <c r="BS302" s="3">
        <v>1324.7</v>
      </c>
      <c r="BT302" s="3">
        <v>1349.9</v>
      </c>
      <c r="BU302" s="3">
        <v>1587.8</v>
      </c>
      <c r="BV302" s="3">
        <v>1996.1</v>
      </c>
      <c r="BW302" s="3">
        <v>1750.1</v>
      </c>
      <c r="BX302" s="3">
        <v>2078.9</v>
      </c>
      <c r="BY302" s="3">
        <v>1756.6</v>
      </c>
      <c r="BZ302" s="3">
        <v>1785</v>
      </c>
      <c r="CA302" s="3">
        <v>2712.7</v>
      </c>
      <c r="CB302" s="3">
        <v>3070.3</v>
      </c>
      <c r="CC302" s="3">
        <v>2964.7</v>
      </c>
      <c r="CD302" s="3">
        <v>3016</v>
      </c>
      <c r="CE302" s="3">
        <v>3813.6</v>
      </c>
      <c r="CF302" s="3">
        <v>3970.5</v>
      </c>
      <c r="CG302" s="3">
        <v>4079.9</v>
      </c>
      <c r="CH302" s="3">
        <v>4262.8</v>
      </c>
      <c r="CI302" s="3">
        <v>4275.2</v>
      </c>
      <c r="CJ302" s="3">
        <v>4494.5</v>
      </c>
      <c r="CK302" s="3">
        <v>5359.4</v>
      </c>
      <c r="CL302" s="3">
        <v>5675.3</v>
      </c>
      <c r="CM302" s="3">
        <v>5914.3</v>
      </c>
      <c r="CN302" s="3">
        <v>6027</v>
      </c>
      <c r="CO302" s="3">
        <v>7274.3</v>
      </c>
      <c r="CP302" s="3">
        <v>7982</v>
      </c>
      <c r="CQ302" s="3">
        <v>8041.9</v>
      </c>
      <c r="CR302" s="3">
        <v>8350.7000000000007</v>
      </c>
      <c r="CS302" s="3">
        <v>8546.9</v>
      </c>
      <c r="CT302" s="3">
        <v>8766.2999999999993</v>
      </c>
    </row>
    <row r="303" spans="1:98">
      <c r="A303" s="4" t="s">
        <v>399</v>
      </c>
      <c r="B303" s="5"/>
      <c r="C303" s="5"/>
      <c r="D303" s="5"/>
      <c r="E303" s="5"/>
      <c r="F303" s="5">
        <v>110.2</v>
      </c>
      <c r="G303" s="5">
        <v>128</v>
      </c>
      <c r="H303" s="5">
        <v>132</v>
      </c>
      <c r="I303" s="5">
        <v>141.69999999999999</v>
      </c>
      <c r="J303" s="5">
        <v>140.5</v>
      </c>
      <c r="K303" s="5">
        <v>144.80000000000001</v>
      </c>
      <c r="L303" s="5">
        <v>143.69999999999999</v>
      </c>
      <c r="M303" s="5">
        <v>145</v>
      </c>
      <c r="N303" s="5">
        <v>144.30000000000001</v>
      </c>
      <c r="O303" s="5">
        <v>155.6</v>
      </c>
      <c r="P303" s="5">
        <v>159</v>
      </c>
      <c r="Q303" s="5">
        <v>165.4</v>
      </c>
      <c r="R303" s="5">
        <v>167.4</v>
      </c>
      <c r="S303" s="5">
        <v>187.2</v>
      </c>
      <c r="T303" s="5">
        <v>189.6</v>
      </c>
      <c r="U303" s="5">
        <v>200</v>
      </c>
      <c r="V303" s="5">
        <v>206.7</v>
      </c>
      <c r="W303" s="5">
        <v>228.6</v>
      </c>
      <c r="X303" s="5">
        <v>236.6</v>
      </c>
      <c r="Y303" s="5">
        <v>228</v>
      </c>
      <c r="Z303" s="5">
        <v>212.1</v>
      </c>
      <c r="AA303" s="5">
        <v>215.9</v>
      </c>
      <c r="AB303" s="5">
        <v>220.7</v>
      </c>
      <c r="AC303" s="5">
        <v>222</v>
      </c>
      <c r="AD303" s="5">
        <v>224.3</v>
      </c>
      <c r="AE303" s="5">
        <v>251</v>
      </c>
      <c r="AF303" s="5">
        <v>253.6</v>
      </c>
      <c r="AG303" s="5">
        <v>260.60000000000002</v>
      </c>
      <c r="AH303" s="5">
        <v>266.2</v>
      </c>
      <c r="AI303" s="5">
        <v>281.3</v>
      </c>
      <c r="AJ303" s="5">
        <v>287.60000000000002</v>
      </c>
      <c r="AK303" s="5">
        <v>299.89999999999998</v>
      </c>
      <c r="AL303" s="5">
        <v>321.10000000000002</v>
      </c>
      <c r="AM303" s="5">
        <v>343.7</v>
      </c>
      <c r="AN303" s="5">
        <v>378</v>
      </c>
      <c r="AO303" s="5">
        <v>416.2</v>
      </c>
      <c r="AP303" s="5">
        <v>430.7</v>
      </c>
      <c r="AQ303" s="5">
        <v>457.3</v>
      </c>
      <c r="AR303" s="5">
        <v>459.8</v>
      </c>
      <c r="AS303" s="5">
        <v>468.8</v>
      </c>
      <c r="AT303" s="5">
        <v>471.1</v>
      </c>
      <c r="AU303" s="5">
        <v>517.29999999999995</v>
      </c>
      <c r="AV303" s="5">
        <v>518.1</v>
      </c>
      <c r="AW303" s="5">
        <v>520.29999999999995</v>
      </c>
      <c r="AX303" s="5">
        <v>512.29999999999995</v>
      </c>
      <c r="AY303" s="5">
        <v>527.1</v>
      </c>
      <c r="AZ303" s="5">
        <v>527.5</v>
      </c>
      <c r="BA303" s="5">
        <v>523.9</v>
      </c>
      <c r="BB303" s="5">
        <v>517.9</v>
      </c>
      <c r="BC303" s="5">
        <v>560.29999999999995</v>
      </c>
      <c r="BD303" s="5">
        <v>562.79999999999995</v>
      </c>
      <c r="BE303" s="5">
        <v>583.9</v>
      </c>
      <c r="BF303" s="5">
        <v>590.6</v>
      </c>
      <c r="BG303" s="5">
        <v>625.29999999999995</v>
      </c>
      <c r="BH303" s="5">
        <v>648.5</v>
      </c>
      <c r="BI303" s="5">
        <v>666.7</v>
      </c>
      <c r="BJ303" s="5">
        <v>685.9</v>
      </c>
      <c r="BK303" s="5">
        <v>772.6</v>
      </c>
      <c r="BL303" s="5">
        <v>923.9</v>
      </c>
      <c r="BM303" s="5">
        <v>847.1</v>
      </c>
      <c r="BN303" s="5">
        <v>980.8</v>
      </c>
      <c r="BO303" s="5">
        <v>869.7</v>
      </c>
      <c r="BP303" s="5">
        <v>881.4</v>
      </c>
      <c r="BQ303" s="5">
        <v>1119.0999999999999</v>
      </c>
      <c r="BR303" s="5">
        <v>1108.2</v>
      </c>
      <c r="BS303" s="5">
        <v>1120.8</v>
      </c>
      <c r="BT303" s="5">
        <v>1238.4000000000001</v>
      </c>
      <c r="BU303" s="5">
        <v>1492.2</v>
      </c>
      <c r="BV303" s="5">
        <v>2136.1999999999998</v>
      </c>
      <c r="BW303" s="5">
        <v>1811.8</v>
      </c>
      <c r="BX303" s="5">
        <v>2210.5</v>
      </c>
      <c r="BY303" s="5">
        <v>1853.9</v>
      </c>
      <c r="BZ303" s="5">
        <v>1933.1</v>
      </c>
      <c r="CA303" s="5">
        <v>2614.3000000000002</v>
      </c>
      <c r="CB303" s="5">
        <v>2931</v>
      </c>
      <c r="CC303" s="5">
        <v>3000</v>
      </c>
      <c r="CD303" s="5">
        <v>2982.8</v>
      </c>
      <c r="CE303" s="5">
        <v>3645</v>
      </c>
      <c r="CF303" s="5">
        <v>3692.7</v>
      </c>
      <c r="CG303" s="5">
        <v>3865.7</v>
      </c>
      <c r="CH303" s="5">
        <v>4137.1000000000004</v>
      </c>
      <c r="CI303" s="5">
        <v>4205.7</v>
      </c>
      <c r="CJ303" s="5">
        <v>4441.3999999999996</v>
      </c>
      <c r="CK303" s="5">
        <v>5063.2</v>
      </c>
      <c r="CL303" s="5">
        <v>5187.6000000000004</v>
      </c>
      <c r="CM303" s="5">
        <v>5054.3</v>
      </c>
      <c r="CN303" s="5">
        <v>5289.7</v>
      </c>
      <c r="CO303" s="5">
        <v>6173.1</v>
      </c>
      <c r="CP303" s="5">
        <v>6516.9</v>
      </c>
      <c r="CQ303" s="5">
        <v>6522.2</v>
      </c>
      <c r="CR303" s="5">
        <v>6755</v>
      </c>
      <c r="CS303" s="5">
        <v>6813.1</v>
      </c>
      <c r="CT303" s="5">
        <v>6897.8</v>
      </c>
    </row>
    <row r="304" spans="1:98">
      <c r="A304" s="2" t="s">
        <v>400</v>
      </c>
      <c r="B304" s="3"/>
      <c r="C304" s="3"/>
      <c r="D304" s="3"/>
      <c r="E304" s="3"/>
      <c r="F304" s="3">
        <v>115.6</v>
      </c>
      <c r="G304" s="3">
        <v>138.30000000000001</v>
      </c>
      <c r="H304" s="3">
        <v>143</v>
      </c>
      <c r="I304" s="3">
        <v>146.69999999999999</v>
      </c>
      <c r="J304" s="3">
        <v>139.5</v>
      </c>
      <c r="K304" s="3">
        <v>135.1</v>
      </c>
      <c r="L304" s="3">
        <v>127.4</v>
      </c>
      <c r="M304" s="3">
        <v>125.7</v>
      </c>
      <c r="N304" s="3">
        <v>127.2</v>
      </c>
      <c r="O304" s="3">
        <v>148.1</v>
      </c>
      <c r="P304" s="3">
        <v>174.8</v>
      </c>
      <c r="Q304" s="3">
        <v>189.5</v>
      </c>
      <c r="R304" s="3">
        <v>194.3</v>
      </c>
      <c r="S304" s="3">
        <v>209.5</v>
      </c>
      <c r="T304" s="3">
        <v>199.6</v>
      </c>
      <c r="U304" s="3">
        <v>221.5</v>
      </c>
      <c r="V304" s="3">
        <v>241</v>
      </c>
      <c r="W304" s="3">
        <v>299.3</v>
      </c>
      <c r="X304" s="3">
        <v>341.9</v>
      </c>
      <c r="Y304" s="3">
        <v>252.5</v>
      </c>
      <c r="Z304" s="3">
        <v>204</v>
      </c>
      <c r="AA304" s="3">
        <v>190.2</v>
      </c>
      <c r="AB304" s="3">
        <v>197.2</v>
      </c>
      <c r="AC304" s="3">
        <v>192</v>
      </c>
      <c r="AD304" s="3">
        <v>216.1</v>
      </c>
      <c r="AE304" s="3">
        <v>235.8</v>
      </c>
      <c r="AF304" s="3">
        <v>245.1</v>
      </c>
      <c r="AG304" s="3">
        <v>266.3</v>
      </c>
      <c r="AH304" s="3">
        <v>261.5</v>
      </c>
      <c r="AI304" s="3">
        <v>268.39999999999998</v>
      </c>
      <c r="AJ304" s="3">
        <v>282.2</v>
      </c>
      <c r="AK304" s="3">
        <v>294.2</v>
      </c>
      <c r="AL304" s="3">
        <v>340</v>
      </c>
      <c r="AM304" s="3">
        <v>392.9</v>
      </c>
      <c r="AN304" s="3">
        <v>482</v>
      </c>
      <c r="AO304" s="3">
        <v>552.20000000000005</v>
      </c>
      <c r="AP304" s="3">
        <v>556.70000000000005</v>
      </c>
      <c r="AQ304" s="3">
        <v>568.20000000000005</v>
      </c>
      <c r="AR304" s="3">
        <v>570.6</v>
      </c>
      <c r="AS304" s="3">
        <v>562.79999999999995</v>
      </c>
      <c r="AT304" s="3">
        <v>533.1</v>
      </c>
      <c r="AU304" s="3">
        <v>576.20000000000005</v>
      </c>
      <c r="AV304" s="3">
        <v>563.9</v>
      </c>
      <c r="AW304" s="3">
        <v>563.79999999999995</v>
      </c>
      <c r="AX304" s="3">
        <v>530.20000000000005</v>
      </c>
      <c r="AY304" s="3">
        <v>504.6</v>
      </c>
      <c r="AZ304" s="3">
        <v>492.3</v>
      </c>
      <c r="BA304" s="3">
        <v>469</v>
      </c>
      <c r="BB304" s="3">
        <v>438.6</v>
      </c>
      <c r="BC304" s="3">
        <v>506.4</v>
      </c>
      <c r="BD304" s="3">
        <v>509.5</v>
      </c>
      <c r="BE304" s="3">
        <v>535.1</v>
      </c>
      <c r="BF304" s="3">
        <v>531.1</v>
      </c>
      <c r="BG304" s="3">
        <v>546.79999999999995</v>
      </c>
      <c r="BH304" s="3">
        <v>655.5</v>
      </c>
      <c r="BI304" s="3">
        <v>682.2</v>
      </c>
      <c r="BJ304" s="3">
        <v>714.9</v>
      </c>
      <c r="BK304" s="3">
        <v>870.6</v>
      </c>
      <c r="BL304" s="3">
        <v>1234.0999999999999</v>
      </c>
      <c r="BM304" s="3">
        <v>983.8</v>
      </c>
      <c r="BN304" s="3">
        <v>1222.5</v>
      </c>
      <c r="BO304" s="3">
        <v>1257.0999999999999</v>
      </c>
      <c r="BP304" s="3">
        <v>1304.4000000000001</v>
      </c>
      <c r="BQ304" s="3">
        <v>1435.7</v>
      </c>
      <c r="BR304" s="3">
        <v>1305</v>
      </c>
      <c r="BS304" s="3">
        <v>1343.5</v>
      </c>
      <c r="BT304" s="3">
        <v>1647.7</v>
      </c>
      <c r="BU304" s="3">
        <v>1860.5</v>
      </c>
      <c r="BV304" s="3">
        <v>3321.8</v>
      </c>
      <c r="BW304" s="3">
        <v>2750</v>
      </c>
      <c r="BX304" s="3">
        <v>3539.6</v>
      </c>
      <c r="BY304" s="3">
        <v>3029</v>
      </c>
      <c r="BZ304" s="3">
        <v>3152.7</v>
      </c>
      <c r="CA304" s="3">
        <v>3949.6</v>
      </c>
      <c r="CB304" s="3">
        <v>4478.3999999999996</v>
      </c>
      <c r="CC304" s="3">
        <v>4411.7</v>
      </c>
      <c r="CD304" s="3">
        <v>4352</v>
      </c>
      <c r="CE304" s="3">
        <v>5064.3999999999996</v>
      </c>
      <c r="CF304" s="3">
        <v>4693.6000000000004</v>
      </c>
      <c r="CG304" s="3">
        <v>4670.1000000000004</v>
      </c>
      <c r="CH304" s="3">
        <v>5506.6</v>
      </c>
      <c r="CI304" s="3">
        <v>6137.9</v>
      </c>
      <c r="CJ304" s="3">
        <v>7186.6</v>
      </c>
      <c r="CK304" s="3">
        <v>7299.7</v>
      </c>
      <c r="CL304" s="3">
        <v>6927.9</v>
      </c>
      <c r="CM304" s="3">
        <v>6689.1</v>
      </c>
      <c r="CN304" s="3">
        <v>7004</v>
      </c>
      <c r="CO304" s="3">
        <v>7793.4</v>
      </c>
      <c r="CP304" s="3">
        <v>8133.7</v>
      </c>
      <c r="CQ304" s="3">
        <v>8381.7999999999993</v>
      </c>
      <c r="CR304" s="3">
        <v>8802.7000000000007</v>
      </c>
      <c r="CS304" s="3">
        <v>9327.7999999999993</v>
      </c>
      <c r="CT304" s="3">
        <v>10149.1</v>
      </c>
    </row>
    <row r="305" spans="1:98">
      <c r="A305" s="4" t="s">
        <v>401</v>
      </c>
      <c r="B305" s="5">
        <v>100</v>
      </c>
      <c r="C305" s="5">
        <v>109.5</v>
      </c>
      <c r="D305" s="5">
        <v>113.2</v>
      </c>
      <c r="E305" s="5">
        <v>115.4</v>
      </c>
      <c r="F305" s="5">
        <v>117.6</v>
      </c>
      <c r="G305" s="5">
        <v>135.80000000000001</v>
      </c>
      <c r="H305" s="5">
        <v>139.80000000000001</v>
      </c>
      <c r="I305" s="5">
        <v>142.69999999999999</v>
      </c>
      <c r="J305" s="5">
        <v>142.69999999999999</v>
      </c>
      <c r="K305" s="5">
        <v>151.5</v>
      </c>
      <c r="L305" s="5">
        <v>153.80000000000001</v>
      </c>
      <c r="M305" s="5">
        <v>157.1</v>
      </c>
      <c r="N305" s="5">
        <v>158.1</v>
      </c>
      <c r="O305" s="5">
        <v>171</v>
      </c>
      <c r="P305" s="5">
        <v>173.2</v>
      </c>
      <c r="Q305" s="5">
        <v>174.1</v>
      </c>
      <c r="R305" s="5">
        <v>174.4</v>
      </c>
      <c r="S305" s="5">
        <v>192.4</v>
      </c>
      <c r="T305" s="5">
        <v>194.9</v>
      </c>
      <c r="U305" s="5">
        <v>202.6</v>
      </c>
      <c r="V305" s="5">
        <v>207.7</v>
      </c>
      <c r="W305" s="5">
        <v>229.9</v>
      </c>
      <c r="X305" s="5">
        <v>232.6</v>
      </c>
      <c r="Y305" s="5">
        <v>236.2</v>
      </c>
      <c r="Z305" s="5">
        <v>236.8</v>
      </c>
      <c r="AA305" s="5">
        <v>254.8</v>
      </c>
      <c r="AB305" s="5">
        <v>258.10000000000002</v>
      </c>
      <c r="AC305" s="5">
        <v>261.7</v>
      </c>
      <c r="AD305" s="5">
        <v>264.7</v>
      </c>
      <c r="AE305" s="5">
        <v>282.3</v>
      </c>
      <c r="AF305" s="5">
        <v>284</v>
      </c>
      <c r="AG305" s="5">
        <v>289.89999999999998</v>
      </c>
      <c r="AH305" s="5">
        <v>318.2</v>
      </c>
      <c r="AI305" s="5">
        <v>336.8</v>
      </c>
      <c r="AJ305" s="5">
        <v>346.7</v>
      </c>
      <c r="AK305" s="5">
        <v>356.3</v>
      </c>
      <c r="AL305" s="5">
        <v>364.9</v>
      </c>
      <c r="AM305" s="5">
        <v>404</v>
      </c>
      <c r="AN305" s="5">
        <v>423.1</v>
      </c>
      <c r="AO305" s="5">
        <v>453</v>
      </c>
      <c r="AP305" s="5">
        <v>466.1</v>
      </c>
      <c r="AQ305" s="5">
        <v>523.29999999999995</v>
      </c>
      <c r="AR305" s="5">
        <v>534.20000000000005</v>
      </c>
      <c r="AS305" s="5">
        <v>544.9</v>
      </c>
      <c r="AT305" s="5">
        <v>555.70000000000005</v>
      </c>
      <c r="AU305" s="5">
        <v>640.79999999999995</v>
      </c>
      <c r="AV305" s="5">
        <v>652.5</v>
      </c>
      <c r="AW305" s="5">
        <v>661.5</v>
      </c>
      <c r="AX305" s="5">
        <v>670.6</v>
      </c>
      <c r="AY305" s="5">
        <v>734.5</v>
      </c>
      <c r="AZ305" s="5">
        <v>740.3</v>
      </c>
      <c r="BA305" s="5">
        <v>745</v>
      </c>
      <c r="BB305" s="5">
        <v>749.6</v>
      </c>
      <c r="BC305" s="5">
        <v>804.4</v>
      </c>
      <c r="BD305" s="5">
        <v>812</v>
      </c>
      <c r="BE305" s="5">
        <v>819.4</v>
      </c>
      <c r="BF305" s="5">
        <v>826.7</v>
      </c>
      <c r="BG305" s="5">
        <v>897.4</v>
      </c>
      <c r="BH305" s="5">
        <v>899.8</v>
      </c>
      <c r="BI305" s="5">
        <v>916.5</v>
      </c>
      <c r="BJ305" s="5">
        <v>924.8</v>
      </c>
      <c r="BK305" s="5">
        <v>1055.5</v>
      </c>
      <c r="BL305" s="5">
        <v>1174.2</v>
      </c>
      <c r="BM305" s="5">
        <v>1118.5</v>
      </c>
      <c r="BN305" s="5">
        <v>1210.5</v>
      </c>
      <c r="BO305" s="5">
        <v>1138.5999999999999</v>
      </c>
      <c r="BP305" s="5">
        <v>1156.9000000000001</v>
      </c>
      <c r="BQ305" s="5">
        <v>1463.5</v>
      </c>
      <c r="BR305" s="5">
        <v>1535</v>
      </c>
      <c r="BS305" s="5">
        <v>1579.4</v>
      </c>
      <c r="BT305" s="5">
        <v>1632.3</v>
      </c>
      <c r="BU305" s="5">
        <v>1998.1</v>
      </c>
      <c r="BV305" s="5">
        <v>2557.6</v>
      </c>
      <c r="BW305" s="5">
        <v>2222.8000000000002</v>
      </c>
      <c r="BX305" s="5">
        <v>2687.8</v>
      </c>
      <c r="BY305" s="5">
        <v>2257.1999999999998</v>
      </c>
      <c r="BZ305" s="5">
        <v>2330.1</v>
      </c>
      <c r="CA305" s="5">
        <v>3520.1</v>
      </c>
      <c r="CB305" s="5">
        <v>3712.6</v>
      </c>
      <c r="CC305" s="5">
        <v>3729</v>
      </c>
      <c r="CD305" s="5">
        <v>3781.7</v>
      </c>
      <c r="CE305" s="5">
        <v>4792.7</v>
      </c>
      <c r="CF305" s="5">
        <v>4897.1000000000004</v>
      </c>
      <c r="CG305" s="5">
        <v>5297.7</v>
      </c>
      <c r="CH305" s="5">
        <v>5547.1</v>
      </c>
      <c r="CI305" s="5">
        <v>5547.5</v>
      </c>
      <c r="CJ305" s="5">
        <v>5547.8</v>
      </c>
      <c r="CK305" s="5">
        <v>6792.4</v>
      </c>
      <c r="CL305" s="5">
        <v>7056.2</v>
      </c>
      <c r="CM305" s="5">
        <v>7196.9</v>
      </c>
      <c r="CN305" s="5">
        <v>7389.9</v>
      </c>
      <c r="CO305" s="5">
        <v>9111.1</v>
      </c>
      <c r="CP305" s="5">
        <v>9486.7999999999993</v>
      </c>
      <c r="CQ305" s="5">
        <v>9519</v>
      </c>
      <c r="CR305" s="5">
        <v>10010.700000000001</v>
      </c>
      <c r="CS305" s="5">
        <v>10114.799999999999</v>
      </c>
      <c r="CT305" s="5">
        <v>10234.9</v>
      </c>
    </row>
    <row r="306" spans="1:98">
      <c r="A306" s="2" t="s">
        <v>402</v>
      </c>
      <c r="B306" s="3">
        <v>100</v>
      </c>
      <c r="C306" s="3">
        <v>110.2</v>
      </c>
      <c r="D306" s="3">
        <v>112.8</v>
      </c>
      <c r="E306" s="3">
        <v>118.2</v>
      </c>
      <c r="F306" s="3">
        <v>125.9</v>
      </c>
      <c r="G306" s="3">
        <v>141.69999999999999</v>
      </c>
      <c r="H306" s="3">
        <v>144.4</v>
      </c>
      <c r="I306" s="3">
        <v>146.80000000000001</v>
      </c>
      <c r="J306" s="3">
        <v>146.80000000000001</v>
      </c>
      <c r="K306" s="3">
        <v>155</v>
      </c>
      <c r="L306" s="3">
        <v>159.1</v>
      </c>
      <c r="M306" s="3">
        <v>161.30000000000001</v>
      </c>
      <c r="N306" s="3">
        <v>162</v>
      </c>
      <c r="O306" s="3">
        <v>170.2</v>
      </c>
      <c r="P306" s="3">
        <v>171.2</v>
      </c>
      <c r="Q306" s="3">
        <v>174.2</v>
      </c>
      <c r="R306" s="3">
        <v>174.4</v>
      </c>
      <c r="S306" s="3">
        <v>189.6</v>
      </c>
      <c r="T306" s="3">
        <v>191.3</v>
      </c>
      <c r="U306" s="3">
        <v>196.4</v>
      </c>
      <c r="V306" s="3">
        <v>200.4</v>
      </c>
      <c r="W306" s="3">
        <v>222.2</v>
      </c>
      <c r="X306" s="3">
        <v>234.8</v>
      </c>
      <c r="Y306" s="3">
        <v>232.7</v>
      </c>
      <c r="Z306" s="3">
        <v>228.9</v>
      </c>
      <c r="AA306" s="3">
        <v>239.3</v>
      </c>
      <c r="AB306" s="3">
        <v>242.3</v>
      </c>
      <c r="AC306" s="3">
        <v>245.2</v>
      </c>
      <c r="AD306" s="3">
        <v>247.2</v>
      </c>
      <c r="AE306" s="3">
        <v>259.2</v>
      </c>
      <c r="AF306" s="3">
        <v>260.39999999999998</v>
      </c>
      <c r="AG306" s="3">
        <v>265.3</v>
      </c>
      <c r="AH306" s="3">
        <v>290</v>
      </c>
      <c r="AI306" s="3">
        <v>301</v>
      </c>
      <c r="AJ306" s="3">
        <v>316.2</v>
      </c>
      <c r="AK306" s="3">
        <v>325.5</v>
      </c>
      <c r="AL306" s="3">
        <v>332.8</v>
      </c>
      <c r="AM306" s="3">
        <v>358.9</v>
      </c>
      <c r="AN306" s="3">
        <v>375.7</v>
      </c>
      <c r="AO306" s="3">
        <v>413.6</v>
      </c>
      <c r="AP306" s="3">
        <v>423.7</v>
      </c>
      <c r="AQ306" s="3">
        <v>467.4</v>
      </c>
      <c r="AR306" s="3">
        <v>483.8</v>
      </c>
      <c r="AS306" s="3">
        <v>492.6</v>
      </c>
      <c r="AT306" s="3">
        <v>500.1</v>
      </c>
      <c r="AU306" s="3">
        <v>555.5</v>
      </c>
      <c r="AV306" s="3">
        <v>580.29999999999995</v>
      </c>
      <c r="AW306" s="3">
        <v>578.79999999999995</v>
      </c>
      <c r="AX306" s="3">
        <v>584.79999999999995</v>
      </c>
      <c r="AY306" s="3">
        <v>625.6</v>
      </c>
      <c r="AZ306" s="3">
        <v>629.20000000000005</v>
      </c>
      <c r="BA306" s="3">
        <v>625.70000000000005</v>
      </c>
      <c r="BB306" s="3">
        <v>628.4</v>
      </c>
      <c r="BC306" s="3">
        <v>666.7</v>
      </c>
      <c r="BD306" s="3">
        <v>674.9</v>
      </c>
      <c r="BE306" s="3">
        <v>692.9</v>
      </c>
      <c r="BF306" s="3">
        <v>701.4</v>
      </c>
      <c r="BG306" s="3">
        <v>754.7</v>
      </c>
      <c r="BH306" s="3">
        <v>760</v>
      </c>
      <c r="BI306" s="3">
        <v>771.7</v>
      </c>
      <c r="BJ306" s="3">
        <v>777.8</v>
      </c>
      <c r="BK306" s="3">
        <v>882.8</v>
      </c>
      <c r="BL306" s="3">
        <v>1019</v>
      </c>
      <c r="BM306" s="3">
        <v>934.9</v>
      </c>
      <c r="BN306" s="3">
        <v>1055.0999999999999</v>
      </c>
      <c r="BO306" s="3">
        <v>970.7</v>
      </c>
      <c r="BP306" s="3">
        <v>987.6</v>
      </c>
      <c r="BQ306" s="3">
        <v>1222.9000000000001</v>
      </c>
      <c r="BR306" s="3">
        <v>1325.3</v>
      </c>
      <c r="BS306" s="3">
        <v>1386.1</v>
      </c>
      <c r="BT306" s="3">
        <v>1438.1</v>
      </c>
      <c r="BU306" s="3">
        <v>1715.5</v>
      </c>
      <c r="BV306" s="3">
        <v>2289.5</v>
      </c>
      <c r="BW306" s="3">
        <v>1936</v>
      </c>
      <c r="BX306" s="3">
        <v>2387.6</v>
      </c>
      <c r="BY306" s="3">
        <v>1967.3</v>
      </c>
      <c r="BZ306" s="3">
        <v>2047.8</v>
      </c>
      <c r="CA306" s="3">
        <v>3076.2</v>
      </c>
      <c r="CB306" s="3">
        <v>3456</v>
      </c>
      <c r="CC306" s="3">
        <v>3394.1</v>
      </c>
      <c r="CD306" s="3">
        <v>3471.7</v>
      </c>
      <c r="CE306" s="3">
        <v>4288.3</v>
      </c>
      <c r="CF306" s="3">
        <v>4452</v>
      </c>
      <c r="CG306" s="3">
        <v>4705</v>
      </c>
      <c r="CH306" s="3">
        <v>4935.5</v>
      </c>
      <c r="CI306" s="3">
        <v>4959</v>
      </c>
      <c r="CJ306" s="3">
        <v>5188.2</v>
      </c>
      <c r="CK306" s="3">
        <v>6123.5</v>
      </c>
      <c r="CL306" s="3">
        <v>6458.8</v>
      </c>
      <c r="CM306" s="3">
        <v>6700.7</v>
      </c>
      <c r="CN306" s="3">
        <v>6866</v>
      </c>
      <c r="CO306" s="3">
        <v>8217.4</v>
      </c>
      <c r="CP306" s="3">
        <v>8889.2000000000007</v>
      </c>
      <c r="CQ306" s="3">
        <v>8986.7000000000007</v>
      </c>
      <c r="CR306" s="3">
        <v>9407.9</v>
      </c>
      <c r="CS306" s="3">
        <v>9608.2000000000007</v>
      </c>
      <c r="CT306" s="3">
        <v>9837.9</v>
      </c>
    </row>
    <row r="307" spans="1:98">
      <c r="A307" s="4" t="s">
        <v>403</v>
      </c>
      <c r="B307" s="5">
        <v>100</v>
      </c>
      <c r="C307" s="5">
        <v>108.5</v>
      </c>
      <c r="D307" s="5">
        <v>111.8</v>
      </c>
      <c r="E307" s="5">
        <v>115.1</v>
      </c>
      <c r="F307" s="5">
        <v>119.1</v>
      </c>
      <c r="G307" s="5">
        <v>136.4</v>
      </c>
      <c r="H307" s="5">
        <v>140.1</v>
      </c>
      <c r="I307" s="5">
        <v>143.4</v>
      </c>
      <c r="J307" s="5">
        <v>143.1</v>
      </c>
      <c r="K307" s="5">
        <v>150.19999999999999</v>
      </c>
      <c r="L307" s="5">
        <v>152.69999999999999</v>
      </c>
      <c r="M307" s="5">
        <v>155.9</v>
      </c>
      <c r="N307" s="5">
        <v>156.9</v>
      </c>
      <c r="O307" s="5">
        <v>166.2</v>
      </c>
      <c r="P307" s="5">
        <v>168.2</v>
      </c>
      <c r="Q307" s="5">
        <v>169.8</v>
      </c>
      <c r="R307" s="5">
        <v>170.1</v>
      </c>
      <c r="S307" s="5">
        <v>186.9</v>
      </c>
      <c r="T307" s="5">
        <v>188.9</v>
      </c>
      <c r="U307" s="5">
        <v>197</v>
      </c>
      <c r="V307" s="5">
        <v>202.1</v>
      </c>
      <c r="W307" s="5">
        <v>221.1</v>
      </c>
      <c r="X307" s="5">
        <v>229.1</v>
      </c>
      <c r="Y307" s="5">
        <v>229.9</v>
      </c>
      <c r="Z307" s="5">
        <v>229</v>
      </c>
      <c r="AA307" s="5">
        <v>239.8</v>
      </c>
      <c r="AB307" s="5">
        <v>242.9</v>
      </c>
      <c r="AC307" s="5">
        <v>245.1</v>
      </c>
      <c r="AD307" s="5">
        <v>247</v>
      </c>
      <c r="AE307" s="5">
        <v>260.8</v>
      </c>
      <c r="AF307" s="5">
        <v>262.7</v>
      </c>
      <c r="AG307" s="5">
        <v>266</v>
      </c>
      <c r="AH307" s="5">
        <v>299.2</v>
      </c>
      <c r="AI307" s="5">
        <v>310.60000000000002</v>
      </c>
      <c r="AJ307" s="5">
        <v>323.2</v>
      </c>
      <c r="AK307" s="5">
        <v>334.3</v>
      </c>
      <c r="AL307" s="5">
        <v>347.8</v>
      </c>
      <c r="AM307" s="5">
        <v>380.9</v>
      </c>
      <c r="AN307" s="5">
        <v>400.9</v>
      </c>
      <c r="AO307" s="5">
        <v>439.8</v>
      </c>
      <c r="AP307" s="5">
        <v>455.3</v>
      </c>
      <c r="AQ307" s="5">
        <v>500.8</v>
      </c>
      <c r="AR307" s="5">
        <v>513.70000000000005</v>
      </c>
      <c r="AS307" s="5">
        <v>524.79999999999995</v>
      </c>
      <c r="AT307" s="5">
        <v>533.29999999999995</v>
      </c>
      <c r="AU307" s="5">
        <v>595.5</v>
      </c>
      <c r="AV307" s="5">
        <v>613.5</v>
      </c>
      <c r="AW307" s="5">
        <v>621.20000000000005</v>
      </c>
      <c r="AX307" s="5">
        <v>626.6</v>
      </c>
      <c r="AY307" s="5">
        <v>669.1</v>
      </c>
      <c r="AZ307" s="5">
        <v>673.5</v>
      </c>
      <c r="BA307" s="5">
        <v>675.7</v>
      </c>
      <c r="BB307" s="5">
        <v>677.4</v>
      </c>
      <c r="BC307" s="5">
        <v>716.4</v>
      </c>
      <c r="BD307" s="5">
        <v>723.9</v>
      </c>
      <c r="BE307" s="5">
        <v>734.6</v>
      </c>
      <c r="BF307" s="5">
        <v>741.5</v>
      </c>
      <c r="BG307" s="5">
        <v>796</v>
      </c>
      <c r="BH307" s="5">
        <v>803.5</v>
      </c>
      <c r="BI307" s="5">
        <v>819.1</v>
      </c>
      <c r="BJ307" s="5">
        <v>825.8</v>
      </c>
      <c r="BK307" s="5">
        <v>933.1</v>
      </c>
      <c r="BL307" s="5">
        <v>1104.4000000000001</v>
      </c>
      <c r="BM307" s="5">
        <v>1007.1</v>
      </c>
      <c r="BN307" s="5">
        <v>1152.4000000000001</v>
      </c>
      <c r="BO307" s="5">
        <v>1052.9000000000001</v>
      </c>
      <c r="BP307" s="5">
        <v>1079.5</v>
      </c>
      <c r="BQ307" s="5">
        <v>1352.2</v>
      </c>
      <c r="BR307" s="5">
        <v>1438.1</v>
      </c>
      <c r="BS307" s="5">
        <v>1503</v>
      </c>
      <c r="BT307" s="5">
        <v>1568.7</v>
      </c>
      <c r="BU307" s="5">
        <v>1885</v>
      </c>
      <c r="BV307" s="5">
        <v>2581.9</v>
      </c>
      <c r="BW307" s="5">
        <v>2160.6999999999998</v>
      </c>
      <c r="BX307" s="5">
        <v>2712.6</v>
      </c>
      <c r="BY307" s="5">
        <v>2225.1999999999998</v>
      </c>
      <c r="BZ307" s="5">
        <v>2351.4</v>
      </c>
      <c r="CA307" s="5">
        <v>3496.5</v>
      </c>
      <c r="CB307" s="5">
        <v>3805.3</v>
      </c>
      <c r="CC307" s="5">
        <v>3816.3</v>
      </c>
      <c r="CD307" s="5">
        <v>3914.8</v>
      </c>
      <c r="CE307" s="5">
        <v>4865</v>
      </c>
      <c r="CF307" s="5">
        <v>5025.2</v>
      </c>
      <c r="CG307" s="5">
        <v>5361.5</v>
      </c>
      <c r="CH307" s="5">
        <v>5659.4</v>
      </c>
      <c r="CI307" s="5">
        <v>5681.4</v>
      </c>
      <c r="CJ307" s="5">
        <v>5775.8</v>
      </c>
      <c r="CK307" s="5">
        <v>6903.1</v>
      </c>
      <c r="CL307" s="5">
        <v>7221.8</v>
      </c>
      <c r="CM307" s="5">
        <v>7399.8</v>
      </c>
      <c r="CN307" s="5">
        <v>7594.9</v>
      </c>
      <c r="CO307" s="5">
        <v>9177</v>
      </c>
      <c r="CP307" s="5">
        <v>9707.9</v>
      </c>
      <c r="CQ307" s="5">
        <v>9768.5</v>
      </c>
      <c r="CR307" s="5">
        <v>10294.6</v>
      </c>
      <c r="CS307" s="5">
        <v>10470</v>
      </c>
      <c r="CT307" s="5">
        <v>10684.6</v>
      </c>
    </row>
    <row r="308" spans="1:98">
      <c r="A308" s="2" t="s">
        <v>404</v>
      </c>
      <c r="B308" s="3">
        <v>100</v>
      </c>
      <c r="C308" s="3">
        <v>108.2</v>
      </c>
      <c r="D308" s="3">
        <v>112.1</v>
      </c>
      <c r="E308" s="3">
        <v>115</v>
      </c>
      <c r="F308" s="3">
        <v>117.9</v>
      </c>
      <c r="G308" s="3">
        <v>138.5</v>
      </c>
      <c r="H308" s="3">
        <v>143.1</v>
      </c>
      <c r="I308" s="3">
        <v>145.5</v>
      </c>
      <c r="J308" s="3">
        <v>145.5</v>
      </c>
      <c r="K308" s="3">
        <v>154.30000000000001</v>
      </c>
      <c r="L308" s="3">
        <v>157.1</v>
      </c>
      <c r="M308" s="3">
        <v>161.19999999999999</v>
      </c>
      <c r="N308" s="3">
        <v>162.6</v>
      </c>
      <c r="O308" s="3">
        <v>172.2</v>
      </c>
      <c r="P308" s="3">
        <v>173.4</v>
      </c>
      <c r="Q308" s="3">
        <v>174</v>
      </c>
      <c r="R308" s="3">
        <v>174.2</v>
      </c>
      <c r="S308" s="3">
        <v>188.2</v>
      </c>
      <c r="T308" s="3">
        <v>190.2</v>
      </c>
      <c r="U308" s="3">
        <v>198.5</v>
      </c>
      <c r="V308" s="3">
        <v>206.1</v>
      </c>
      <c r="W308" s="3">
        <v>224.5</v>
      </c>
      <c r="X308" s="3">
        <v>227</v>
      </c>
      <c r="Y308" s="3">
        <v>228.5</v>
      </c>
      <c r="Z308" s="3">
        <v>228.8</v>
      </c>
      <c r="AA308" s="3">
        <v>238.5</v>
      </c>
      <c r="AB308" s="3">
        <v>243.4</v>
      </c>
      <c r="AC308" s="3">
        <v>244.8</v>
      </c>
      <c r="AD308" s="3">
        <v>245.9</v>
      </c>
      <c r="AE308" s="3">
        <v>260</v>
      </c>
      <c r="AF308" s="3">
        <v>261.3</v>
      </c>
      <c r="AG308" s="3">
        <v>262.3</v>
      </c>
      <c r="AH308" s="3">
        <v>335.3</v>
      </c>
      <c r="AI308" s="3">
        <v>341.4</v>
      </c>
      <c r="AJ308" s="3">
        <v>357</v>
      </c>
      <c r="AK308" s="3">
        <v>378.3</v>
      </c>
      <c r="AL308" s="3">
        <v>398</v>
      </c>
      <c r="AM308" s="3">
        <v>431.5</v>
      </c>
      <c r="AN308" s="3">
        <v>459.6</v>
      </c>
      <c r="AO308" s="3">
        <v>513.70000000000005</v>
      </c>
      <c r="AP308" s="3">
        <v>539.4</v>
      </c>
      <c r="AQ308" s="3">
        <v>585.9</v>
      </c>
      <c r="AR308" s="3">
        <v>601.6</v>
      </c>
      <c r="AS308" s="3">
        <v>612.79999999999995</v>
      </c>
      <c r="AT308" s="3">
        <v>623.9</v>
      </c>
      <c r="AU308" s="3">
        <v>691.3</v>
      </c>
      <c r="AV308" s="3">
        <v>705.5</v>
      </c>
      <c r="AW308" s="3">
        <v>710.8</v>
      </c>
      <c r="AX308" s="3">
        <v>717.7</v>
      </c>
      <c r="AY308" s="3">
        <v>768.5</v>
      </c>
      <c r="AZ308" s="3">
        <v>772.5</v>
      </c>
      <c r="BA308" s="3">
        <v>772.7</v>
      </c>
      <c r="BB308" s="3">
        <v>773.5</v>
      </c>
      <c r="BC308" s="3">
        <v>815.3</v>
      </c>
      <c r="BD308" s="3">
        <v>823.1</v>
      </c>
      <c r="BE308" s="3">
        <v>830.8</v>
      </c>
      <c r="BF308" s="3">
        <v>838.6</v>
      </c>
      <c r="BG308" s="3">
        <v>892.6</v>
      </c>
      <c r="BH308" s="3">
        <v>893</v>
      </c>
      <c r="BI308" s="3">
        <v>916.7</v>
      </c>
      <c r="BJ308" s="3">
        <v>925.1</v>
      </c>
      <c r="BK308" s="3">
        <v>1030.5</v>
      </c>
      <c r="BL308" s="3">
        <v>1289.2</v>
      </c>
      <c r="BM308" s="3">
        <v>1155.8</v>
      </c>
      <c r="BN308" s="3">
        <v>1373</v>
      </c>
      <c r="BO308" s="3">
        <v>1214.0999999999999</v>
      </c>
      <c r="BP308" s="3">
        <v>1270.5999999999999</v>
      </c>
      <c r="BQ308" s="3">
        <v>1591.5</v>
      </c>
      <c r="BR308" s="3">
        <v>1697.3</v>
      </c>
      <c r="BS308" s="3">
        <v>1785.6</v>
      </c>
      <c r="BT308" s="3">
        <v>1887.7</v>
      </c>
      <c r="BU308" s="3">
        <v>2239</v>
      </c>
      <c r="BV308" s="3">
        <v>3233.4</v>
      </c>
      <c r="BW308" s="3">
        <v>2597.9</v>
      </c>
      <c r="BX308" s="3">
        <v>3416.4</v>
      </c>
      <c r="BY308" s="3">
        <v>2704.7</v>
      </c>
      <c r="BZ308" s="3">
        <v>2928.6</v>
      </c>
      <c r="CA308" s="3">
        <v>4416.8</v>
      </c>
      <c r="CB308" s="3">
        <v>4774.6000000000004</v>
      </c>
      <c r="CC308" s="3">
        <v>4818.1000000000004</v>
      </c>
      <c r="CD308" s="3">
        <v>4974.2</v>
      </c>
      <c r="CE308" s="3">
        <v>6200.7</v>
      </c>
      <c r="CF308" s="3">
        <v>6391.7</v>
      </c>
      <c r="CG308" s="3">
        <v>6829</v>
      </c>
      <c r="CH308" s="3">
        <v>7252.9</v>
      </c>
      <c r="CI308" s="3">
        <v>7253</v>
      </c>
      <c r="CJ308" s="3">
        <v>7253.5</v>
      </c>
      <c r="CK308" s="3">
        <v>8729</v>
      </c>
      <c r="CL308" s="3">
        <v>9150.9</v>
      </c>
      <c r="CM308" s="3">
        <v>9263.2999999999993</v>
      </c>
      <c r="CN308" s="3">
        <v>9567.6</v>
      </c>
      <c r="CO308" s="3">
        <v>11518</v>
      </c>
      <c r="CP308" s="3">
        <v>12107.3</v>
      </c>
      <c r="CQ308" s="3">
        <v>12109.4</v>
      </c>
      <c r="CR308" s="3">
        <v>12964.1</v>
      </c>
      <c r="CS308" s="3">
        <v>13130.7</v>
      </c>
      <c r="CT308" s="3">
        <v>13342.2</v>
      </c>
    </row>
    <row r="309" spans="1:98">
      <c r="A309" s="4" t="s">
        <v>405</v>
      </c>
      <c r="B309" s="5">
        <v>100</v>
      </c>
      <c r="C309" s="5">
        <v>103.1</v>
      </c>
      <c r="D309" s="5">
        <v>104.3</v>
      </c>
      <c r="E309" s="5">
        <v>105</v>
      </c>
      <c r="F309" s="5">
        <v>105.6</v>
      </c>
      <c r="G309" s="5">
        <v>111.1</v>
      </c>
      <c r="H309" s="5">
        <v>112.3</v>
      </c>
      <c r="I309" s="5">
        <v>118.6</v>
      </c>
      <c r="J309" s="5">
        <v>118.6</v>
      </c>
      <c r="K309" s="5">
        <v>122</v>
      </c>
      <c r="L309" s="5">
        <v>122.6</v>
      </c>
      <c r="M309" s="5">
        <v>123.4</v>
      </c>
      <c r="N309" s="5">
        <v>123.7</v>
      </c>
      <c r="O309" s="5">
        <v>127.7</v>
      </c>
      <c r="P309" s="5">
        <v>128.19999999999999</v>
      </c>
      <c r="Q309" s="5">
        <v>129.19999999999999</v>
      </c>
      <c r="R309" s="5">
        <v>129.30000000000001</v>
      </c>
      <c r="S309" s="5">
        <v>161.30000000000001</v>
      </c>
      <c r="T309" s="5">
        <v>162.19999999999999</v>
      </c>
      <c r="U309" s="5">
        <v>164</v>
      </c>
      <c r="V309" s="5">
        <v>165.1</v>
      </c>
      <c r="W309" s="5">
        <v>249.8</v>
      </c>
      <c r="X309" s="5">
        <v>285.3</v>
      </c>
      <c r="Y309" s="5">
        <v>286.8</v>
      </c>
      <c r="Z309" s="5">
        <v>270.2</v>
      </c>
      <c r="AA309" s="5">
        <v>253.8</v>
      </c>
      <c r="AB309" s="5">
        <v>271</v>
      </c>
      <c r="AC309" s="5">
        <v>296.2</v>
      </c>
      <c r="AD309" s="5">
        <v>299.7</v>
      </c>
      <c r="AE309" s="5">
        <v>315.8</v>
      </c>
      <c r="AF309" s="5">
        <v>312.39999999999998</v>
      </c>
      <c r="AG309" s="5">
        <v>323.5</v>
      </c>
      <c r="AH309" s="5">
        <v>368</v>
      </c>
      <c r="AI309" s="5">
        <v>419.6</v>
      </c>
      <c r="AJ309" s="5">
        <v>437.4</v>
      </c>
      <c r="AK309" s="5">
        <v>456.1</v>
      </c>
      <c r="AL309" s="5">
        <v>489.2</v>
      </c>
      <c r="AM309" s="5">
        <v>539.29999999999995</v>
      </c>
      <c r="AN309" s="5">
        <v>550.6</v>
      </c>
      <c r="AO309" s="5">
        <v>571.6</v>
      </c>
      <c r="AP309" s="5">
        <v>785.3</v>
      </c>
      <c r="AQ309" s="5">
        <v>871</v>
      </c>
      <c r="AR309" s="5">
        <v>871.1</v>
      </c>
      <c r="AS309" s="5">
        <v>892</v>
      </c>
      <c r="AT309" s="5">
        <v>883.8</v>
      </c>
      <c r="AU309" s="5">
        <v>929.3</v>
      </c>
      <c r="AV309" s="5">
        <v>966.4</v>
      </c>
      <c r="AW309" s="5">
        <v>884.3</v>
      </c>
      <c r="AX309" s="5">
        <v>811.2</v>
      </c>
      <c r="AY309" s="5">
        <v>828.8</v>
      </c>
      <c r="AZ309" s="5">
        <v>822.6</v>
      </c>
      <c r="BA309" s="5">
        <v>769.2</v>
      </c>
      <c r="BB309" s="5">
        <v>665.8</v>
      </c>
      <c r="BC309" s="5">
        <v>696.5</v>
      </c>
      <c r="BD309" s="5">
        <v>728.2</v>
      </c>
      <c r="BE309" s="5">
        <v>784</v>
      </c>
      <c r="BF309" s="5">
        <v>844.8</v>
      </c>
      <c r="BG309" s="5">
        <v>860</v>
      </c>
      <c r="BH309" s="5">
        <v>865.5</v>
      </c>
      <c r="BI309" s="5">
        <v>940</v>
      </c>
      <c r="BJ309" s="5">
        <v>1054.7</v>
      </c>
      <c r="BK309" s="5">
        <v>1209.9000000000001</v>
      </c>
      <c r="BL309" s="5">
        <v>1966.4</v>
      </c>
      <c r="BM309" s="5">
        <v>1386.3</v>
      </c>
      <c r="BN309" s="5">
        <v>1746.8</v>
      </c>
      <c r="BO309" s="5">
        <v>1478.4</v>
      </c>
      <c r="BP309" s="5">
        <v>1905.1</v>
      </c>
      <c r="BQ309" s="5">
        <v>1987</v>
      </c>
      <c r="BR309" s="5">
        <v>1783.1</v>
      </c>
      <c r="BS309" s="5">
        <v>1707.9</v>
      </c>
      <c r="BT309" s="5">
        <v>1716.7</v>
      </c>
      <c r="BU309" s="5">
        <v>1746.4</v>
      </c>
      <c r="BV309" s="5">
        <v>2950.6</v>
      </c>
      <c r="BW309" s="5">
        <v>2238.4</v>
      </c>
      <c r="BX309" s="5">
        <v>3537.4</v>
      </c>
      <c r="BY309" s="5">
        <v>2391.1</v>
      </c>
      <c r="BZ309" s="5">
        <v>2543.1</v>
      </c>
      <c r="CA309" s="5">
        <v>3882.4</v>
      </c>
      <c r="CB309" s="5">
        <v>4076.9</v>
      </c>
      <c r="CC309" s="5">
        <v>4798</v>
      </c>
      <c r="CD309" s="5">
        <v>5203.8</v>
      </c>
      <c r="CE309" s="5">
        <v>6203</v>
      </c>
      <c r="CF309" s="5">
        <v>5560.1</v>
      </c>
      <c r="CG309" s="5">
        <v>6011.7</v>
      </c>
      <c r="CH309" s="5">
        <v>6418.8</v>
      </c>
      <c r="CI309" s="5">
        <v>6898.2</v>
      </c>
      <c r="CJ309" s="5">
        <v>8041.3</v>
      </c>
      <c r="CK309" s="5">
        <v>8197.4</v>
      </c>
      <c r="CL309" s="5">
        <v>8207.5</v>
      </c>
      <c r="CM309" s="5">
        <v>7987.7</v>
      </c>
      <c r="CN309" s="5">
        <v>7682.2</v>
      </c>
      <c r="CO309" s="5">
        <v>8796.2999999999993</v>
      </c>
      <c r="CP309" s="5">
        <v>9472</v>
      </c>
      <c r="CQ309" s="5">
        <v>10745.9</v>
      </c>
      <c r="CR309" s="5">
        <v>12049.3</v>
      </c>
      <c r="CS309" s="5">
        <v>13078</v>
      </c>
      <c r="CT309" s="5">
        <v>13681.6</v>
      </c>
    </row>
    <row r="310" spans="1:98">
      <c r="A310" s="2" t="s">
        <v>406</v>
      </c>
      <c r="B310" s="3">
        <v>100</v>
      </c>
      <c r="C310" s="3">
        <v>112.9</v>
      </c>
      <c r="D310" s="3">
        <v>114.5</v>
      </c>
      <c r="E310" s="3">
        <v>116.2</v>
      </c>
      <c r="F310" s="3">
        <v>117.1</v>
      </c>
      <c r="G310" s="3">
        <v>124.5</v>
      </c>
      <c r="H310" s="3">
        <v>126</v>
      </c>
      <c r="I310" s="3">
        <v>140.1</v>
      </c>
      <c r="J310" s="3">
        <v>140.1</v>
      </c>
      <c r="K310" s="3">
        <v>146.6</v>
      </c>
      <c r="L310" s="3">
        <v>147.4</v>
      </c>
      <c r="M310" s="3">
        <v>148.69999999999999</v>
      </c>
      <c r="N310" s="3">
        <v>149.1</v>
      </c>
      <c r="O310" s="3">
        <v>155.4</v>
      </c>
      <c r="P310" s="3">
        <v>155.80000000000001</v>
      </c>
      <c r="Q310" s="3">
        <v>162.1</v>
      </c>
      <c r="R310" s="3">
        <v>162.19999999999999</v>
      </c>
      <c r="S310" s="3">
        <v>172</v>
      </c>
      <c r="T310" s="3">
        <v>173.2</v>
      </c>
      <c r="U310" s="3">
        <v>175.9</v>
      </c>
      <c r="V310" s="3">
        <v>178.6</v>
      </c>
      <c r="W310" s="3">
        <v>210.5</v>
      </c>
      <c r="X310" s="3">
        <v>211.1</v>
      </c>
      <c r="Y310" s="3">
        <v>212.3</v>
      </c>
      <c r="Z310" s="3">
        <v>208.4</v>
      </c>
      <c r="AA310" s="3">
        <v>214.2</v>
      </c>
      <c r="AB310" s="3">
        <v>215.7</v>
      </c>
      <c r="AC310" s="3">
        <v>217.8</v>
      </c>
      <c r="AD310" s="3">
        <v>219.3</v>
      </c>
      <c r="AE310" s="3">
        <v>229.1</v>
      </c>
      <c r="AF310" s="3">
        <v>231.9</v>
      </c>
      <c r="AG310" s="3">
        <v>233</v>
      </c>
      <c r="AH310" s="3">
        <v>244.2</v>
      </c>
      <c r="AI310" s="3">
        <v>254.2</v>
      </c>
      <c r="AJ310" s="3">
        <v>257.39999999999998</v>
      </c>
      <c r="AK310" s="3">
        <v>270.39999999999998</v>
      </c>
      <c r="AL310" s="3">
        <v>278.89999999999998</v>
      </c>
      <c r="AM310" s="3">
        <v>310.5</v>
      </c>
      <c r="AN310" s="3">
        <v>325</v>
      </c>
      <c r="AO310" s="3">
        <v>354.4</v>
      </c>
      <c r="AP310" s="3">
        <v>368.6</v>
      </c>
      <c r="AQ310" s="3">
        <v>395.4</v>
      </c>
      <c r="AR310" s="3">
        <v>399.4</v>
      </c>
      <c r="AS310" s="3">
        <v>420.7</v>
      </c>
      <c r="AT310" s="3">
        <v>425.4</v>
      </c>
      <c r="AU310" s="3">
        <v>455.4</v>
      </c>
      <c r="AV310" s="3">
        <v>460.1</v>
      </c>
      <c r="AW310" s="3">
        <v>478.2</v>
      </c>
      <c r="AX310" s="3">
        <v>481.2</v>
      </c>
      <c r="AY310" s="3">
        <v>504.7</v>
      </c>
      <c r="AZ310" s="3">
        <v>506.8</v>
      </c>
      <c r="BA310" s="3">
        <v>504.3</v>
      </c>
      <c r="BB310" s="3">
        <v>496.7</v>
      </c>
      <c r="BC310" s="3">
        <v>519</v>
      </c>
      <c r="BD310" s="3">
        <v>524.29999999999995</v>
      </c>
      <c r="BE310" s="3">
        <v>547.20000000000005</v>
      </c>
      <c r="BF310" s="3">
        <v>553.70000000000005</v>
      </c>
      <c r="BG310" s="3">
        <v>586.5</v>
      </c>
      <c r="BH310" s="3">
        <v>591.5</v>
      </c>
      <c r="BI310" s="3">
        <v>597.79999999999995</v>
      </c>
      <c r="BJ310" s="3">
        <v>606</v>
      </c>
      <c r="BK310" s="3">
        <v>701.8</v>
      </c>
      <c r="BL310" s="3">
        <v>889.8</v>
      </c>
      <c r="BM310" s="3">
        <v>774.3</v>
      </c>
      <c r="BN310" s="3">
        <v>904.7</v>
      </c>
      <c r="BO310" s="3">
        <v>819.5</v>
      </c>
      <c r="BP310" s="3">
        <v>862.7</v>
      </c>
      <c r="BQ310" s="3">
        <v>1049.9000000000001</v>
      </c>
      <c r="BR310" s="3">
        <v>1073.8</v>
      </c>
      <c r="BS310" s="3">
        <v>1099.0999999999999</v>
      </c>
      <c r="BT310" s="3">
        <v>1123.9000000000001</v>
      </c>
      <c r="BU310" s="3">
        <v>1367.7</v>
      </c>
      <c r="BV310" s="3">
        <v>1817.7</v>
      </c>
      <c r="BW310" s="3">
        <v>1562.5</v>
      </c>
      <c r="BX310" s="3">
        <v>1919.9</v>
      </c>
      <c r="BY310" s="3">
        <v>1576.7</v>
      </c>
      <c r="BZ310" s="3">
        <v>1719.2</v>
      </c>
      <c r="CA310" s="3">
        <v>2382.9</v>
      </c>
      <c r="CB310" s="3">
        <v>2579.1999999999998</v>
      </c>
      <c r="CC310" s="3">
        <v>2652.2</v>
      </c>
      <c r="CD310" s="3">
        <v>2724.1</v>
      </c>
      <c r="CE310" s="3">
        <v>3383.6</v>
      </c>
      <c r="CF310" s="3">
        <v>3480.6</v>
      </c>
      <c r="CG310" s="3">
        <v>3655.7</v>
      </c>
      <c r="CH310" s="3">
        <v>3860.2</v>
      </c>
      <c r="CI310" s="3">
        <v>3950.3</v>
      </c>
      <c r="CJ310" s="3">
        <v>4046.7</v>
      </c>
      <c r="CK310" s="3">
        <v>4579.7</v>
      </c>
      <c r="CL310" s="3">
        <v>4684.6000000000004</v>
      </c>
      <c r="CM310" s="3">
        <v>4846.8</v>
      </c>
      <c r="CN310" s="3">
        <v>4907</v>
      </c>
      <c r="CO310" s="3">
        <v>5838.1</v>
      </c>
      <c r="CP310" s="3">
        <v>6045.7</v>
      </c>
      <c r="CQ310" s="3">
        <v>6188.2</v>
      </c>
      <c r="CR310" s="3">
        <v>6560.4</v>
      </c>
      <c r="CS310" s="3">
        <v>6705.7</v>
      </c>
      <c r="CT310" s="3">
        <v>6915.8</v>
      </c>
    </row>
    <row r="311" spans="1:98">
      <c r="A311" s="4" t="s">
        <v>407</v>
      </c>
      <c r="B311" s="5">
        <v>100</v>
      </c>
      <c r="C311" s="5">
        <v>107.9</v>
      </c>
      <c r="D311" s="5">
        <v>113.8</v>
      </c>
      <c r="E311" s="5">
        <v>115.9</v>
      </c>
      <c r="F311" s="5">
        <v>117.9</v>
      </c>
      <c r="G311" s="5">
        <v>140.30000000000001</v>
      </c>
      <c r="H311" s="5">
        <v>145.30000000000001</v>
      </c>
      <c r="I311" s="5">
        <v>146.19999999999999</v>
      </c>
      <c r="J311" s="5">
        <v>146.19999999999999</v>
      </c>
      <c r="K311" s="5">
        <v>147.69999999999999</v>
      </c>
      <c r="L311" s="5">
        <v>149</v>
      </c>
      <c r="M311" s="5">
        <v>156.5</v>
      </c>
      <c r="N311" s="5">
        <v>157.9</v>
      </c>
      <c r="O311" s="5">
        <v>163.4</v>
      </c>
      <c r="P311" s="5">
        <v>167.4</v>
      </c>
      <c r="Q311" s="5">
        <v>168</v>
      </c>
      <c r="R311" s="5">
        <v>168.1</v>
      </c>
      <c r="S311" s="5">
        <v>187.8</v>
      </c>
      <c r="T311" s="5">
        <v>191.4</v>
      </c>
      <c r="U311" s="5">
        <v>194.5</v>
      </c>
      <c r="V311" s="5">
        <v>199.1</v>
      </c>
      <c r="W311" s="5">
        <v>214.2</v>
      </c>
      <c r="X311" s="5">
        <v>218</v>
      </c>
      <c r="Y311" s="5">
        <v>215.3</v>
      </c>
      <c r="Z311" s="5">
        <v>215.3</v>
      </c>
      <c r="AA311" s="5">
        <v>217.3</v>
      </c>
      <c r="AB311" s="5">
        <v>218.1</v>
      </c>
      <c r="AC311" s="5">
        <v>228.6</v>
      </c>
      <c r="AD311" s="5">
        <v>229.6</v>
      </c>
      <c r="AE311" s="5">
        <v>249.3</v>
      </c>
      <c r="AF311" s="5">
        <v>249.9</v>
      </c>
      <c r="AG311" s="5">
        <v>249.9</v>
      </c>
      <c r="AH311" s="5">
        <v>287.5</v>
      </c>
      <c r="AI311" s="5">
        <v>295.5</v>
      </c>
      <c r="AJ311" s="5">
        <v>304.8</v>
      </c>
      <c r="AK311" s="5">
        <v>318.89999999999998</v>
      </c>
      <c r="AL311" s="5">
        <v>339.2</v>
      </c>
      <c r="AM311" s="5">
        <v>374.3</v>
      </c>
      <c r="AN311" s="5">
        <v>392.3</v>
      </c>
      <c r="AO311" s="5">
        <v>407</v>
      </c>
      <c r="AP311" s="5">
        <v>423.9</v>
      </c>
      <c r="AQ311" s="5">
        <v>485.1</v>
      </c>
      <c r="AR311" s="5">
        <v>508.2</v>
      </c>
      <c r="AS311" s="5">
        <v>512</v>
      </c>
      <c r="AT311" s="5">
        <v>513.70000000000005</v>
      </c>
      <c r="AU311" s="5">
        <v>561</v>
      </c>
      <c r="AV311" s="5">
        <v>574.29999999999995</v>
      </c>
      <c r="AW311" s="5">
        <v>579.79999999999995</v>
      </c>
      <c r="AX311" s="5">
        <v>579.20000000000005</v>
      </c>
      <c r="AY311" s="5">
        <v>594.1</v>
      </c>
      <c r="AZ311" s="5">
        <v>608.6</v>
      </c>
      <c r="BA311" s="5">
        <v>623.20000000000005</v>
      </c>
      <c r="BB311" s="5">
        <v>623.20000000000005</v>
      </c>
      <c r="BC311" s="5">
        <v>627.20000000000005</v>
      </c>
      <c r="BD311" s="5">
        <v>657.1</v>
      </c>
      <c r="BE311" s="5">
        <v>675</v>
      </c>
      <c r="BF311" s="5">
        <v>680</v>
      </c>
      <c r="BG311" s="5">
        <v>712.6</v>
      </c>
      <c r="BH311" s="5">
        <v>734.4</v>
      </c>
      <c r="BI311" s="5">
        <v>741.2</v>
      </c>
      <c r="BJ311" s="5">
        <v>748</v>
      </c>
      <c r="BK311" s="5">
        <v>831.8</v>
      </c>
      <c r="BL311" s="5">
        <v>1084.5</v>
      </c>
      <c r="BM311" s="5">
        <v>912.6</v>
      </c>
      <c r="BN311" s="5">
        <v>1193.5999999999999</v>
      </c>
      <c r="BO311" s="5">
        <v>1008.3</v>
      </c>
      <c r="BP311" s="5">
        <v>1030.7</v>
      </c>
      <c r="BQ311" s="5">
        <v>1360.2</v>
      </c>
      <c r="BR311" s="5">
        <v>1452</v>
      </c>
      <c r="BS311" s="5">
        <v>1702.3</v>
      </c>
      <c r="BT311" s="5">
        <v>1793.8</v>
      </c>
      <c r="BU311" s="5">
        <v>2265.5</v>
      </c>
      <c r="BV311" s="5">
        <v>3228.8</v>
      </c>
      <c r="BW311" s="5">
        <v>2762.4</v>
      </c>
      <c r="BX311" s="5">
        <v>3376.4</v>
      </c>
      <c r="BY311" s="5">
        <v>2834.2</v>
      </c>
      <c r="BZ311" s="5">
        <v>3049.5</v>
      </c>
      <c r="CA311" s="5">
        <v>4381.1000000000004</v>
      </c>
      <c r="CB311" s="5">
        <v>4680.5</v>
      </c>
      <c r="CC311" s="5">
        <v>4784.8</v>
      </c>
      <c r="CD311" s="5">
        <v>4922</v>
      </c>
      <c r="CE311" s="5">
        <v>6104.8</v>
      </c>
      <c r="CF311" s="5">
        <v>6332.2</v>
      </c>
      <c r="CG311" s="5">
        <v>6810.8</v>
      </c>
      <c r="CH311" s="5">
        <v>7171.4</v>
      </c>
      <c r="CI311" s="5">
        <v>7273.8</v>
      </c>
      <c r="CJ311" s="5">
        <v>7375.3</v>
      </c>
      <c r="CK311" s="5">
        <v>8776.6</v>
      </c>
      <c r="CL311" s="5">
        <v>9366.6</v>
      </c>
      <c r="CM311" s="5">
        <v>9862</v>
      </c>
      <c r="CN311" s="5">
        <v>10020.700000000001</v>
      </c>
      <c r="CO311" s="5">
        <v>11719.1</v>
      </c>
      <c r="CP311" s="5">
        <v>12175.2</v>
      </c>
      <c r="CQ311" s="5">
        <v>12525.9</v>
      </c>
      <c r="CR311" s="5">
        <v>13578</v>
      </c>
      <c r="CS311" s="5">
        <v>13758.4</v>
      </c>
      <c r="CT311" s="5">
        <v>13998.9</v>
      </c>
    </row>
    <row r="312" spans="1:98">
      <c r="A312" s="2" t="s">
        <v>408</v>
      </c>
      <c r="B312" s="3">
        <v>100</v>
      </c>
      <c r="C312" s="3">
        <v>109</v>
      </c>
      <c r="D312" s="3">
        <v>112.8</v>
      </c>
      <c r="E312" s="3">
        <v>114.9</v>
      </c>
      <c r="F312" s="3">
        <v>117</v>
      </c>
      <c r="G312" s="3">
        <v>133.4</v>
      </c>
      <c r="H312" s="3">
        <v>137.1</v>
      </c>
      <c r="I312" s="3">
        <v>139.80000000000001</v>
      </c>
      <c r="J312" s="3">
        <v>139.80000000000001</v>
      </c>
      <c r="K312" s="3">
        <v>147.80000000000001</v>
      </c>
      <c r="L312" s="3">
        <v>149.9</v>
      </c>
      <c r="M312" s="3">
        <v>152.5</v>
      </c>
      <c r="N312" s="3">
        <v>153.30000000000001</v>
      </c>
      <c r="O312" s="3">
        <v>166.8</v>
      </c>
      <c r="P312" s="3">
        <v>170.5</v>
      </c>
      <c r="Q312" s="3">
        <v>171.4</v>
      </c>
      <c r="R312" s="3">
        <v>171.7</v>
      </c>
      <c r="S312" s="3">
        <v>189.7</v>
      </c>
      <c r="T312" s="3">
        <v>192.2</v>
      </c>
      <c r="U312" s="3">
        <v>198.6</v>
      </c>
      <c r="V312" s="3">
        <v>203</v>
      </c>
      <c r="W312" s="3">
        <v>226</v>
      </c>
      <c r="X312" s="3">
        <v>228.4</v>
      </c>
      <c r="Y312" s="3">
        <v>233.1</v>
      </c>
      <c r="Z312" s="3">
        <v>234.3</v>
      </c>
      <c r="AA312" s="3">
        <v>251.6</v>
      </c>
      <c r="AB312" s="3">
        <v>255.7</v>
      </c>
      <c r="AC312" s="3">
        <v>259.39999999999998</v>
      </c>
      <c r="AD312" s="3">
        <v>264.5</v>
      </c>
      <c r="AE312" s="3">
        <v>283.5</v>
      </c>
      <c r="AF312" s="3">
        <v>285.5</v>
      </c>
      <c r="AG312" s="3">
        <v>290.89999999999998</v>
      </c>
      <c r="AH312" s="3">
        <v>302.10000000000002</v>
      </c>
      <c r="AI312" s="3">
        <v>323.10000000000002</v>
      </c>
      <c r="AJ312" s="3">
        <v>329.7</v>
      </c>
      <c r="AK312" s="3">
        <v>337.1</v>
      </c>
      <c r="AL312" s="3">
        <v>342.6</v>
      </c>
      <c r="AM312" s="3">
        <v>380.3</v>
      </c>
      <c r="AN312" s="3">
        <v>399.9</v>
      </c>
      <c r="AO312" s="3">
        <v>420.3</v>
      </c>
      <c r="AP312" s="3">
        <v>429.7</v>
      </c>
      <c r="AQ312" s="3">
        <v>486.1</v>
      </c>
      <c r="AR312" s="3">
        <v>495.3</v>
      </c>
      <c r="AS312" s="3">
        <v>505.7</v>
      </c>
      <c r="AT312" s="3">
        <v>517</v>
      </c>
      <c r="AU312" s="3">
        <v>599.70000000000005</v>
      </c>
      <c r="AV312" s="3">
        <v>610.20000000000005</v>
      </c>
      <c r="AW312" s="3">
        <v>619.6</v>
      </c>
      <c r="AX312" s="3">
        <v>629.20000000000005</v>
      </c>
      <c r="AY312" s="3">
        <v>694.3</v>
      </c>
      <c r="AZ312" s="3">
        <v>700.2</v>
      </c>
      <c r="BA312" s="3">
        <v>705.3</v>
      </c>
      <c r="BB312" s="3">
        <v>710.7</v>
      </c>
      <c r="BC312" s="3">
        <v>768.3</v>
      </c>
      <c r="BD312" s="3">
        <v>775.4</v>
      </c>
      <c r="BE312" s="3">
        <v>782.5</v>
      </c>
      <c r="BF312" s="3">
        <v>789.6</v>
      </c>
      <c r="BG312" s="3">
        <v>859.5</v>
      </c>
      <c r="BH312" s="3">
        <v>863.8</v>
      </c>
      <c r="BI312" s="3">
        <v>876.4</v>
      </c>
      <c r="BJ312" s="3">
        <v>884.3</v>
      </c>
      <c r="BK312" s="3">
        <v>1015.2</v>
      </c>
      <c r="BL312" s="3">
        <v>1097.3</v>
      </c>
      <c r="BM312" s="3">
        <v>1061.2</v>
      </c>
      <c r="BN312" s="3">
        <v>1125.5999999999999</v>
      </c>
      <c r="BO312" s="3">
        <v>1070.9000000000001</v>
      </c>
      <c r="BP312" s="3">
        <v>1080.2</v>
      </c>
      <c r="BQ312" s="3">
        <v>1371.5</v>
      </c>
      <c r="BR312" s="3">
        <v>1432.8</v>
      </c>
      <c r="BS312" s="3">
        <v>1459.2</v>
      </c>
      <c r="BT312" s="3">
        <v>1550.1</v>
      </c>
      <c r="BU312" s="3">
        <v>1823.6</v>
      </c>
      <c r="BV312" s="3">
        <v>2320.5</v>
      </c>
      <c r="BW312" s="3">
        <v>1992.3</v>
      </c>
      <c r="BX312" s="3">
        <v>2436.6999999999998</v>
      </c>
      <c r="BY312" s="3">
        <v>2005.8</v>
      </c>
      <c r="BZ312" s="3">
        <v>2035.6</v>
      </c>
      <c r="CA312" s="3">
        <v>3199.4</v>
      </c>
      <c r="CB312" s="3">
        <v>3350.5</v>
      </c>
      <c r="CC312" s="3">
        <v>3357.8</v>
      </c>
      <c r="CD312" s="3">
        <v>3374.8</v>
      </c>
      <c r="CE312" s="3">
        <v>4387.2</v>
      </c>
      <c r="CF312" s="3">
        <v>4471.6000000000004</v>
      </c>
      <c r="CG312" s="3">
        <v>4651.7</v>
      </c>
      <c r="CH312" s="3">
        <v>4927.2</v>
      </c>
      <c r="CI312" s="3">
        <v>4927.2</v>
      </c>
      <c r="CJ312" s="3">
        <v>4927.2</v>
      </c>
      <c r="CK312" s="3">
        <v>6090</v>
      </c>
      <c r="CL312" s="3">
        <v>6297</v>
      </c>
      <c r="CM312" s="3">
        <v>6859.6</v>
      </c>
      <c r="CN312" s="3">
        <v>6627.1</v>
      </c>
      <c r="CO312" s="3">
        <v>8250.7000000000007</v>
      </c>
      <c r="CP312" s="3">
        <v>8575.5</v>
      </c>
      <c r="CQ312" s="3">
        <v>8588.7000000000007</v>
      </c>
      <c r="CR312" s="3">
        <v>8946.6</v>
      </c>
      <c r="CS312" s="3">
        <v>9026.1</v>
      </c>
      <c r="CT312" s="3">
        <v>9105.6</v>
      </c>
    </row>
    <row r="313" spans="1:98">
      <c r="A313" s="4" t="s">
        <v>409</v>
      </c>
      <c r="B313" s="5">
        <v>100</v>
      </c>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c r="BA313" s="5"/>
      <c r="BB313" s="5">
        <v>700</v>
      </c>
      <c r="BC313" s="5">
        <v>702.1</v>
      </c>
      <c r="BD313" s="5">
        <v>702.5</v>
      </c>
      <c r="BE313" s="5">
        <v>704.2</v>
      </c>
      <c r="BF313" s="5">
        <v>704.9</v>
      </c>
      <c r="BG313" s="5">
        <v>740.1</v>
      </c>
      <c r="BH313" s="5">
        <v>775.4</v>
      </c>
      <c r="BI313" s="5">
        <v>803.6</v>
      </c>
      <c r="BJ313" s="5">
        <v>831.8</v>
      </c>
      <c r="BK313" s="5">
        <v>923.3</v>
      </c>
      <c r="BL313" s="5">
        <v>1418.2</v>
      </c>
      <c r="BM313" s="5">
        <v>1073</v>
      </c>
      <c r="BN313" s="5">
        <v>1422.4</v>
      </c>
      <c r="BO313" s="5">
        <v>1247.7</v>
      </c>
      <c r="BP313" s="5">
        <v>1414.1</v>
      </c>
      <c r="BQ313" s="5">
        <v>1593.1</v>
      </c>
      <c r="BR313" s="5">
        <v>1650</v>
      </c>
      <c r="BS313" s="5">
        <v>1706.9</v>
      </c>
      <c r="BT313" s="5">
        <v>1891.8</v>
      </c>
      <c r="BU313" s="5">
        <v>2099.9</v>
      </c>
      <c r="BV313" s="5">
        <v>2932.3</v>
      </c>
      <c r="BW313" s="5">
        <v>2497.1999999999998</v>
      </c>
      <c r="BX313" s="5">
        <v>3026.9</v>
      </c>
      <c r="BY313" s="5">
        <v>2553.9</v>
      </c>
      <c r="BZ313" s="5">
        <v>2856.6</v>
      </c>
      <c r="CA313" s="5">
        <v>3208.5</v>
      </c>
      <c r="CB313" s="5">
        <v>3480.9</v>
      </c>
      <c r="CC313" s="5">
        <v>4113.5</v>
      </c>
      <c r="CD313" s="5">
        <v>4570.6000000000004</v>
      </c>
      <c r="CE313" s="5">
        <v>5301.9</v>
      </c>
      <c r="CF313" s="5">
        <v>5484.7</v>
      </c>
      <c r="CG313" s="5">
        <v>5713.3</v>
      </c>
      <c r="CH313" s="5">
        <v>5941.8</v>
      </c>
      <c r="CI313" s="5">
        <v>6170.3</v>
      </c>
      <c r="CJ313" s="5">
        <v>6901.2</v>
      </c>
      <c r="CK313" s="5">
        <v>7591.3</v>
      </c>
      <c r="CL313" s="5">
        <v>7936.4</v>
      </c>
      <c r="CM313" s="5">
        <v>8281.4</v>
      </c>
      <c r="CN313" s="5">
        <v>8626.5</v>
      </c>
      <c r="CO313" s="5">
        <v>8799</v>
      </c>
      <c r="CP313" s="5">
        <v>9023.2999999999993</v>
      </c>
      <c r="CQ313" s="5">
        <v>9294</v>
      </c>
      <c r="CR313" s="5">
        <v>9384.2000000000007</v>
      </c>
      <c r="CS313" s="5">
        <v>9474.5</v>
      </c>
      <c r="CT313" s="5">
        <v>9564.7000000000007</v>
      </c>
    </row>
    <row r="314" spans="1:98">
      <c r="A314" s="2" t="s">
        <v>410</v>
      </c>
      <c r="B314" s="3">
        <v>100</v>
      </c>
      <c r="C314" s="3">
        <v>109.5</v>
      </c>
      <c r="D314" s="3">
        <v>112.8</v>
      </c>
      <c r="E314" s="3">
        <v>114.8</v>
      </c>
      <c r="F314" s="3">
        <v>116.9</v>
      </c>
      <c r="G314" s="3">
        <v>134.1</v>
      </c>
      <c r="H314" s="3">
        <v>137.69999999999999</v>
      </c>
      <c r="I314" s="3">
        <v>140.80000000000001</v>
      </c>
      <c r="J314" s="3">
        <v>140.9</v>
      </c>
      <c r="K314" s="3">
        <v>149.80000000000001</v>
      </c>
      <c r="L314" s="3">
        <v>152.1</v>
      </c>
      <c r="M314" s="3">
        <v>155.19999999999999</v>
      </c>
      <c r="N314" s="3">
        <v>156.19999999999999</v>
      </c>
      <c r="O314" s="3">
        <v>170.1</v>
      </c>
      <c r="P314" s="3">
        <v>172.4</v>
      </c>
      <c r="Q314" s="3">
        <v>173.5</v>
      </c>
      <c r="R314" s="3">
        <v>173.8</v>
      </c>
      <c r="S314" s="3">
        <v>192.3</v>
      </c>
      <c r="T314" s="3">
        <v>195</v>
      </c>
      <c r="U314" s="3">
        <v>203.2</v>
      </c>
      <c r="V314" s="3">
        <v>207.6</v>
      </c>
      <c r="W314" s="3">
        <v>230.8</v>
      </c>
      <c r="X314" s="3">
        <v>233.7</v>
      </c>
      <c r="Y314" s="3">
        <v>237.8</v>
      </c>
      <c r="Z314" s="3">
        <v>238.2</v>
      </c>
      <c r="AA314" s="3">
        <v>258.89999999999998</v>
      </c>
      <c r="AB314" s="3">
        <v>261.7</v>
      </c>
      <c r="AC314" s="3">
        <v>265.60000000000002</v>
      </c>
      <c r="AD314" s="3">
        <v>269</v>
      </c>
      <c r="AE314" s="3">
        <v>287.10000000000002</v>
      </c>
      <c r="AF314" s="3">
        <v>288.7</v>
      </c>
      <c r="AG314" s="3">
        <v>296.60000000000002</v>
      </c>
      <c r="AH314" s="3">
        <v>312.2</v>
      </c>
      <c r="AI314" s="3">
        <v>334</v>
      </c>
      <c r="AJ314" s="3">
        <v>342.9</v>
      </c>
      <c r="AK314" s="3">
        <v>349.3</v>
      </c>
      <c r="AL314" s="3">
        <v>354.9</v>
      </c>
      <c r="AM314" s="3">
        <v>395.9</v>
      </c>
      <c r="AN314" s="3">
        <v>412.8</v>
      </c>
      <c r="AO314" s="3">
        <v>436.5</v>
      </c>
      <c r="AP314" s="3">
        <v>446.2</v>
      </c>
      <c r="AQ314" s="3">
        <v>506.6</v>
      </c>
      <c r="AR314" s="3">
        <v>516.20000000000005</v>
      </c>
      <c r="AS314" s="3">
        <v>527.1</v>
      </c>
      <c r="AT314" s="3">
        <v>537.4</v>
      </c>
      <c r="AU314" s="3">
        <v>628.5</v>
      </c>
      <c r="AV314" s="3">
        <v>639.6</v>
      </c>
      <c r="AW314" s="3">
        <v>649.5</v>
      </c>
      <c r="AX314" s="3">
        <v>659.2</v>
      </c>
      <c r="AY314" s="3">
        <v>726.9</v>
      </c>
      <c r="AZ314" s="3">
        <v>733.1</v>
      </c>
      <c r="BA314" s="3">
        <v>738.9</v>
      </c>
      <c r="BB314" s="3">
        <v>744.5</v>
      </c>
      <c r="BC314" s="3">
        <v>802.1</v>
      </c>
      <c r="BD314" s="3">
        <v>809.7</v>
      </c>
      <c r="BE314" s="3">
        <v>817</v>
      </c>
      <c r="BF314" s="3">
        <v>824.3</v>
      </c>
      <c r="BG314" s="3">
        <v>900.3</v>
      </c>
      <c r="BH314" s="3">
        <v>902.3</v>
      </c>
      <c r="BI314" s="3">
        <v>918.1</v>
      </c>
      <c r="BJ314" s="3">
        <v>926.4</v>
      </c>
      <c r="BK314" s="3">
        <v>1063.9000000000001</v>
      </c>
      <c r="BL314" s="3">
        <v>1146.3</v>
      </c>
      <c r="BM314" s="3">
        <v>1110.2</v>
      </c>
      <c r="BN314" s="3">
        <v>1178.7</v>
      </c>
      <c r="BO314" s="3">
        <v>1119.4000000000001</v>
      </c>
      <c r="BP314" s="3">
        <v>1127.5</v>
      </c>
      <c r="BQ314" s="3">
        <v>1446.5</v>
      </c>
      <c r="BR314" s="3">
        <v>1511.3</v>
      </c>
      <c r="BS314" s="3">
        <v>1543.1</v>
      </c>
      <c r="BT314" s="3">
        <v>1584.7</v>
      </c>
      <c r="BU314" s="3">
        <v>1963.1</v>
      </c>
      <c r="BV314" s="3">
        <v>2417.8000000000002</v>
      </c>
      <c r="BW314" s="3">
        <v>2155.3000000000002</v>
      </c>
      <c r="BX314" s="3">
        <v>2537.9</v>
      </c>
      <c r="BY314" s="3">
        <v>2170.9</v>
      </c>
      <c r="BZ314" s="3">
        <v>2204.1999999999998</v>
      </c>
      <c r="CA314" s="3">
        <v>3345.2</v>
      </c>
      <c r="CB314" s="3">
        <v>3491.4</v>
      </c>
      <c r="CC314" s="3">
        <v>3499.8</v>
      </c>
      <c r="CD314" s="3">
        <v>3525.6</v>
      </c>
      <c r="CE314" s="3">
        <v>4470.3999999999996</v>
      </c>
      <c r="CF314" s="3">
        <v>4549.3999999999996</v>
      </c>
      <c r="CG314" s="3">
        <v>4997.8999999999996</v>
      </c>
      <c r="CH314" s="3">
        <v>5193.1000000000004</v>
      </c>
      <c r="CI314" s="3">
        <v>5193.3999999999996</v>
      </c>
      <c r="CJ314" s="3">
        <v>5193.7</v>
      </c>
      <c r="CK314" s="3">
        <v>6406.1</v>
      </c>
      <c r="CL314" s="3">
        <v>6619.5</v>
      </c>
      <c r="CM314" s="3">
        <v>6763.9</v>
      </c>
      <c r="CN314" s="3">
        <v>6928.2</v>
      </c>
      <c r="CO314" s="3">
        <v>8643.4</v>
      </c>
      <c r="CP314" s="3">
        <v>8972.1</v>
      </c>
      <c r="CQ314" s="3">
        <v>8999.5</v>
      </c>
      <c r="CR314" s="3">
        <v>9399.7000000000007</v>
      </c>
      <c r="CS314" s="3">
        <v>9486.7000000000007</v>
      </c>
      <c r="CT314" s="3">
        <v>9585.7999999999993</v>
      </c>
    </row>
    <row r="315" spans="1:98">
      <c r="A315" s="4" t="s">
        <v>411</v>
      </c>
      <c r="B315" s="5">
        <v>100</v>
      </c>
      <c r="C315" s="5">
        <v>109.6</v>
      </c>
      <c r="D315" s="5">
        <v>114.3</v>
      </c>
      <c r="E315" s="5">
        <v>116.7</v>
      </c>
      <c r="F315" s="5">
        <v>119.1</v>
      </c>
      <c r="G315" s="5">
        <v>143.19999999999999</v>
      </c>
      <c r="H315" s="5">
        <v>148.30000000000001</v>
      </c>
      <c r="I315" s="5">
        <v>151.19999999999999</v>
      </c>
      <c r="J315" s="5">
        <v>151.19999999999999</v>
      </c>
      <c r="K315" s="5">
        <v>160</v>
      </c>
      <c r="L315" s="5">
        <v>162.9</v>
      </c>
      <c r="M315" s="5">
        <v>167.2</v>
      </c>
      <c r="N315" s="5">
        <v>168.7</v>
      </c>
      <c r="O315" s="5">
        <v>178.3</v>
      </c>
      <c r="P315" s="5">
        <v>179.4</v>
      </c>
      <c r="Q315" s="5">
        <v>180.1</v>
      </c>
      <c r="R315" s="5">
        <v>180.4</v>
      </c>
      <c r="S315" s="5">
        <v>194.9</v>
      </c>
      <c r="T315" s="5">
        <v>197.1</v>
      </c>
      <c r="U315" s="5">
        <v>205.3</v>
      </c>
      <c r="V315" s="5">
        <v>213.4</v>
      </c>
      <c r="W315" s="5">
        <v>231.8</v>
      </c>
      <c r="X315" s="5">
        <v>234.6</v>
      </c>
      <c r="Y315" s="5">
        <v>235.8</v>
      </c>
      <c r="Z315" s="5">
        <v>236.2</v>
      </c>
      <c r="AA315" s="5">
        <v>245.3</v>
      </c>
      <c r="AB315" s="5">
        <v>250.4</v>
      </c>
      <c r="AC315" s="5">
        <v>251.6</v>
      </c>
      <c r="AD315" s="5">
        <v>252.6</v>
      </c>
      <c r="AE315" s="5">
        <v>266.89999999999998</v>
      </c>
      <c r="AF315" s="5">
        <v>268.3</v>
      </c>
      <c r="AG315" s="5">
        <v>268.7</v>
      </c>
      <c r="AH315" s="5">
        <v>342.6</v>
      </c>
      <c r="AI315" s="5">
        <v>347.7</v>
      </c>
      <c r="AJ315" s="5">
        <v>363.7</v>
      </c>
      <c r="AK315" s="5">
        <v>386.1</v>
      </c>
      <c r="AL315" s="5">
        <v>406.7</v>
      </c>
      <c r="AM315" s="5">
        <v>440.1</v>
      </c>
      <c r="AN315" s="5">
        <v>468.8</v>
      </c>
      <c r="AO315" s="5">
        <v>525.70000000000005</v>
      </c>
      <c r="AP315" s="5">
        <v>552.4</v>
      </c>
      <c r="AQ315" s="5">
        <v>598.20000000000005</v>
      </c>
      <c r="AR315" s="5">
        <v>614.20000000000005</v>
      </c>
      <c r="AS315" s="5">
        <v>633.20000000000005</v>
      </c>
      <c r="AT315" s="5">
        <v>644.4</v>
      </c>
      <c r="AU315" s="5">
        <v>712.5</v>
      </c>
      <c r="AV315" s="5">
        <v>727.1</v>
      </c>
      <c r="AW315" s="5">
        <v>732.2</v>
      </c>
      <c r="AX315" s="5">
        <v>738.9</v>
      </c>
      <c r="AY315" s="5">
        <v>788.8</v>
      </c>
      <c r="AZ315" s="5">
        <v>792.7</v>
      </c>
      <c r="BA315" s="5">
        <v>792.5</v>
      </c>
      <c r="BB315" s="5">
        <v>793</v>
      </c>
      <c r="BC315" s="5">
        <v>834</v>
      </c>
      <c r="BD315" s="5">
        <v>841.8</v>
      </c>
      <c r="BE315" s="5">
        <v>850.2</v>
      </c>
      <c r="BF315" s="5">
        <v>858</v>
      </c>
      <c r="BG315" s="5">
        <v>910.6</v>
      </c>
      <c r="BH315" s="5">
        <v>911</v>
      </c>
      <c r="BI315" s="5">
        <v>935.4</v>
      </c>
      <c r="BJ315" s="5">
        <v>943.8</v>
      </c>
      <c r="BK315" s="5">
        <v>1047.4000000000001</v>
      </c>
      <c r="BL315" s="5">
        <v>1309.8</v>
      </c>
      <c r="BM315" s="5">
        <v>1178.4000000000001</v>
      </c>
      <c r="BN315" s="5">
        <v>1351.5</v>
      </c>
      <c r="BO315" s="5">
        <v>1239.9000000000001</v>
      </c>
      <c r="BP315" s="5">
        <v>1299.7</v>
      </c>
      <c r="BQ315" s="5">
        <v>1559.3</v>
      </c>
      <c r="BR315" s="5">
        <v>1654.2</v>
      </c>
      <c r="BS315" s="5">
        <v>1751.5</v>
      </c>
      <c r="BT315" s="5">
        <v>1852.9</v>
      </c>
      <c r="BU315" s="5">
        <v>2207.1999999999998</v>
      </c>
      <c r="BV315" s="5">
        <v>3191.7</v>
      </c>
      <c r="BW315" s="5">
        <v>2570.3000000000002</v>
      </c>
      <c r="BX315" s="5">
        <v>3375.6</v>
      </c>
      <c r="BY315" s="5">
        <v>2678.4</v>
      </c>
      <c r="BZ315" s="5">
        <v>2904.8</v>
      </c>
      <c r="CA315" s="5">
        <v>4351.7</v>
      </c>
      <c r="CB315" s="5">
        <v>4711</v>
      </c>
      <c r="CC315" s="5">
        <v>4768</v>
      </c>
      <c r="CD315" s="5">
        <v>4929.5</v>
      </c>
      <c r="CE315" s="5">
        <v>6133</v>
      </c>
      <c r="CF315" s="5">
        <v>6325.7</v>
      </c>
      <c r="CG315" s="5">
        <v>6752.1</v>
      </c>
      <c r="CH315" s="5">
        <v>7181.8</v>
      </c>
      <c r="CI315" s="5">
        <v>7181.8</v>
      </c>
      <c r="CJ315" s="5">
        <v>7185.3</v>
      </c>
      <c r="CK315" s="5">
        <v>8582.6</v>
      </c>
      <c r="CL315" s="5">
        <v>9049.7000000000007</v>
      </c>
      <c r="CM315" s="5">
        <v>9169.6</v>
      </c>
      <c r="CN315" s="5">
        <v>9472.7000000000007</v>
      </c>
      <c r="CO315" s="5">
        <v>11222.9</v>
      </c>
      <c r="CP315" s="5">
        <v>11746.4</v>
      </c>
      <c r="CQ315" s="5">
        <v>11908.6</v>
      </c>
      <c r="CR315" s="5">
        <v>12833.8</v>
      </c>
      <c r="CS315" s="5">
        <v>13001.1</v>
      </c>
      <c r="CT315" s="5">
        <v>13211.8</v>
      </c>
    </row>
    <row r="316" spans="1:98">
      <c r="A316" s="2" t="s">
        <v>412</v>
      </c>
      <c r="B316" s="3">
        <v>100</v>
      </c>
      <c r="C316" s="3">
        <v>108.4</v>
      </c>
      <c r="D316" s="3">
        <v>111.8</v>
      </c>
      <c r="E316" s="3">
        <v>114</v>
      </c>
      <c r="F316" s="3">
        <v>116.3</v>
      </c>
      <c r="G316" s="3">
        <v>135.1</v>
      </c>
      <c r="H316" s="3">
        <v>138.80000000000001</v>
      </c>
      <c r="I316" s="3">
        <v>142.1</v>
      </c>
      <c r="J316" s="3">
        <v>142.1</v>
      </c>
      <c r="K316" s="3">
        <v>150.1</v>
      </c>
      <c r="L316" s="3">
        <v>152.5</v>
      </c>
      <c r="M316" s="3">
        <v>156.1</v>
      </c>
      <c r="N316" s="3">
        <v>157.19999999999999</v>
      </c>
      <c r="O316" s="3">
        <v>168.5</v>
      </c>
      <c r="P316" s="3">
        <v>170.1</v>
      </c>
      <c r="Q316" s="3">
        <v>171.7</v>
      </c>
      <c r="R316" s="3">
        <v>172.1</v>
      </c>
      <c r="S316" s="3">
        <v>188.2</v>
      </c>
      <c r="T316" s="3">
        <v>190.6</v>
      </c>
      <c r="U316" s="3">
        <v>198.5</v>
      </c>
      <c r="V316" s="3">
        <v>204</v>
      </c>
      <c r="W316" s="3">
        <v>223.6</v>
      </c>
      <c r="X316" s="3">
        <v>227.2</v>
      </c>
      <c r="Y316" s="3">
        <v>229.7</v>
      </c>
      <c r="Z316" s="3">
        <v>230.1</v>
      </c>
      <c r="AA316" s="3">
        <v>244.9</v>
      </c>
      <c r="AB316" s="3">
        <v>248.3</v>
      </c>
      <c r="AC316" s="3">
        <v>250.8</v>
      </c>
      <c r="AD316" s="3">
        <v>253</v>
      </c>
      <c r="AE316" s="3">
        <v>268.2</v>
      </c>
      <c r="AF316" s="3">
        <v>269.5</v>
      </c>
      <c r="AG316" s="3">
        <v>266.3</v>
      </c>
      <c r="AH316" s="3">
        <v>298.3</v>
      </c>
      <c r="AI316" s="3">
        <v>322</v>
      </c>
      <c r="AJ316" s="3">
        <v>333.5</v>
      </c>
      <c r="AK316" s="3">
        <v>337.9</v>
      </c>
      <c r="AL316" s="3">
        <v>344.5</v>
      </c>
      <c r="AM316" s="3">
        <v>379.4</v>
      </c>
      <c r="AN316" s="3">
        <v>396.8</v>
      </c>
      <c r="AO316" s="3">
        <v>430.2</v>
      </c>
      <c r="AP316" s="3">
        <v>444.4</v>
      </c>
      <c r="AQ316" s="3">
        <v>492.6</v>
      </c>
      <c r="AR316" s="3">
        <v>503.8</v>
      </c>
      <c r="AS316" s="3">
        <v>532.1</v>
      </c>
      <c r="AT316" s="3">
        <v>541.79999999999995</v>
      </c>
      <c r="AU316" s="3">
        <v>618.20000000000005</v>
      </c>
      <c r="AV316" s="3">
        <v>629.6</v>
      </c>
      <c r="AW316" s="3">
        <v>637.70000000000005</v>
      </c>
      <c r="AX316" s="3">
        <v>645.70000000000005</v>
      </c>
      <c r="AY316" s="3">
        <v>699.1</v>
      </c>
      <c r="AZ316" s="3">
        <v>703.5</v>
      </c>
      <c r="BA316" s="3">
        <v>729</v>
      </c>
      <c r="BB316" s="3">
        <v>732.3</v>
      </c>
      <c r="BC316" s="3">
        <v>781.9</v>
      </c>
      <c r="BD316" s="3">
        <v>789.1</v>
      </c>
      <c r="BE316" s="3">
        <v>798</v>
      </c>
      <c r="BF316" s="3">
        <v>804.8</v>
      </c>
      <c r="BG316" s="3">
        <v>868.4</v>
      </c>
      <c r="BH316" s="3">
        <v>871.6</v>
      </c>
      <c r="BI316" s="3">
        <v>885.9</v>
      </c>
      <c r="BJ316" s="3">
        <v>894.1</v>
      </c>
      <c r="BK316" s="3">
        <v>1009.5</v>
      </c>
      <c r="BL316" s="3">
        <v>1152.2</v>
      </c>
      <c r="BM316" s="3">
        <v>1081.5999999999999</v>
      </c>
      <c r="BN316" s="3">
        <v>1186.5999999999999</v>
      </c>
      <c r="BO316" s="3">
        <v>1110</v>
      </c>
      <c r="BP316" s="3">
        <v>1135.4000000000001</v>
      </c>
      <c r="BQ316" s="3">
        <v>1416.8</v>
      </c>
      <c r="BR316" s="3">
        <v>1489.3</v>
      </c>
      <c r="BS316" s="3">
        <v>1553.6</v>
      </c>
      <c r="BT316" s="3">
        <v>1615</v>
      </c>
      <c r="BU316" s="3">
        <v>1982.7</v>
      </c>
      <c r="BV316" s="3">
        <v>2597.1999999999998</v>
      </c>
      <c r="BW316" s="3">
        <v>2191.1</v>
      </c>
      <c r="BX316" s="3">
        <v>2736.4</v>
      </c>
      <c r="BY316" s="3">
        <v>2220.3000000000002</v>
      </c>
      <c r="BZ316" s="3">
        <v>2319.4</v>
      </c>
      <c r="CA316" s="3">
        <v>3555</v>
      </c>
      <c r="CB316" s="3">
        <v>3778.8</v>
      </c>
      <c r="CC316" s="3">
        <v>3824.3</v>
      </c>
      <c r="CD316" s="3">
        <v>3901.6</v>
      </c>
      <c r="CE316" s="3">
        <v>4863.2</v>
      </c>
      <c r="CF316" s="3">
        <v>4985.2</v>
      </c>
      <c r="CG316" s="3">
        <v>5446</v>
      </c>
      <c r="CH316" s="3">
        <v>5727.9</v>
      </c>
      <c r="CI316" s="3">
        <v>5729.2</v>
      </c>
      <c r="CJ316" s="3">
        <v>5757.5</v>
      </c>
      <c r="CK316" s="3">
        <v>6948.3</v>
      </c>
      <c r="CL316" s="3">
        <v>7243.9</v>
      </c>
      <c r="CM316" s="3">
        <v>7362.5</v>
      </c>
      <c r="CN316" s="3">
        <v>7530.5</v>
      </c>
      <c r="CO316" s="3">
        <v>9229.6</v>
      </c>
      <c r="CP316" s="3">
        <v>9612.2000000000007</v>
      </c>
      <c r="CQ316" s="3">
        <v>9683.1</v>
      </c>
      <c r="CR316" s="3">
        <v>10193.299999999999</v>
      </c>
      <c r="CS316" s="3">
        <v>10342.200000000001</v>
      </c>
      <c r="CT316" s="3">
        <v>10476</v>
      </c>
    </row>
    <row r="317" spans="1:98">
      <c r="A317" s="4" t="s">
        <v>413</v>
      </c>
      <c r="B317" s="5">
        <v>100</v>
      </c>
      <c r="C317" s="5">
        <v>110.6</v>
      </c>
      <c r="D317" s="5">
        <v>113.3</v>
      </c>
      <c r="E317" s="5">
        <v>120.4</v>
      </c>
      <c r="F317" s="5">
        <v>131</v>
      </c>
      <c r="G317" s="5">
        <v>142.19999999999999</v>
      </c>
      <c r="H317" s="5">
        <v>144.9</v>
      </c>
      <c r="I317" s="5">
        <v>146.80000000000001</v>
      </c>
      <c r="J317" s="5">
        <v>146.80000000000001</v>
      </c>
      <c r="K317" s="5">
        <v>155.69999999999999</v>
      </c>
      <c r="L317" s="5">
        <v>160.69999999999999</v>
      </c>
      <c r="M317" s="5">
        <v>162.4</v>
      </c>
      <c r="N317" s="5">
        <v>163</v>
      </c>
      <c r="O317" s="5">
        <v>171.6</v>
      </c>
      <c r="P317" s="5">
        <v>173</v>
      </c>
      <c r="Q317" s="5">
        <v>174.3</v>
      </c>
      <c r="R317" s="5">
        <v>174.5</v>
      </c>
      <c r="S317" s="5">
        <v>187.1</v>
      </c>
      <c r="T317" s="5">
        <v>188.9</v>
      </c>
      <c r="U317" s="5">
        <v>192.6</v>
      </c>
      <c r="V317" s="5">
        <v>195.9</v>
      </c>
      <c r="W317" s="5">
        <v>211.1</v>
      </c>
      <c r="X317" s="5">
        <v>228.6</v>
      </c>
      <c r="Y317" s="5">
        <v>234.8</v>
      </c>
      <c r="Z317" s="5">
        <v>235.7</v>
      </c>
      <c r="AA317" s="5">
        <v>247.4</v>
      </c>
      <c r="AB317" s="5">
        <v>249.4</v>
      </c>
      <c r="AC317" s="5">
        <v>252.9</v>
      </c>
      <c r="AD317" s="5">
        <v>255.5</v>
      </c>
      <c r="AE317" s="5">
        <v>268.8</v>
      </c>
      <c r="AF317" s="5">
        <v>270.3</v>
      </c>
      <c r="AG317" s="5">
        <v>273.10000000000002</v>
      </c>
      <c r="AH317" s="5">
        <v>286.5</v>
      </c>
      <c r="AI317" s="5">
        <v>300.3</v>
      </c>
      <c r="AJ317" s="5">
        <v>316.60000000000002</v>
      </c>
      <c r="AK317" s="5">
        <v>322.5</v>
      </c>
      <c r="AL317" s="5">
        <v>326.8</v>
      </c>
      <c r="AM317" s="5">
        <v>352.1</v>
      </c>
      <c r="AN317" s="5">
        <v>363</v>
      </c>
      <c r="AO317" s="5">
        <v>402.6</v>
      </c>
      <c r="AP317" s="5">
        <v>409.2</v>
      </c>
      <c r="AQ317" s="5">
        <v>456.9</v>
      </c>
      <c r="AR317" s="5">
        <v>476.1</v>
      </c>
      <c r="AS317" s="5">
        <v>483.1</v>
      </c>
      <c r="AT317" s="5">
        <v>491</v>
      </c>
      <c r="AU317" s="5">
        <v>545</v>
      </c>
      <c r="AV317" s="5">
        <v>576.9</v>
      </c>
      <c r="AW317" s="5">
        <v>570</v>
      </c>
      <c r="AX317" s="5">
        <v>576.20000000000005</v>
      </c>
      <c r="AY317" s="5">
        <v>618.70000000000005</v>
      </c>
      <c r="AZ317" s="5">
        <v>622.5</v>
      </c>
      <c r="BA317" s="5">
        <v>619.6</v>
      </c>
      <c r="BB317" s="5">
        <v>623.1</v>
      </c>
      <c r="BC317" s="5">
        <v>661.4</v>
      </c>
      <c r="BD317" s="5">
        <v>670.2</v>
      </c>
      <c r="BE317" s="5">
        <v>693.6</v>
      </c>
      <c r="BF317" s="5">
        <v>702.9</v>
      </c>
      <c r="BG317" s="5">
        <v>760.6</v>
      </c>
      <c r="BH317" s="5">
        <v>764.6</v>
      </c>
      <c r="BI317" s="5">
        <v>772.3</v>
      </c>
      <c r="BJ317" s="5">
        <v>777.5</v>
      </c>
      <c r="BK317" s="5">
        <v>888.4</v>
      </c>
      <c r="BL317" s="5">
        <v>988.7</v>
      </c>
      <c r="BM317" s="5">
        <v>920.2</v>
      </c>
      <c r="BN317" s="5">
        <v>1006.1</v>
      </c>
      <c r="BO317" s="5">
        <v>953.1</v>
      </c>
      <c r="BP317" s="5">
        <v>960.7</v>
      </c>
      <c r="BQ317" s="5">
        <v>1165.5999999999999</v>
      </c>
      <c r="BR317" s="5">
        <v>1277.8</v>
      </c>
      <c r="BS317" s="5">
        <v>1324</v>
      </c>
      <c r="BT317" s="5">
        <v>1350.4</v>
      </c>
      <c r="BU317" s="5">
        <v>1577.5</v>
      </c>
      <c r="BV317" s="5">
        <v>2012.3</v>
      </c>
      <c r="BW317" s="5">
        <v>1751.6</v>
      </c>
      <c r="BX317" s="5">
        <v>2092.3000000000002</v>
      </c>
      <c r="BY317" s="5">
        <v>1760.5</v>
      </c>
      <c r="BZ317" s="5">
        <v>1796.1</v>
      </c>
      <c r="CA317" s="5">
        <v>2727.7</v>
      </c>
      <c r="CB317" s="5">
        <v>3141.1</v>
      </c>
      <c r="CC317" s="5">
        <v>3010.5</v>
      </c>
      <c r="CD317" s="5">
        <v>3074.5</v>
      </c>
      <c r="CE317" s="5">
        <v>3843.2</v>
      </c>
      <c r="CF317" s="5">
        <v>4021.9</v>
      </c>
      <c r="CG317" s="5">
        <v>4150</v>
      </c>
      <c r="CH317" s="5">
        <v>4323.8999999999996</v>
      </c>
      <c r="CI317" s="5">
        <v>4339.7</v>
      </c>
      <c r="CJ317" s="5">
        <v>4609.6000000000004</v>
      </c>
      <c r="CK317" s="5">
        <v>5447.3</v>
      </c>
      <c r="CL317" s="5">
        <v>5809.9</v>
      </c>
      <c r="CM317" s="5">
        <v>6058.8</v>
      </c>
      <c r="CN317" s="5">
        <v>6166.3</v>
      </c>
      <c r="CO317" s="5">
        <v>7380.8</v>
      </c>
      <c r="CP317" s="5">
        <v>8197.6</v>
      </c>
      <c r="CQ317" s="5">
        <v>8275.1</v>
      </c>
      <c r="CR317" s="5">
        <v>8604.2000000000007</v>
      </c>
      <c r="CS317" s="5">
        <v>8837.1</v>
      </c>
      <c r="CT317" s="5">
        <v>9096.7999999999993</v>
      </c>
    </row>
    <row r="318" spans="1:98">
      <c r="A318" s="2" t="s">
        <v>414</v>
      </c>
      <c r="B318" s="3">
        <v>100</v>
      </c>
      <c r="C318" s="3">
        <v>105.7</v>
      </c>
      <c r="D318" s="3">
        <v>106.1</v>
      </c>
      <c r="E318" s="3">
        <v>106.6</v>
      </c>
      <c r="F318" s="3">
        <v>110.6</v>
      </c>
      <c r="G318" s="3">
        <v>126.5</v>
      </c>
      <c r="H318" s="3">
        <v>130.5</v>
      </c>
      <c r="I318" s="3">
        <v>137.4</v>
      </c>
      <c r="J318" s="3">
        <v>136.4</v>
      </c>
      <c r="K318" s="3">
        <v>140</v>
      </c>
      <c r="L318" s="3">
        <v>138.80000000000001</v>
      </c>
      <c r="M318" s="3">
        <v>140.9</v>
      </c>
      <c r="N318" s="3">
        <v>140.19999999999999</v>
      </c>
      <c r="O318" s="3">
        <v>151.19999999999999</v>
      </c>
      <c r="P318" s="3">
        <v>155</v>
      </c>
      <c r="Q318" s="3">
        <v>160.80000000000001</v>
      </c>
      <c r="R318" s="3">
        <v>162.6</v>
      </c>
      <c r="S318" s="3">
        <v>183.3</v>
      </c>
      <c r="T318" s="3">
        <v>185.4</v>
      </c>
      <c r="U318" s="3">
        <v>195.4</v>
      </c>
      <c r="V318" s="3">
        <v>203.3</v>
      </c>
      <c r="W318" s="3">
        <v>224.5</v>
      </c>
      <c r="X318" s="3">
        <v>232.2</v>
      </c>
      <c r="Y318" s="3">
        <v>224.1</v>
      </c>
      <c r="Z318" s="3">
        <v>209.7</v>
      </c>
      <c r="AA318" s="3">
        <v>214.6</v>
      </c>
      <c r="AB318" s="3">
        <v>219</v>
      </c>
      <c r="AC318" s="3">
        <v>220.1</v>
      </c>
      <c r="AD318" s="3">
        <v>222.7</v>
      </c>
      <c r="AE318" s="3">
        <v>241.5</v>
      </c>
      <c r="AF318" s="3">
        <v>245.2</v>
      </c>
      <c r="AG318" s="3">
        <v>251.9</v>
      </c>
      <c r="AH318" s="3">
        <v>257.3</v>
      </c>
      <c r="AI318" s="3">
        <v>274.10000000000002</v>
      </c>
      <c r="AJ318" s="3">
        <v>280.2</v>
      </c>
      <c r="AK318" s="3">
        <v>291.39999999999998</v>
      </c>
      <c r="AL318" s="3">
        <v>311.3</v>
      </c>
      <c r="AM318" s="3">
        <v>334.5</v>
      </c>
      <c r="AN318" s="3">
        <v>369.3</v>
      </c>
      <c r="AO318" s="3">
        <v>399.1</v>
      </c>
      <c r="AP318" s="3">
        <v>407.9</v>
      </c>
      <c r="AQ318" s="3">
        <v>437.9</v>
      </c>
      <c r="AR318" s="3">
        <v>441.1</v>
      </c>
      <c r="AS318" s="3">
        <v>446.7</v>
      </c>
      <c r="AT318" s="3">
        <v>449.6</v>
      </c>
      <c r="AU318" s="3">
        <v>499.3</v>
      </c>
      <c r="AV318" s="3">
        <v>500.2</v>
      </c>
      <c r="AW318" s="3">
        <v>504.7</v>
      </c>
      <c r="AX318" s="3">
        <v>498.9</v>
      </c>
      <c r="AY318" s="3">
        <v>516.4</v>
      </c>
      <c r="AZ318" s="3">
        <v>517.4</v>
      </c>
      <c r="BA318" s="3">
        <v>515.20000000000005</v>
      </c>
      <c r="BB318" s="3">
        <v>511.7</v>
      </c>
      <c r="BC318" s="3">
        <v>556.20000000000005</v>
      </c>
      <c r="BD318" s="3">
        <v>558.70000000000005</v>
      </c>
      <c r="BE318" s="3">
        <v>579.6</v>
      </c>
      <c r="BF318" s="3">
        <v>585.5</v>
      </c>
      <c r="BG318" s="3">
        <v>623.29999999999995</v>
      </c>
      <c r="BH318" s="3">
        <v>645.70000000000005</v>
      </c>
      <c r="BI318" s="3">
        <v>663.3</v>
      </c>
      <c r="BJ318" s="3">
        <v>679.8</v>
      </c>
      <c r="BK318" s="3">
        <v>770.9</v>
      </c>
      <c r="BL318" s="3">
        <v>915</v>
      </c>
      <c r="BM318" s="3">
        <v>840</v>
      </c>
      <c r="BN318" s="3">
        <v>972</v>
      </c>
      <c r="BO318" s="3">
        <v>863.3</v>
      </c>
      <c r="BP318" s="3">
        <v>877.6</v>
      </c>
      <c r="BQ318" s="3">
        <v>1115.7</v>
      </c>
      <c r="BR318" s="3">
        <v>1110.5999999999999</v>
      </c>
      <c r="BS318" s="3">
        <v>1128.0999999999999</v>
      </c>
      <c r="BT318" s="3">
        <v>1243.0999999999999</v>
      </c>
      <c r="BU318" s="3">
        <v>1587.4</v>
      </c>
      <c r="BV318" s="3">
        <v>2144.3000000000002</v>
      </c>
      <c r="BW318" s="3">
        <v>1818.7</v>
      </c>
      <c r="BX318" s="3">
        <v>2218.9</v>
      </c>
      <c r="BY318" s="3">
        <v>1860.9</v>
      </c>
      <c r="BZ318" s="3">
        <v>1940.5</v>
      </c>
      <c r="CA318" s="3">
        <v>2641.2</v>
      </c>
      <c r="CB318" s="3">
        <v>2947.4</v>
      </c>
      <c r="CC318" s="3">
        <v>3063.4</v>
      </c>
      <c r="CD318" s="3">
        <v>3040.5</v>
      </c>
      <c r="CE318" s="3">
        <v>3715.5</v>
      </c>
      <c r="CF318" s="3">
        <v>3764.1</v>
      </c>
      <c r="CG318" s="3">
        <v>3940.5</v>
      </c>
      <c r="CH318" s="3">
        <v>4217.2</v>
      </c>
      <c r="CI318" s="3">
        <v>4296.2</v>
      </c>
      <c r="CJ318" s="3">
        <v>4527.3</v>
      </c>
      <c r="CK318" s="3">
        <v>5161.1000000000004</v>
      </c>
      <c r="CL318" s="3">
        <v>5287.9</v>
      </c>
      <c r="CM318" s="3">
        <v>5845.8</v>
      </c>
      <c r="CN318" s="3">
        <v>6087.9</v>
      </c>
      <c r="CO318" s="3">
        <v>6880.3</v>
      </c>
      <c r="CP318" s="3">
        <v>7055</v>
      </c>
      <c r="CQ318" s="3">
        <v>7173.3</v>
      </c>
      <c r="CR318" s="3">
        <v>7627.2</v>
      </c>
      <c r="CS318" s="3">
        <v>7946.9</v>
      </c>
      <c r="CT318" s="3">
        <v>8302.9</v>
      </c>
    </row>
    <row r="319" spans="1:98">
      <c r="A319" s="4" t="s">
        <v>415</v>
      </c>
      <c r="B319" s="5">
        <v>100</v>
      </c>
      <c r="C319" s="5">
        <v>99.4</v>
      </c>
      <c r="D319" s="5">
        <v>98</v>
      </c>
      <c r="E319" s="5">
        <v>98.7</v>
      </c>
      <c r="F319" s="5">
        <v>119.7</v>
      </c>
      <c r="G319" s="5">
        <v>144.80000000000001</v>
      </c>
      <c r="H319" s="5">
        <v>149.69999999999999</v>
      </c>
      <c r="I319" s="5">
        <v>151.69999999999999</v>
      </c>
      <c r="J319" s="5">
        <v>143</v>
      </c>
      <c r="K319" s="5">
        <v>137.5</v>
      </c>
      <c r="L319" s="5">
        <v>128.30000000000001</v>
      </c>
      <c r="M319" s="5">
        <v>127.2</v>
      </c>
      <c r="N319" s="5">
        <v>128.6</v>
      </c>
      <c r="O319" s="5">
        <v>155.4</v>
      </c>
      <c r="P319" s="5">
        <v>186.7</v>
      </c>
      <c r="Q319" s="5">
        <v>199.5</v>
      </c>
      <c r="R319" s="5">
        <v>204.6</v>
      </c>
      <c r="S319" s="5">
        <v>219.2</v>
      </c>
      <c r="T319" s="5">
        <v>204.6</v>
      </c>
      <c r="U319" s="5">
        <v>230.4</v>
      </c>
      <c r="V319" s="5">
        <v>255.2</v>
      </c>
      <c r="W319" s="5">
        <v>322.10000000000002</v>
      </c>
      <c r="X319" s="5">
        <v>368.7</v>
      </c>
      <c r="Y319" s="5">
        <v>250.4</v>
      </c>
      <c r="Z319" s="5">
        <v>203.5</v>
      </c>
      <c r="AA319" s="5">
        <v>187.5</v>
      </c>
      <c r="AB319" s="5">
        <v>194.9</v>
      </c>
      <c r="AC319" s="5">
        <v>189.6</v>
      </c>
      <c r="AD319" s="5">
        <v>222.6</v>
      </c>
      <c r="AE319" s="5">
        <v>245.3</v>
      </c>
      <c r="AF319" s="5">
        <v>253.1</v>
      </c>
      <c r="AG319" s="5">
        <v>275.7</v>
      </c>
      <c r="AH319" s="5">
        <v>270.8</v>
      </c>
      <c r="AI319" s="5">
        <v>276.60000000000002</v>
      </c>
      <c r="AJ319" s="5">
        <v>293</v>
      </c>
      <c r="AK319" s="5">
        <v>304.39999999999998</v>
      </c>
      <c r="AL319" s="5">
        <v>356.8</v>
      </c>
      <c r="AM319" s="5">
        <v>411.5</v>
      </c>
      <c r="AN319" s="5">
        <v>514.4</v>
      </c>
      <c r="AO319" s="5">
        <v>592.4</v>
      </c>
      <c r="AP319" s="5">
        <v>591.1</v>
      </c>
      <c r="AQ319" s="5">
        <v>594.6</v>
      </c>
      <c r="AR319" s="5">
        <v>594.1</v>
      </c>
      <c r="AS319" s="5">
        <v>584.29999999999995</v>
      </c>
      <c r="AT319" s="5">
        <v>547.29999999999995</v>
      </c>
      <c r="AU319" s="5">
        <v>594.6</v>
      </c>
      <c r="AV319" s="5">
        <v>578.5</v>
      </c>
      <c r="AW319" s="5">
        <v>576.29999999999995</v>
      </c>
      <c r="AX319" s="5">
        <v>532.20000000000005</v>
      </c>
      <c r="AY319" s="5">
        <v>502</v>
      </c>
      <c r="AZ319" s="5">
        <v>487.4</v>
      </c>
      <c r="BA319" s="5">
        <v>460.5</v>
      </c>
      <c r="BB319" s="5">
        <v>424.4</v>
      </c>
      <c r="BC319" s="5">
        <v>506.2</v>
      </c>
      <c r="BD319" s="5">
        <v>507</v>
      </c>
      <c r="BE319" s="5">
        <v>537</v>
      </c>
      <c r="BF319" s="5">
        <v>526.20000000000005</v>
      </c>
      <c r="BG319" s="5">
        <v>539.20000000000005</v>
      </c>
      <c r="BH319" s="5">
        <v>664.8</v>
      </c>
      <c r="BI319" s="5">
        <v>689</v>
      </c>
      <c r="BJ319" s="5">
        <v>731.5</v>
      </c>
      <c r="BK319" s="5">
        <v>901.9</v>
      </c>
      <c r="BL319" s="5">
        <v>1274.5</v>
      </c>
      <c r="BM319" s="5">
        <v>1029.4000000000001</v>
      </c>
      <c r="BN319" s="5">
        <v>1261.3</v>
      </c>
      <c r="BO319" s="5">
        <v>1330.1</v>
      </c>
      <c r="BP319" s="5">
        <v>1384.4</v>
      </c>
      <c r="BQ319" s="5">
        <v>1488.6</v>
      </c>
      <c r="BR319" s="5">
        <v>1312.7</v>
      </c>
      <c r="BS319" s="5">
        <v>1366.6</v>
      </c>
      <c r="BT319" s="5">
        <v>1722.8</v>
      </c>
      <c r="BU319" s="5">
        <v>1939.5</v>
      </c>
      <c r="BV319" s="5">
        <v>3569.9</v>
      </c>
      <c r="BW319" s="5">
        <v>2960.3</v>
      </c>
      <c r="BX319" s="5">
        <v>3798.6</v>
      </c>
      <c r="BY319" s="5">
        <v>3245.1</v>
      </c>
      <c r="BZ319" s="5">
        <v>3388.9</v>
      </c>
      <c r="CA319" s="5">
        <v>4192.6000000000004</v>
      </c>
      <c r="CB319" s="5">
        <v>4884.3999999999996</v>
      </c>
      <c r="CC319" s="5">
        <v>4730.7</v>
      </c>
      <c r="CD319" s="5">
        <v>4646.8</v>
      </c>
      <c r="CE319" s="5">
        <v>5388.7</v>
      </c>
      <c r="CF319" s="5">
        <v>4927.5</v>
      </c>
      <c r="CG319" s="5">
        <v>4929.2</v>
      </c>
      <c r="CH319" s="5">
        <v>5841.7</v>
      </c>
      <c r="CI319" s="5">
        <v>6552.2</v>
      </c>
      <c r="CJ319" s="5">
        <v>7735.7</v>
      </c>
      <c r="CK319" s="5">
        <v>7793.8</v>
      </c>
      <c r="CL319" s="5">
        <v>7359.5</v>
      </c>
      <c r="CM319" s="5">
        <v>7068.8</v>
      </c>
      <c r="CN319" s="5">
        <v>7413</v>
      </c>
      <c r="CO319" s="5">
        <v>8259.5</v>
      </c>
      <c r="CP319" s="5">
        <v>8677.9</v>
      </c>
      <c r="CQ319" s="5">
        <v>8956.6</v>
      </c>
      <c r="CR319" s="5">
        <v>9438.6</v>
      </c>
      <c r="CS319" s="5">
        <v>9989.5</v>
      </c>
      <c r="CT319" s="5">
        <v>10910.1</v>
      </c>
    </row>
    <row r="320" spans="1:98">
      <c r="A320" s="2" t="s">
        <v>416</v>
      </c>
      <c r="B320" s="3">
        <v>100</v>
      </c>
      <c r="C320" s="3">
        <v>106</v>
      </c>
      <c r="D320" s="3">
        <v>104.6</v>
      </c>
      <c r="E320" s="3">
        <v>106</v>
      </c>
      <c r="F320" s="3">
        <v>114.8</v>
      </c>
      <c r="G320" s="3">
        <v>137.19999999999999</v>
      </c>
      <c r="H320" s="3">
        <v>144.69999999999999</v>
      </c>
      <c r="I320" s="3">
        <v>151.19999999999999</v>
      </c>
      <c r="J320" s="3">
        <v>148.5</v>
      </c>
      <c r="K320" s="3">
        <v>147.6</v>
      </c>
      <c r="L320" s="3">
        <v>144.6</v>
      </c>
      <c r="M320" s="3">
        <v>145.80000000000001</v>
      </c>
      <c r="N320" s="3">
        <v>145.19999999999999</v>
      </c>
      <c r="O320" s="3">
        <v>168.4</v>
      </c>
      <c r="P320" s="3">
        <v>177.7</v>
      </c>
      <c r="Q320" s="3">
        <v>194.4</v>
      </c>
      <c r="R320" s="3">
        <v>204.3</v>
      </c>
      <c r="S320" s="3">
        <v>230.7</v>
      </c>
      <c r="T320" s="3">
        <v>229.3</v>
      </c>
      <c r="U320" s="3">
        <v>250.6</v>
      </c>
      <c r="V320" s="3">
        <v>258.7</v>
      </c>
      <c r="W320" s="3">
        <v>305.7</v>
      </c>
      <c r="X320" s="3">
        <v>315.5</v>
      </c>
      <c r="Y320" s="3">
        <v>285.3</v>
      </c>
      <c r="Z320" s="3">
        <v>265.39999999999998</v>
      </c>
      <c r="AA320" s="3">
        <v>274.39999999999998</v>
      </c>
      <c r="AB320" s="3">
        <v>277</v>
      </c>
      <c r="AC320" s="3">
        <v>276</v>
      </c>
      <c r="AD320" s="3">
        <v>292</v>
      </c>
      <c r="AE320" s="3">
        <v>314.89999999999998</v>
      </c>
      <c r="AF320" s="3">
        <v>319.60000000000002</v>
      </c>
      <c r="AG320" s="3">
        <v>322</v>
      </c>
      <c r="AH320" s="3">
        <v>328</v>
      </c>
      <c r="AI320" s="3">
        <v>346</v>
      </c>
      <c r="AJ320" s="3">
        <v>356.4</v>
      </c>
      <c r="AK320" s="3">
        <v>376.3</v>
      </c>
      <c r="AL320" s="3">
        <v>395.1</v>
      </c>
      <c r="AM320" s="3">
        <v>421.6</v>
      </c>
      <c r="AN320" s="3">
        <v>464.2</v>
      </c>
      <c r="AO320" s="3">
        <v>529.5</v>
      </c>
      <c r="AP320" s="3">
        <v>571.9</v>
      </c>
      <c r="AQ320" s="3">
        <v>591.70000000000005</v>
      </c>
      <c r="AR320" s="3">
        <v>588.29999999999995</v>
      </c>
      <c r="AS320" s="3">
        <v>581.4</v>
      </c>
      <c r="AT320" s="3">
        <v>580.5</v>
      </c>
      <c r="AU320" s="3">
        <v>626.9</v>
      </c>
      <c r="AV320" s="3">
        <v>621.70000000000005</v>
      </c>
      <c r="AW320" s="3">
        <v>625.5</v>
      </c>
      <c r="AX320" s="3">
        <v>609.5</v>
      </c>
      <c r="AY320" s="3">
        <v>613.70000000000005</v>
      </c>
      <c r="AZ320" s="3">
        <v>607.1</v>
      </c>
      <c r="BA320" s="3">
        <v>605.5</v>
      </c>
      <c r="BB320" s="3">
        <v>583.29999999999995</v>
      </c>
      <c r="BC320" s="3">
        <v>641.20000000000005</v>
      </c>
      <c r="BD320" s="3">
        <v>639</v>
      </c>
      <c r="BE320" s="3">
        <v>665.2</v>
      </c>
      <c r="BF320" s="3">
        <v>678.8</v>
      </c>
      <c r="BG320" s="3">
        <v>697</v>
      </c>
      <c r="BH320" s="3">
        <v>748.9</v>
      </c>
      <c r="BI320" s="3">
        <v>792.5</v>
      </c>
      <c r="BJ320" s="3">
        <v>823.4</v>
      </c>
      <c r="BK320" s="3">
        <v>925.4</v>
      </c>
      <c r="BL320" s="3">
        <v>1315.2</v>
      </c>
      <c r="BM320" s="3">
        <v>1051.8</v>
      </c>
      <c r="BN320" s="3">
        <v>1328.3</v>
      </c>
      <c r="BO320" s="3">
        <v>1252.7</v>
      </c>
      <c r="BP320" s="3">
        <v>1280.9000000000001</v>
      </c>
      <c r="BQ320" s="3">
        <v>1540.4</v>
      </c>
      <c r="BR320" s="3">
        <v>1473.9</v>
      </c>
      <c r="BS320" s="3">
        <v>1462.1</v>
      </c>
      <c r="BT320" s="3">
        <v>1760.5</v>
      </c>
      <c r="BU320" s="3">
        <v>2124.1</v>
      </c>
      <c r="BV320" s="3">
        <v>3569.9</v>
      </c>
      <c r="BW320" s="3">
        <v>2839.8</v>
      </c>
      <c r="BX320" s="3">
        <v>3764</v>
      </c>
      <c r="BY320" s="3">
        <v>3089.3</v>
      </c>
      <c r="BZ320" s="3">
        <v>3203.7</v>
      </c>
      <c r="CA320" s="3">
        <v>4240.8</v>
      </c>
      <c r="CB320" s="3">
        <v>4747.2</v>
      </c>
      <c r="CC320" s="3">
        <v>4790.1000000000004</v>
      </c>
      <c r="CD320" s="3">
        <v>4680.3999999999996</v>
      </c>
      <c r="CE320" s="3">
        <v>5283.1</v>
      </c>
      <c r="CF320" s="3">
        <v>5166.2</v>
      </c>
      <c r="CG320" s="3">
        <v>5327.1</v>
      </c>
      <c r="CH320" s="3">
        <v>6056.5</v>
      </c>
      <c r="CI320" s="3">
        <v>6682.8</v>
      </c>
      <c r="CJ320" s="3">
        <v>7510.5</v>
      </c>
      <c r="CK320" s="3">
        <v>7797.3</v>
      </c>
      <c r="CL320" s="3">
        <v>7656.5</v>
      </c>
      <c r="CM320" s="3">
        <v>7418.6</v>
      </c>
      <c r="CN320" s="3">
        <v>7977.8</v>
      </c>
      <c r="CO320" s="3">
        <v>8719.4</v>
      </c>
      <c r="CP320" s="3">
        <v>8888.2999999999993</v>
      </c>
      <c r="CQ320" s="3">
        <v>9487.7999999999993</v>
      </c>
      <c r="CR320" s="3">
        <v>10073.299999999999</v>
      </c>
      <c r="CS320" s="3">
        <v>10344.4</v>
      </c>
      <c r="CT320" s="3">
        <v>10737.4</v>
      </c>
    </row>
    <row r="321" spans="1:98">
      <c r="A321" s="4" t="s">
        <v>417</v>
      </c>
      <c r="B321" s="5">
        <v>100</v>
      </c>
      <c r="C321" s="5">
        <v>112.5</v>
      </c>
      <c r="D321" s="5">
        <v>114.6</v>
      </c>
      <c r="E321" s="5">
        <v>122.4</v>
      </c>
      <c r="F321" s="5">
        <v>133.30000000000001</v>
      </c>
      <c r="G321" s="5">
        <v>148.19999999999999</v>
      </c>
      <c r="H321" s="5">
        <v>150.6</v>
      </c>
      <c r="I321" s="5">
        <v>152.19999999999999</v>
      </c>
      <c r="J321" s="5">
        <v>152.30000000000001</v>
      </c>
      <c r="K321" s="5">
        <v>161.1</v>
      </c>
      <c r="L321" s="5">
        <v>166.6</v>
      </c>
      <c r="M321" s="5">
        <v>168.6</v>
      </c>
      <c r="N321" s="5">
        <v>169.2</v>
      </c>
      <c r="O321" s="5">
        <v>174.3</v>
      </c>
      <c r="P321" s="5">
        <v>175.2</v>
      </c>
      <c r="Q321" s="5">
        <v>177.3</v>
      </c>
      <c r="R321" s="5">
        <v>177.5</v>
      </c>
      <c r="S321" s="5">
        <v>188.4</v>
      </c>
      <c r="T321" s="5">
        <v>190.3</v>
      </c>
      <c r="U321" s="5">
        <v>195.5</v>
      </c>
      <c r="V321" s="5">
        <v>199.5</v>
      </c>
      <c r="W321" s="5">
        <v>218.8</v>
      </c>
      <c r="X321" s="5">
        <v>237.9</v>
      </c>
      <c r="Y321" s="5">
        <v>236.6</v>
      </c>
      <c r="Z321" s="5">
        <v>236.6</v>
      </c>
      <c r="AA321" s="5">
        <v>242.2</v>
      </c>
      <c r="AB321" s="5">
        <v>244.7</v>
      </c>
      <c r="AC321" s="5">
        <v>245.6</v>
      </c>
      <c r="AD321" s="5">
        <v>246.3</v>
      </c>
      <c r="AE321" s="5">
        <v>255.2</v>
      </c>
      <c r="AF321" s="5">
        <v>256</v>
      </c>
      <c r="AG321" s="5">
        <v>258.39999999999998</v>
      </c>
      <c r="AH321" s="5">
        <v>298.10000000000002</v>
      </c>
      <c r="AI321" s="5">
        <v>302.7</v>
      </c>
      <c r="AJ321" s="5">
        <v>323</v>
      </c>
      <c r="AK321" s="5">
        <v>335.5</v>
      </c>
      <c r="AL321" s="5">
        <v>341.1</v>
      </c>
      <c r="AM321" s="5">
        <v>358.6</v>
      </c>
      <c r="AN321" s="5">
        <v>374.8</v>
      </c>
      <c r="AO321" s="5">
        <v>425</v>
      </c>
      <c r="AP321" s="5">
        <v>438</v>
      </c>
      <c r="AQ321" s="5">
        <v>476.1</v>
      </c>
      <c r="AR321" s="5">
        <v>496.7</v>
      </c>
      <c r="AS321" s="5">
        <v>505.8</v>
      </c>
      <c r="AT321" s="5">
        <v>511.4</v>
      </c>
      <c r="AU321" s="5">
        <v>548.70000000000005</v>
      </c>
      <c r="AV321" s="5">
        <v>580.9</v>
      </c>
      <c r="AW321" s="5">
        <v>578.1</v>
      </c>
      <c r="AX321" s="5">
        <v>598</v>
      </c>
      <c r="AY321" s="5">
        <v>623.5</v>
      </c>
      <c r="AZ321" s="5">
        <v>625.5</v>
      </c>
      <c r="BA321" s="5">
        <v>618</v>
      </c>
      <c r="BB321" s="5">
        <v>620.6</v>
      </c>
      <c r="BC321" s="5">
        <v>644.1</v>
      </c>
      <c r="BD321" s="5">
        <v>652.20000000000005</v>
      </c>
      <c r="BE321" s="5">
        <v>680.1</v>
      </c>
      <c r="BF321" s="5">
        <v>684</v>
      </c>
      <c r="BG321" s="5">
        <v>729.6</v>
      </c>
      <c r="BH321" s="5">
        <v>731.1</v>
      </c>
      <c r="BI321" s="5">
        <v>742.7</v>
      </c>
      <c r="BJ321" s="5">
        <v>749.6</v>
      </c>
      <c r="BK321" s="5">
        <v>839.7</v>
      </c>
      <c r="BL321" s="5">
        <v>1011.7</v>
      </c>
      <c r="BM321" s="5">
        <v>902.3</v>
      </c>
      <c r="BN321" s="5">
        <v>1043.9000000000001</v>
      </c>
      <c r="BO321" s="5">
        <v>957.4</v>
      </c>
      <c r="BP321" s="5">
        <v>983.1</v>
      </c>
      <c r="BQ321" s="5">
        <v>1167.3</v>
      </c>
      <c r="BR321" s="5">
        <v>1305.0999999999999</v>
      </c>
      <c r="BS321" s="5">
        <v>1375.8</v>
      </c>
      <c r="BT321" s="5">
        <v>1431.7</v>
      </c>
      <c r="BU321" s="5">
        <v>1654</v>
      </c>
      <c r="BV321" s="5">
        <v>2348.6999999999998</v>
      </c>
      <c r="BW321" s="5">
        <v>1902.7</v>
      </c>
      <c r="BX321" s="5">
        <v>2456.1</v>
      </c>
      <c r="BY321" s="5">
        <v>1949.7</v>
      </c>
      <c r="BZ321" s="5">
        <v>2070.4</v>
      </c>
      <c r="CA321" s="5">
        <v>3150.7</v>
      </c>
      <c r="CB321" s="5">
        <v>3629</v>
      </c>
      <c r="CC321" s="5">
        <v>3592.7</v>
      </c>
      <c r="CD321" s="5">
        <v>3715.3</v>
      </c>
      <c r="CE321" s="5">
        <v>4533.5</v>
      </c>
      <c r="CF321" s="5">
        <v>4735.8999999999996</v>
      </c>
      <c r="CG321" s="5">
        <v>5036.1000000000004</v>
      </c>
      <c r="CH321" s="5">
        <v>5356.1</v>
      </c>
      <c r="CI321" s="5">
        <v>5380.6</v>
      </c>
      <c r="CJ321" s="5">
        <v>5670.1</v>
      </c>
      <c r="CK321" s="5">
        <v>6576.6</v>
      </c>
      <c r="CL321" s="5">
        <v>6970.9</v>
      </c>
      <c r="CM321" s="5">
        <v>7229.6</v>
      </c>
      <c r="CN321" s="5">
        <v>7339.9</v>
      </c>
      <c r="CO321" s="5">
        <v>8607.6</v>
      </c>
      <c r="CP321" s="5">
        <v>9396.5</v>
      </c>
      <c r="CQ321" s="5">
        <v>9525</v>
      </c>
      <c r="CR321" s="5">
        <v>10089.9</v>
      </c>
      <c r="CS321" s="5">
        <v>10400.799999999999</v>
      </c>
      <c r="CT321" s="5">
        <v>10833.6</v>
      </c>
    </row>
    <row r="322" spans="1:98">
      <c r="A322" s="2" t="s">
        <v>418</v>
      </c>
      <c r="B322" s="3"/>
      <c r="C322" s="3"/>
      <c r="D322" s="3"/>
      <c r="E322" s="3"/>
      <c r="F322" s="3"/>
      <c r="G322" s="3"/>
      <c r="H322" s="3"/>
      <c r="I322" s="3"/>
      <c r="J322" s="3"/>
      <c r="K322" s="3"/>
      <c r="L322" s="3"/>
      <c r="M322" s="3"/>
      <c r="N322" s="3">
        <v>171</v>
      </c>
      <c r="O322" s="3">
        <v>182.1</v>
      </c>
      <c r="P322" s="3">
        <v>183.1</v>
      </c>
      <c r="Q322" s="3">
        <v>184.9</v>
      </c>
      <c r="R322" s="3">
        <v>186</v>
      </c>
      <c r="S322" s="3">
        <v>201.5</v>
      </c>
      <c r="T322" s="3">
        <v>205.1</v>
      </c>
      <c r="U322" s="3">
        <v>213.1</v>
      </c>
      <c r="V322" s="3">
        <v>221.7</v>
      </c>
      <c r="W322" s="3">
        <v>242.6</v>
      </c>
      <c r="X322" s="3">
        <v>247.6</v>
      </c>
      <c r="Y322" s="3">
        <v>249.7</v>
      </c>
      <c r="Z322" s="3">
        <v>250.2</v>
      </c>
      <c r="AA322" s="3">
        <v>258.8</v>
      </c>
      <c r="AB322" s="3">
        <v>263.10000000000002</v>
      </c>
      <c r="AC322" s="3">
        <v>265</v>
      </c>
      <c r="AD322" s="3">
        <v>266.7</v>
      </c>
      <c r="AE322" s="3">
        <v>283.89999999999998</v>
      </c>
      <c r="AF322" s="3">
        <v>285.39999999999998</v>
      </c>
      <c r="AG322" s="3">
        <v>286.8</v>
      </c>
      <c r="AH322" s="3">
        <v>344.3</v>
      </c>
      <c r="AI322" s="3">
        <v>352.9</v>
      </c>
      <c r="AJ322" s="3">
        <v>367</v>
      </c>
      <c r="AK322" s="3">
        <v>387.3</v>
      </c>
      <c r="AL322" s="3">
        <v>404.1</v>
      </c>
      <c r="AM322" s="3">
        <v>440.8</v>
      </c>
      <c r="AN322" s="3">
        <v>465.9</v>
      </c>
      <c r="AO322" s="3">
        <v>528.20000000000005</v>
      </c>
      <c r="AP322" s="3">
        <v>550.1</v>
      </c>
      <c r="AQ322" s="3">
        <v>596.6</v>
      </c>
      <c r="AR322" s="3">
        <v>610.6</v>
      </c>
      <c r="AS322" s="3">
        <v>628</v>
      </c>
      <c r="AT322" s="3">
        <v>639</v>
      </c>
      <c r="AU322" s="3">
        <v>705.9</v>
      </c>
      <c r="AV322" s="3">
        <v>723.3</v>
      </c>
      <c r="AW322" s="3">
        <v>732.3</v>
      </c>
      <c r="AX322" s="3">
        <v>739.5</v>
      </c>
      <c r="AY322" s="3">
        <v>790.8</v>
      </c>
      <c r="AZ322" s="3">
        <v>795</v>
      </c>
      <c r="BA322" s="3">
        <v>796.3</v>
      </c>
      <c r="BB322" s="3">
        <v>797.9</v>
      </c>
      <c r="BC322" s="3">
        <v>841.5</v>
      </c>
      <c r="BD322" s="3">
        <v>848.8</v>
      </c>
      <c r="BE322" s="3">
        <v>856.2</v>
      </c>
      <c r="BF322" s="3">
        <v>863.6</v>
      </c>
      <c r="BG322" s="3">
        <v>918.2</v>
      </c>
      <c r="BH322" s="3">
        <v>919.8</v>
      </c>
      <c r="BI322" s="3">
        <v>942.9</v>
      </c>
      <c r="BJ322" s="3">
        <v>951</v>
      </c>
      <c r="BK322" s="3">
        <v>1057.5999999999999</v>
      </c>
      <c r="BL322" s="3">
        <v>1295</v>
      </c>
      <c r="BM322" s="3">
        <v>1171.0999999999999</v>
      </c>
      <c r="BN322" s="3">
        <v>1356.4</v>
      </c>
      <c r="BO322" s="3">
        <v>1218.8</v>
      </c>
      <c r="BP322" s="3">
        <v>1265</v>
      </c>
      <c r="BQ322" s="3">
        <v>1574.2</v>
      </c>
      <c r="BR322" s="3">
        <v>1666.2</v>
      </c>
      <c r="BS322" s="3">
        <v>1740.2</v>
      </c>
      <c r="BT322" s="3">
        <v>1825.5</v>
      </c>
      <c r="BU322" s="3">
        <v>2179.3000000000002</v>
      </c>
      <c r="BV322" s="3">
        <v>3025.5</v>
      </c>
      <c r="BW322" s="3">
        <v>2489.6999999999998</v>
      </c>
      <c r="BX322" s="3">
        <v>3226.5</v>
      </c>
      <c r="BY322" s="3">
        <v>2575.9</v>
      </c>
      <c r="BZ322" s="3">
        <v>2757</v>
      </c>
      <c r="CA322" s="3">
        <v>4162.3</v>
      </c>
      <c r="CB322" s="3">
        <v>4511</v>
      </c>
      <c r="CC322" s="3">
        <v>4572.7</v>
      </c>
      <c r="CD322" s="3">
        <v>4729.8999999999996</v>
      </c>
      <c r="CE322" s="3">
        <v>5875.5</v>
      </c>
      <c r="CF322" s="3">
        <v>6040.7</v>
      </c>
      <c r="CG322" s="3">
        <v>6527.3</v>
      </c>
      <c r="CH322" s="3">
        <v>6904.4</v>
      </c>
      <c r="CI322" s="3">
        <v>6904.4</v>
      </c>
      <c r="CJ322" s="3">
        <v>6905.1</v>
      </c>
      <c r="CK322" s="3">
        <v>8288.7999999999993</v>
      </c>
      <c r="CL322" s="3">
        <v>8680.1</v>
      </c>
      <c r="CM322" s="3">
        <v>8809.7000000000007</v>
      </c>
      <c r="CN322" s="3">
        <v>9083.5</v>
      </c>
      <c r="CO322" s="3">
        <v>10846.5</v>
      </c>
      <c r="CP322" s="3">
        <v>11358.5</v>
      </c>
      <c r="CQ322" s="3">
        <v>11562.8</v>
      </c>
      <c r="CR322" s="3">
        <v>12326.6</v>
      </c>
      <c r="CS322" s="3">
        <v>12469.2</v>
      </c>
      <c r="CT322" s="3">
        <v>12648.7</v>
      </c>
    </row>
    <row r="323" spans="1:98">
      <c r="A323" s="4" t="s">
        <v>419</v>
      </c>
      <c r="B323" s="5"/>
      <c r="C323" s="5"/>
      <c r="D323" s="5"/>
      <c r="E323" s="5"/>
      <c r="F323" s="5"/>
      <c r="G323" s="5"/>
      <c r="H323" s="5"/>
      <c r="I323" s="5"/>
      <c r="J323" s="5"/>
      <c r="K323" s="5"/>
      <c r="L323" s="5"/>
      <c r="M323" s="5"/>
      <c r="N323" s="5">
        <v>161.5</v>
      </c>
      <c r="O323" s="5">
        <v>167.2</v>
      </c>
      <c r="P323" s="5">
        <v>171.3</v>
      </c>
      <c r="Q323" s="5">
        <v>171.9</v>
      </c>
      <c r="R323" s="5">
        <v>172</v>
      </c>
      <c r="S323" s="5">
        <v>191.4</v>
      </c>
      <c r="T323" s="5">
        <v>194.8</v>
      </c>
      <c r="U323" s="5">
        <v>197.9</v>
      </c>
      <c r="V323" s="5">
        <v>203</v>
      </c>
      <c r="W323" s="5">
        <v>219.2</v>
      </c>
      <c r="X323" s="5">
        <v>223.2</v>
      </c>
      <c r="Y323" s="5">
        <v>221.3</v>
      </c>
      <c r="Z323" s="5">
        <v>221.3</v>
      </c>
      <c r="AA323" s="5">
        <v>223</v>
      </c>
      <c r="AB323" s="5">
        <v>223.5</v>
      </c>
      <c r="AC323" s="5">
        <v>236.8</v>
      </c>
      <c r="AD323" s="5">
        <v>237.9</v>
      </c>
      <c r="AE323" s="5">
        <v>259.39999999999998</v>
      </c>
      <c r="AF323" s="5">
        <v>259.39999999999998</v>
      </c>
      <c r="AG323" s="5">
        <v>259.39999999999998</v>
      </c>
      <c r="AH323" s="5">
        <v>298.3</v>
      </c>
      <c r="AI323" s="5">
        <v>304.3</v>
      </c>
      <c r="AJ323" s="5">
        <v>313.2</v>
      </c>
      <c r="AK323" s="5">
        <v>331.1</v>
      </c>
      <c r="AL323" s="5">
        <v>352</v>
      </c>
      <c r="AM323" s="5">
        <v>387.1</v>
      </c>
      <c r="AN323" s="5">
        <v>404.8</v>
      </c>
      <c r="AO323" s="5">
        <v>422.4</v>
      </c>
      <c r="AP323" s="5">
        <v>439.9</v>
      </c>
      <c r="AQ323" s="5">
        <v>506.3</v>
      </c>
      <c r="AR323" s="5">
        <v>533.1</v>
      </c>
      <c r="AS323" s="5">
        <v>534.5</v>
      </c>
      <c r="AT323" s="5">
        <v>534.5</v>
      </c>
      <c r="AU323" s="5">
        <v>579.9</v>
      </c>
      <c r="AV323" s="5">
        <v>593.20000000000005</v>
      </c>
      <c r="AW323" s="5">
        <v>595</v>
      </c>
      <c r="AX323" s="5">
        <v>595.6</v>
      </c>
      <c r="AY323" s="5">
        <v>613.4</v>
      </c>
      <c r="AZ323" s="5">
        <v>628.29999999999995</v>
      </c>
      <c r="BA323" s="5">
        <v>640.9</v>
      </c>
      <c r="BB323" s="5">
        <v>640.9</v>
      </c>
      <c r="BC323" s="5">
        <v>640.9</v>
      </c>
      <c r="BD323" s="5">
        <v>676.4</v>
      </c>
      <c r="BE323" s="5">
        <v>699.8</v>
      </c>
      <c r="BF323" s="5">
        <v>706.3</v>
      </c>
      <c r="BG323" s="5">
        <v>741.5</v>
      </c>
      <c r="BH323" s="5">
        <v>762.7</v>
      </c>
      <c r="BI323" s="5">
        <v>769.8</v>
      </c>
      <c r="BJ323" s="5">
        <v>776.9</v>
      </c>
      <c r="BK323" s="5">
        <v>862.3</v>
      </c>
      <c r="BL323" s="5">
        <v>1134.2</v>
      </c>
      <c r="BM323" s="5">
        <v>947.8</v>
      </c>
      <c r="BN323" s="5">
        <v>1254.5999999999999</v>
      </c>
      <c r="BO323" s="5">
        <v>1048.8</v>
      </c>
      <c r="BP323" s="5">
        <v>1076</v>
      </c>
      <c r="BQ323" s="5">
        <v>1436.5</v>
      </c>
      <c r="BR323" s="5">
        <v>1543.3</v>
      </c>
      <c r="BS323" s="5">
        <v>1812.3</v>
      </c>
      <c r="BT323" s="5">
        <v>1919.5</v>
      </c>
      <c r="BU323" s="5">
        <v>2424.4</v>
      </c>
      <c r="BV323" s="5">
        <v>3455.2</v>
      </c>
      <c r="BW323" s="5">
        <v>2956.1</v>
      </c>
      <c r="BX323" s="5">
        <v>3618.3</v>
      </c>
      <c r="BY323" s="5">
        <v>3032.9</v>
      </c>
      <c r="BZ323" s="5">
        <v>3263.3</v>
      </c>
      <c r="CA323" s="5">
        <v>4758</v>
      </c>
      <c r="CB323" s="5">
        <v>5011.3</v>
      </c>
      <c r="CC323" s="5">
        <v>5101.8</v>
      </c>
      <c r="CD323" s="5">
        <v>5210.3</v>
      </c>
      <c r="CE323" s="5">
        <v>6486.7</v>
      </c>
      <c r="CF323" s="5">
        <v>6710.9</v>
      </c>
      <c r="CG323" s="5">
        <v>7190.1</v>
      </c>
      <c r="CH323" s="5">
        <v>7591.3</v>
      </c>
      <c r="CI323" s="5">
        <v>7716.4</v>
      </c>
      <c r="CJ323" s="5">
        <v>7841.4</v>
      </c>
      <c r="CK323" s="5">
        <v>9307.7000000000007</v>
      </c>
      <c r="CL323" s="5">
        <v>9888.1</v>
      </c>
      <c r="CM323" s="5">
        <v>10444.799999999999</v>
      </c>
      <c r="CN323" s="5">
        <v>10625.1</v>
      </c>
      <c r="CO323" s="5">
        <v>12388.9</v>
      </c>
      <c r="CP323" s="5">
        <v>12909.5</v>
      </c>
      <c r="CQ323" s="5">
        <v>13281.4</v>
      </c>
      <c r="CR323" s="5">
        <v>14397</v>
      </c>
      <c r="CS323" s="5">
        <v>14588.3</v>
      </c>
      <c r="CT323" s="5">
        <v>14843.3</v>
      </c>
    </row>
    <row r="324" spans="1:98">
      <c r="A324" s="2" t="s">
        <v>420</v>
      </c>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c r="CE324" s="3"/>
      <c r="CF324" s="3"/>
      <c r="CG324" s="3"/>
      <c r="CH324" s="3"/>
      <c r="CI324" s="3"/>
      <c r="CJ324" s="3"/>
      <c r="CK324" s="3"/>
      <c r="CL324" s="3"/>
      <c r="CM324" s="3"/>
      <c r="CN324" s="3">
        <v>7000</v>
      </c>
      <c r="CO324" s="3"/>
      <c r="CP324" s="3"/>
      <c r="CQ324" s="3">
        <v>8820.2000000000007</v>
      </c>
      <c r="CR324" s="3">
        <v>9590.2999999999993</v>
      </c>
      <c r="CS324" s="3">
        <v>9730.5</v>
      </c>
      <c r="CT324" s="3">
        <v>9940.1</v>
      </c>
    </row>
    <row r="325" spans="1:98">
      <c r="A325" s="4" t="s">
        <v>421</v>
      </c>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c r="CH325" s="5"/>
      <c r="CI325" s="5"/>
      <c r="CJ325" s="5"/>
      <c r="CK325" s="5"/>
      <c r="CL325" s="5"/>
      <c r="CM325" s="5"/>
      <c r="CN325" s="5">
        <v>7000</v>
      </c>
      <c r="CO325" s="5"/>
      <c r="CP325" s="5"/>
      <c r="CQ325" s="5">
        <v>9650.2000000000007</v>
      </c>
      <c r="CR325" s="5">
        <v>9740.9</v>
      </c>
      <c r="CS325" s="5">
        <v>9870</v>
      </c>
      <c r="CT325" s="5">
        <v>10330.6</v>
      </c>
    </row>
    <row r="326" spans="1:98">
      <c r="A326" s="2" t="s">
        <v>422</v>
      </c>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c r="CE326" s="3"/>
      <c r="CF326" s="3"/>
      <c r="CG326" s="3"/>
      <c r="CH326" s="3"/>
      <c r="CI326" s="3"/>
      <c r="CJ326" s="3"/>
      <c r="CK326" s="3"/>
      <c r="CL326" s="3"/>
      <c r="CM326" s="3"/>
      <c r="CN326" s="3">
        <v>7000</v>
      </c>
      <c r="CO326" s="3"/>
      <c r="CP326" s="3"/>
      <c r="CQ326" s="3">
        <v>8477.1</v>
      </c>
      <c r="CR326" s="3">
        <v>9940.5</v>
      </c>
      <c r="CS326" s="3">
        <v>10500</v>
      </c>
      <c r="CT326" s="3">
        <v>10920.2</v>
      </c>
    </row>
    <row r="327" spans="1:98">
      <c r="A327" s="4" t="s">
        <v>423</v>
      </c>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c r="CH327" s="5"/>
      <c r="CI327" s="5"/>
      <c r="CJ327" s="5"/>
      <c r="CK327" s="5"/>
      <c r="CL327" s="5"/>
      <c r="CM327" s="5"/>
      <c r="CN327" s="5">
        <v>7000</v>
      </c>
      <c r="CO327" s="5"/>
      <c r="CP327" s="5"/>
      <c r="CQ327" s="5">
        <v>9870.1</v>
      </c>
      <c r="CR327" s="5">
        <v>9940.2999999999993</v>
      </c>
      <c r="CS327" s="5">
        <v>10360.700000000001</v>
      </c>
      <c r="CT327" s="5">
        <v>10640.8</v>
      </c>
    </row>
    <row r="328" spans="1:98">
      <c r="A328" s="2" t="s">
        <v>424</v>
      </c>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c r="CE328" s="3"/>
      <c r="CF328" s="3"/>
      <c r="CG328" s="3"/>
      <c r="CH328" s="3"/>
      <c r="CI328" s="3"/>
      <c r="CJ328" s="3"/>
      <c r="CK328" s="3"/>
      <c r="CL328" s="3"/>
      <c r="CM328" s="3"/>
      <c r="CN328" s="3">
        <v>7000</v>
      </c>
      <c r="CO328" s="3"/>
      <c r="CP328" s="3"/>
      <c r="CQ328" s="3">
        <v>9128.1</v>
      </c>
      <c r="CR328" s="3">
        <v>9464.2000000000007</v>
      </c>
      <c r="CS328" s="3">
        <v>9534.2000000000007</v>
      </c>
      <c r="CT328" s="3">
        <v>9618.5</v>
      </c>
    </row>
    <row r="329" spans="1:98">
      <c r="A329" s="4" t="s">
        <v>425</v>
      </c>
      <c r="B329" s="5"/>
      <c r="C329" s="5"/>
      <c r="D329" s="5"/>
      <c r="E329" s="5"/>
      <c r="F329" s="5"/>
      <c r="G329" s="5"/>
      <c r="H329" s="5"/>
      <c r="I329" s="5"/>
      <c r="J329" s="5"/>
      <c r="K329" s="5"/>
      <c r="L329" s="5"/>
      <c r="M329" s="5"/>
      <c r="N329" s="5">
        <v>153.69999999999999</v>
      </c>
      <c r="O329" s="5">
        <v>167.4</v>
      </c>
      <c r="P329" s="5">
        <v>167.7</v>
      </c>
      <c r="Q329" s="5">
        <v>173.6</v>
      </c>
      <c r="R329" s="5">
        <v>177.6</v>
      </c>
      <c r="S329" s="5">
        <v>189.2</v>
      </c>
      <c r="T329" s="5">
        <v>199.1</v>
      </c>
      <c r="U329" s="5">
        <v>206.4</v>
      </c>
      <c r="V329" s="5">
        <v>217.4</v>
      </c>
      <c r="W329" s="5">
        <v>236.3</v>
      </c>
      <c r="X329" s="5">
        <v>246.9</v>
      </c>
      <c r="Y329" s="5">
        <v>248</v>
      </c>
      <c r="Z329" s="5">
        <v>248.3</v>
      </c>
      <c r="AA329" s="5">
        <v>254.7</v>
      </c>
      <c r="AB329" s="5">
        <v>257.5</v>
      </c>
      <c r="AC329" s="5">
        <v>256.7</v>
      </c>
      <c r="AD329" s="5">
        <v>257.5</v>
      </c>
      <c r="AE329" s="5">
        <v>277.8</v>
      </c>
      <c r="AF329" s="5">
        <v>278.60000000000002</v>
      </c>
      <c r="AG329" s="5">
        <v>279.5</v>
      </c>
      <c r="AH329" s="5">
        <v>318.5</v>
      </c>
      <c r="AI329" s="5">
        <v>323.10000000000002</v>
      </c>
      <c r="AJ329" s="5">
        <v>332.1</v>
      </c>
      <c r="AK329" s="5">
        <v>354.5</v>
      </c>
      <c r="AL329" s="5">
        <v>365.7</v>
      </c>
      <c r="AM329" s="5">
        <v>405.3</v>
      </c>
      <c r="AN329" s="5">
        <v>421.7</v>
      </c>
      <c r="AO329" s="5">
        <v>509.9</v>
      </c>
      <c r="AP329" s="5">
        <v>524.5</v>
      </c>
      <c r="AQ329" s="5">
        <v>553.29999999999995</v>
      </c>
      <c r="AR329" s="5">
        <v>562.5</v>
      </c>
      <c r="AS329" s="5">
        <v>587.5</v>
      </c>
      <c r="AT329" s="5">
        <v>594.29999999999995</v>
      </c>
      <c r="AU329" s="5">
        <v>636.1</v>
      </c>
      <c r="AV329" s="5">
        <v>658.6</v>
      </c>
      <c r="AW329" s="5">
        <v>671.3</v>
      </c>
      <c r="AX329" s="5">
        <v>675.7</v>
      </c>
      <c r="AY329" s="5">
        <v>707.4</v>
      </c>
      <c r="AZ329" s="5">
        <v>709.9</v>
      </c>
      <c r="BA329" s="5">
        <v>710.3</v>
      </c>
      <c r="BB329" s="5">
        <v>711</v>
      </c>
      <c r="BC329" s="5">
        <v>737.3</v>
      </c>
      <c r="BD329" s="5">
        <v>741.9</v>
      </c>
      <c r="BE329" s="5">
        <v>746.6</v>
      </c>
      <c r="BF329" s="5">
        <v>751.2</v>
      </c>
      <c r="BG329" s="5">
        <v>784.9</v>
      </c>
      <c r="BH329" s="5">
        <v>785.4</v>
      </c>
      <c r="BI329" s="5">
        <v>814.3</v>
      </c>
      <c r="BJ329" s="5">
        <v>819.3</v>
      </c>
      <c r="BK329" s="5">
        <v>884.7</v>
      </c>
      <c r="BL329" s="5">
        <v>1094.0999999999999</v>
      </c>
      <c r="BM329" s="5">
        <v>982.2</v>
      </c>
      <c r="BN329" s="5">
        <v>1101.0999999999999</v>
      </c>
      <c r="BO329" s="5">
        <v>1014.8</v>
      </c>
      <c r="BP329" s="5">
        <v>1046.4000000000001</v>
      </c>
      <c r="BQ329" s="5">
        <v>1261.3</v>
      </c>
      <c r="BR329" s="5">
        <v>1318.7</v>
      </c>
      <c r="BS329" s="5">
        <v>1365.7</v>
      </c>
      <c r="BT329" s="5">
        <v>1420</v>
      </c>
      <c r="BU329" s="5">
        <v>1739.9</v>
      </c>
      <c r="BV329" s="5">
        <v>2292.4</v>
      </c>
      <c r="BW329" s="5">
        <v>1951.4</v>
      </c>
      <c r="BX329" s="5">
        <v>2652.7</v>
      </c>
      <c r="BY329" s="5">
        <v>2006.8</v>
      </c>
      <c r="BZ329" s="5">
        <v>2123</v>
      </c>
      <c r="CA329" s="5">
        <v>3418.9</v>
      </c>
      <c r="CB329" s="5">
        <v>3789.5</v>
      </c>
      <c r="CC329" s="5">
        <v>3852.8</v>
      </c>
      <c r="CD329" s="5">
        <v>4092</v>
      </c>
      <c r="CE329" s="5">
        <v>4846.3999999999996</v>
      </c>
      <c r="CF329" s="5">
        <v>4948.6000000000004</v>
      </c>
      <c r="CG329" s="5">
        <v>5507.3</v>
      </c>
      <c r="CH329" s="5">
        <v>5736.8</v>
      </c>
      <c r="CI329" s="5">
        <v>5736.8</v>
      </c>
      <c r="CJ329" s="5">
        <v>5736.8</v>
      </c>
      <c r="CK329" s="5">
        <v>6710.9</v>
      </c>
      <c r="CL329" s="5">
        <v>6940.1</v>
      </c>
      <c r="CM329" s="5">
        <v>7430</v>
      </c>
      <c r="CN329" s="5">
        <v>7595.4</v>
      </c>
      <c r="CO329" s="5">
        <v>8914.7999999999993</v>
      </c>
      <c r="CP329" s="5">
        <v>9348.4</v>
      </c>
      <c r="CQ329" s="5">
        <v>10131.700000000001</v>
      </c>
      <c r="CR329" s="5">
        <v>10592.5</v>
      </c>
      <c r="CS329" s="5">
        <v>10682.1</v>
      </c>
      <c r="CT329" s="5">
        <v>10795.2</v>
      </c>
    </row>
    <row r="330" spans="1:98">
      <c r="A330" s="2" t="s">
        <v>426</v>
      </c>
      <c r="B330" s="3"/>
      <c r="C330" s="3"/>
      <c r="D330" s="3"/>
      <c r="E330" s="3"/>
      <c r="F330" s="3"/>
      <c r="G330" s="3"/>
      <c r="H330" s="3"/>
      <c r="I330" s="3"/>
      <c r="J330" s="3"/>
      <c r="K330" s="3"/>
      <c r="L330" s="3"/>
      <c r="M330" s="3"/>
      <c r="N330" s="3">
        <v>151.30000000000001</v>
      </c>
      <c r="O330" s="3">
        <v>160</v>
      </c>
      <c r="P330" s="3">
        <v>161.4</v>
      </c>
      <c r="Q330" s="3">
        <v>162.30000000000001</v>
      </c>
      <c r="R330" s="3">
        <v>162.6</v>
      </c>
      <c r="S330" s="3">
        <v>174.4</v>
      </c>
      <c r="T330" s="3">
        <v>175.8</v>
      </c>
      <c r="U330" s="3">
        <v>182.2</v>
      </c>
      <c r="V330" s="3">
        <v>187.8</v>
      </c>
      <c r="W330" s="3">
        <v>203.5</v>
      </c>
      <c r="X330" s="3">
        <v>213</v>
      </c>
      <c r="Y330" s="3">
        <v>214.5</v>
      </c>
      <c r="Z330" s="3">
        <v>214.3</v>
      </c>
      <c r="AA330" s="3">
        <v>223.1</v>
      </c>
      <c r="AB330" s="3">
        <v>226.4</v>
      </c>
      <c r="AC330" s="3">
        <v>228</v>
      </c>
      <c r="AD330" s="3">
        <v>229.9</v>
      </c>
      <c r="AE330" s="3">
        <v>241.9</v>
      </c>
      <c r="AF330" s="3">
        <v>243.2</v>
      </c>
      <c r="AG330" s="3">
        <v>245.1</v>
      </c>
      <c r="AH330" s="3">
        <v>289.8</v>
      </c>
      <c r="AI330" s="3">
        <v>297.39999999999998</v>
      </c>
      <c r="AJ330" s="3">
        <v>313</v>
      </c>
      <c r="AK330" s="3">
        <v>326.7</v>
      </c>
      <c r="AL330" s="3">
        <v>339.8</v>
      </c>
      <c r="AM330" s="3">
        <v>367</v>
      </c>
      <c r="AN330" s="3">
        <v>387.9</v>
      </c>
      <c r="AO330" s="3">
        <v>433.8</v>
      </c>
      <c r="AP330" s="3">
        <v>450.4</v>
      </c>
      <c r="AQ330" s="3">
        <v>492.1</v>
      </c>
      <c r="AR330" s="3">
        <v>508.2</v>
      </c>
      <c r="AS330" s="3">
        <v>516.29999999999995</v>
      </c>
      <c r="AT330" s="3">
        <v>524.20000000000005</v>
      </c>
      <c r="AU330" s="3">
        <v>579.6</v>
      </c>
      <c r="AV330" s="3">
        <v>599.70000000000005</v>
      </c>
      <c r="AW330" s="3">
        <v>600.29999999999995</v>
      </c>
      <c r="AX330" s="3">
        <v>605.29999999999995</v>
      </c>
      <c r="AY330" s="3">
        <v>646.1</v>
      </c>
      <c r="AZ330" s="3">
        <v>649.20000000000005</v>
      </c>
      <c r="BA330" s="3">
        <v>647</v>
      </c>
      <c r="BB330" s="3">
        <v>648.20000000000005</v>
      </c>
      <c r="BC330" s="3">
        <v>684.4</v>
      </c>
      <c r="BD330" s="3">
        <v>691.6</v>
      </c>
      <c r="BE330" s="3">
        <v>703.8</v>
      </c>
      <c r="BF330" s="3">
        <v>711.3</v>
      </c>
      <c r="BG330" s="3">
        <v>761</v>
      </c>
      <c r="BH330" s="3">
        <v>763.9</v>
      </c>
      <c r="BI330" s="3">
        <v>780.3</v>
      </c>
      <c r="BJ330" s="3">
        <v>787.2</v>
      </c>
      <c r="BK330" s="3">
        <v>884.7</v>
      </c>
      <c r="BL330" s="3">
        <v>1074.5</v>
      </c>
      <c r="BM330" s="3">
        <v>969.3</v>
      </c>
      <c r="BN330" s="3">
        <v>1122.3</v>
      </c>
      <c r="BO330" s="3">
        <v>1018.4</v>
      </c>
      <c r="BP330" s="3">
        <v>1053.2</v>
      </c>
      <c r="BQ330" s="3">
        <v>1296.3</v>
      </c>
      <c r="BR330" s="3">
        <v>1395.1</v>
      </c>
      <c r="BS330" s="3">
        <v>1461</v>
      </c>
      <c r="BT330" s="3">
        <v>1532</v>
      </c>
      <c r="BU330" s="3">
        <v>1805.1</v>
      </c>
      <c r="BV330" s="3">
        <v>2531.6999999999998</v>
      </c>
      <c r="BW330" s="3">
        <v>2075.6</v>
      </c>
      <c r="BX330" s="3">
        <v>2661.8</v>
      </c>
      <c r="BY330" s="3">
        <v>2139.4</v>
      </c>
      <c r="BZ330" s="3">
        <v>2280.3000000000002</v>
      </c>
      <c r="CA330" s="3">
        <v>3440.1</v>
      </c>
      <c r="CB330" s="3">
        <v>3807.3</v>
      </c>
      <c r="CC330" s="3">
        <v>3783.8</v>
      </c>
      <c r="CD330" s="3">
        <v>3903</v>
      </c>
      <c r="CE330" s="3">
        <v>4832.1000000000004</v>
      </c>
      <c r="CF330" s="3">
        <v>5014.3999999999996</v>
      </c>
      <c r="CG330" s="3">
        <v>5332.3</v>
      </c>
      <c r="CH330" s="3">
        <v>5640.1</v>
      </c>
      <c r="CI330" s="3">
        <v>5656.8</v>
      </c>
      <c r="CJ330" s="3">
        <v>5790.3</v>
      </c>
      <c r="CK330" s="3">
        <v>6856.6</v>
      </c>
      <c r="CL330" s="3">
        <v>7221.9</v>
      </c>
      <c r="CM330" s="3">
        <v>7346.4</v>
      </c>
      <c r="CN330" s="3">
        <v>7555.3</v>
      </c>
      <c r="CO330" s="3">
        <v>9047.9</v>
      </c>
      <c r="CP330" s="3">
        <v>9681.2999999999993</v>
      </c>
      <c r="CQ330" s="3">
        <v>9720.1</v>
      </c>
      <c r="CR330" s="3">
        <v>10361.299999999999</v>
      </c>
      <c r="CS330" s="3">
        <v>10507.8</v>
      </c>
      <c r="CT330" s="3">
        <v>10713.6</v>
      </c>
    </row>
    <row r="331" spans="1:98">
      <c r="A331" s="4" t="s">
        <v>427</v>
      </c>
      <c r="B331" s="5"/>
      <c r="C331" s="5"/>
      <c r="D331" s="5"/>
      <c r="E331" s="5"/>
      <c r="F331" s="5"/>
      <c r="G331" s="5"/>
      <c r="H331" s="5"/>
      <c r="I331" s="5"/>
      <c r="J331" s="5"/>
      <c r="K331" s="5"/>
      <c r="L331" s="5"/>
      <c r="M331" s="5"/>
      <c r="N331" s="5">
        <v>166.2</v>
      </c>
      <c r="O331" s="5">
        <v>176.6</v>
      </c>
      <c r="P331" s="5">
        <v>177.8</v>
      </c>
      <c r="Q331" s="5">
        <v>178.7</v>
      </c>
      <c r="R331" s="5">
        <v>178.9</v>
      </c>
      <c r="S331" s="5">
        <v>194</v>
      </c>
      <c r="T331" s="5">
        <v>196.1</v>
      </c>
      <c r="U331" s="5">
        <v>204</v>
      </c>
      <c r="V331" s="5">
        <v>211.4</v>
      </c>
      <c r="W331" s="5">
        <v>230.4</v>
      </c>
      <c r="X331" s="5">
        <v>232.9</v>
      </c>
      <c r="Y331" s="5">
        <v>234.4</v>
      </c>
      <c r="Z331" s="5">
        <v>234.8</v>
      </c>
      <c r="AA331" s="5">
        <v>245.1</v>
      </c>
      <c r="AB331" s="5">
        <v>249.7</v>
      </c>
      <c r="AC331" s="5">
        <v>251.7</v>
      </c>
      <c r="AD331" s="5">
        <v>253.1</v>
      </c>
      <c r="AE331" s="5">
        <v>267.7</v>
      </c>
      <c r="AF331" s="5">
        <v>269.2</v>
      </c>
      <c r="AG331" s="5">
        <v>270.7</v>
      </c>
      <c r="AH331" s="5">
        <v>307.7</v>
      </c>
      <c r="AI331" s="5">
        <v>315.8</v>
      </c>
      <c r="AJ331" s="5">
        <v>328.6</v>
      </c>
      <c r="AK331" s="5">
        <v>346.5</v>
      </c>
      <c r="AL331" s="5">
        <v>362.4</v>
      </c>
      <c r="AM331" s="5">
        <v>393.5</v>
      </c>
      <c r="AN331" s="5">
        <v>418.1</v>
      </c>
      <c r="AO331" s="5">
        <v>464.1</v>
      </c>
      <c r="AP331" s="5">
        <v>486.7</v>
      </c>
      <c r="AQ331" s="5">
        <v>530.4</v>
      </c>
      <c r="AR331" s="5">
        <v>543.6</v>
      </c>
      <c r="AS331" s="5">
        <v>553.6</v>
      </c>
      <c r="AT331" s="5">
        <v>564</v>
      </c>
      <c r="AU331" s="5">
        <v>627.20000000000005</v>
      </c>
      <c r="AV331" s="5">
        <v>640.1</v>
      </c>
      <c r="AW331" s="5">
        <v>645.4</v>
      </c>
      <c r="AX331" s="5">
        <v>652.1</v>
      </c>
      <c r="AY331" s="5">
        <v>699.9</v>
      </c>
      <c r="AZ331" s="5">
        <v>703.7</v>
      </c>
      <c r="BA331" s="5">
        <v>704.6</v>
      </c>
      <c r="BB331" s="5">
        <v>705.8</v>
      </c>
      <c r="BC331" s="5">
        <v>746.7</v>
      </c>
      <c r="BD331" s="5">
        <v>753.7</v>
      </c>
      <c r="BE331" s="5">
        <v>761.7</v>
      </c>
      <c r="BF331" s="5">
        <v>768.9</v>
      </c>
      <c r="BG331" s="5">
        <v>820.5</v>
      </c>
      <c r="BH331" s="5">
        <v>822.6</v>
      </c>
      <c r="BI331" s="5">
        <v>842.9</v>
      </c>
      <c r="BJ331" s="5">
        <v>850.7</v>
      </c>
      <c r="BK331" s="5">
        <v>951.5</v>
      </c>
      <c r="BL331" s="5">
        <v>1166.4000000000001</v>
      </c>
      <c r="BM331" s="5">
        <v>1055.5</v>
      </c>
      <c r="BN331" s="5">
        <v>1209.0999999999999</v>
      </c>
      <c r="BO331" s="5">
        <v>1102.3</v>
      </c>
      <c r="BP331" s="5">
        <v>1148.0999999999999</v>
      </c>
      <c r="BQ331" s="5">
        <v>1410.8</v>
      </c>
      <c r="BR331" s="5">
        <v>1495</v>
      </c>
      <c r="BS331" s="5">
        <v>1563.5</v>
      </c>
      <c r="BT331" s="5">
        <v>1648</v>
      </c>
      <c r="BU331" s="5">
        <v>1958.7</v>
      </c>
      <c r="BV331" s="5">
        <v>2784.3</v>
      </c>
      <c r="BW331" s="5">
        <v>2258</v>
      </c>
      <c r="BX331" s="5">
        <v>2940.2</v>
      </c>
      <c r="BY331" s="5">
        <v>2344.6999999999998</v>
      </c>
      <c r="BZ331" s="5">
        <v>2522.1</v>
      </c>
      <c r="CA331" s="5">
        <v>3664.7</v>
      </c>
      <c r="CB331" s="5">
        <v>3951</v>
      </c>
      <c r="CC331" s="5">
        <v>4124.3999999999996</v>
      </c>
      <c r="CD331" s="5">
        <v>4242.7</v>
      </c>
      <c r="CE331" s="5">
        <v>5308.9</v>
      </c>
      <c r="CF331" s="5">
        <v>5462</v>
      </c>
      <c r="CG331" s="5">
        <v>5797.7</v>
      </c>
      <c r="CH331" s="5">
        <v>6159.1</v>
      </c>
      <c r="CI331" s="5">
        <v>6160.3</v>
      </c>
      <c r="CJ331" s="5">
        <v>6169</v>
      </c>
      <c r="CK331" s="5">
        <v>7431.8</v>
      </c>
      <c r="CL331" s="5">
        <v>7772.2</v>
      </c>
      <c r="CM331" s="5">
        <v>7879.1</v>
      </c>
      <c r="CN331" s="5">
        <v>8134.6</v>
      </c>
      <c r="CO331" s="5">
        <v>9816.2999999999993</v>
      </c>
      <c r="CP331" s="5">
        <v>10299.9</v>
      </c>
      <c r="CQ331" s="5">
        <v>10309.700000000001</v>
      </c>
      <c r="CR331" s="5">
        <v>10995</v>
      </c>
      <c r="CS331" s="5">
        <v>11132.3</v>
      </c>
      <c r="CT331" s="5">
        <v>11304.9</v>
      </c>
    </row>
    <row r="332" spans="1:98">
      <c r="A332" s="2" t="s">
        <v>428</v>
      </c>
      <c r="B332" s="3"/>
      <c r="C332" s="3"/>
      <c r="D332" s="3"/>
      <c r="E332" s="3"/>
      <c r="F332" s="3"/>
      <c r="G332" s="3"/>
      <c r="H332" s="3"/>
      <c r="I332" s="3"/>
      <c r="J332" s="3"/>
      <c r="K332" s="3"/>
      <c r="L332" s="3"/>
      <c r="M332" s="3"/>
      <c r="N332" s="3">
        <v>147.5</v>
      </c>
      <c r="O332" s="3">
        <v>171.1</v>
      </c>
      <c r="P332" s="3">
        <v>204.6</v>
      </c>
      <c r="Q332" s="3">
        <v>217.7</v>
      </c>
      <c r="R332" s="3">
        <v>223.7</v>
      </c>
      <c r="S332" s="3">
        <v>238.8</v>
      </c>
      <c r="T332" s="3">
        <v>223.5</v>
      </c>
      <c r="U332" s="3">
        <v>250.9</v>
      </c>
      <c r="V332" s="3">
        <v>276.60000000000002</v>
      </c>
      <c r="W332" s="3">
        <v>345.3</v>
      </c>
      <c r="X332" s="3">
        <v>396.8</v>
      </c>
      <c r="Y332" s="3">
        <v>281.7</v>
      </c>
      <c r="Z332" s="3">
        <v>226.1</v>
      </c>
      <c r="AA332" s="3">
        <v>206.2</v>
      </c>
      <c r="AB332" s="3">
        <v>213.4</v>
      </c>
      <c r="AC332" s="3">
        <v>209.6</v>
      </c>
      <c r="AD332" s="3">
        <v>243.7</v>
      </c>
      <c r="AE332" s="3">
        <v>267.8</v>
      </c>
      <c r="AF332" s="3">
        <v>276.39999999999998</v>
      </c>
      <c r="AG332" s="3">
        <v>300.7</v>
      </c>
      <c r="AH332" s="3">
        <v>300</v>
      </c>
      <c r="AI332" s="3">
        <v>306.39999999999998</v>
      </c>
      <c r="AJ332" s="3">
        <v>323.89999999999998</v>
      </c>
      <c r="AK332" s="3">
        <v>337</v>
      </c>
      <c r="AL332" s="3">
        <v>392.5</v>
      </c>
      <c r="AM332" s="3">
        <v>452.7</v>
      </c>
      <c r="AN332" s="3">
        <v>559.79999999999995</v>
      </c>
      <c r="AO332" s="3">
        <v>645.4</v>
      </c>
      <c r="AP332" s="3">
        <v>645.79999999999995</v>
      </c>
      <c r="AQ332" s="3">
        <v>650.1</v>
      </c>
      <c r="AR332" s="3">
        <v>650.70000000000005</v>
      </c>
      <c r="AS332" s="3">
        <v>644.29999999999995</v>
      </c>
      <c r="AT332" s="3">
        <v>606.1</v>
      </c>
      <c r="AU332" s="3">
        <v>657.8</v>
      </c>
      <c r="AV332" s="3">
        <v>640.6</v>
      </c>
      <c r="AW332" s="3">
        <v>638.4</v>
      </c>
      <c r="AX332" s="3">
        <v>594.70000000000005</v>
      </c>
      <c r="AY332" s="3">
        <v>561.5</v>
      </c>
      <c r="AZ332" s="3">
        <v>543.79999999999995</v>
      </c>
      <c r="BA332" s="3">
        <v>521.29999999999995</v>
      </c>
      <c r="BB332" s="3">
        <v>484.1</v>
      </c>
      <c r="BC332" s="3">
        <v>572.20000000000005</v>
      </c>
      <c r="BD332" s="3">
        <v>574.5</v>
      </c>
      <c r="BE332" s="3">
        <v>611.20000000000005</v>
      </c>
      <c r="BF332" s="3">
        <v>600.6</v>
      </c>
      <c r="BG332" s="3">
        <v>608</v>
      </c>
      <c r="BH332" s="3">
        <v>740.6</v>
      </c>
      <c r="BI332" s="3">
        <v>773.7</v>
      </c>
      <c r="BJ332" s="3">
        <v>823.2</v>
      </c>
      <c r="BK332" s="3">
        <v>986.3</v>
      </c>
      <c r="BL332" s="3">
        <v>1405.2</v>
      </c>
      <c r="BM332" s="3">
        <v>1169.5</v>
      </c>
      <c r="BN332" s="3">
        <v>1386.8</v>
      </c>
      <c r="BO332" s="3">
        <v>1450.1</v>
      </c>
      <c r="BP332" s="3">
        <v>1504</v>
      </c>
      <c r="BQ332" s="3">
        <v>1637.8</v>
      </c>
      <c r="BR332" s="3">
        <v>1457.2</v>
      </c>
      <c r="BS332" s="3">
        <v>1514.8</v>
      </c>
      <c r="BT332" s="3">
        <v>1894.9</v>
      </c>
      <c r="BU332" s="3">
        <v>2128.3000000000002</v>
      </c>
      <c r="BV332" s="3">
        <v>3888.7</v>
      </c>
      <c r="BW332" s="3">
        <v>3205.2</v>
      </c>
      <c r="BX332" s="3">
        <v>4141.8</v>
      </c>
      <c r="BY332" s="3">
        <v>3429.2</v>
      </c>
      <c r="BZ332" s="3">
        <v>3674.4</v>
      </c>
      <c r="CA332" s="3">
        <v>4629.7</v>
      </c>
      <c r="CB332" s="3">
        <v>5356.2</v>
      </c>
      <c r="CC332" s="3">
        <v>5193.8</v>
      </c>
      <c r="CD332" s="3">
        <v>5110.8999999999996</v>
      </c>
      <c r="CE332" s="3">
        <v>5957.4</v>
      </c>
      <c r="CF332" s="3">
        <v>5485.4</v>
      </c>
      <c r="CG332" s="3">
        <v>5530.9</v>
      </c>
      <c r="CH332" s="3">
        <v>6547.7</v>
      </c>
      <c r="CI332" s="3">
        <v>7263.3</v>
      </c>
      <c r="CJ332" s="3">
        <v>8408.7000000000007</v>
      </c>
      <c r="CK332" s="3">
        <v>8565.4</v>
      </c>
      <c r="CL332" s="3">
        <v>8162.4</v>
      </c>
      <c r="CM332" s="3">
        <v>7900.7</v>
      </c>
      <c r="CN332" s="3">
        <v>8239.6</v>
      </c>
      <c r="CO332" s="3">
        <v>9255.4</v>
      </c>
      <c r="CP332" s="3">
        <v>9698.5</v>
      </c>
      <c r="CQ332" s="3">
        <v>9991.7000000000007</v>
      </c>
      <c r="CR332" s="3">
        <v>10497.1</v>
      </c>
      <c r="CS332" s="3">
        <v>11133.2</v>
      </c>
      <c r="CT332" s="3">
        <v>12127.4</v>
      </c>
    </row>
    <row r="333" spans="1:98">
      <c r="A333" s="4" t="s">
        <v>429</v>
      </c>
      <c r="B333" s="5"/>
      <c r="C333" s="5"/>
      <c r="D333" s="5"/>
      <c r="E333" s="5"/>
      <c r="F333" s="5"/>
      <c r="G333" s="5"/>
      <c r="H333" s="5"/>
      <c r="I333" s="5"/>
      <c r="J333" s="5"/>
      <c r="K333" s="5"/>
      <c r="L333" s="5"/>
      <c r="M333" s="5"/>
      <c r="N333" s="5">
        <v>139.4</v>
      </c>
      <c r="O333" s="5">
        <v>146.80000000000001</v>
      </c>
      <c r="P333" s="5">
        <v>148</v>
      </c>
      <c r="Q333" s="5">
        <v>153.30000000000001</v>
      </c>
      <c r="R333" s="5">
        <v>153.4</v>
      </c>
      <c r="S333" s="5">
        <v>178.7</v>
      </c>
      <c r="T333" s="5">
        <v>180</v>
      </c>
      <c r="U333" s="5">
        <v>183.2</v>
      </c>
      <c r="V333" s="5">
        <v>185.9</v>
      </c>
      <c r="W333" s="5">
        <v>220.9</v>
      </c>
      <c r="X333" s="5">
        <v>222.4</v>
      </c>
      <c r="Y333" s="5">
        <v>198.1</v>
      </c>
      <c r="Z333" s="5">
        <v>174.6</v>
      </c>
      <c r="AA333" s="5">
        <v>180.9</v>
      </c>
      <c r="AB333" s="5">
        <v>185.8</v>
      </c>
      <c r="AC333" s="5">
        <v>190.5</v>
      </c>
      <c r="AD333" s="5">
        <v>192.2</v>
      </c>
      <c r="AE333" s="5">
        <v>201.8</v>
      </c>
      <c r="AF333" s="5">
        <v>202.9</v>
      </c>
      <c r="AG333" s="5">
        <v>213.9</v>
      </c>
      <c r="AH333" s="5">
        <v>227.1</v>
      </c>
      <c r="AI333" s="5">
        <v>236.6</v>
      </c>
      <c r="AJ333" s="5">
        <v>240.5</v>
      </c>
      <c r="AK333" s="5">
        <v>246.2</v>
      </c>
      <c r="AL333" s="5">
        <v>250.7</v>
      </c>
      <c r="AM333" s="5">
        <v>272.39999999999998</v>
      </c>
      <c r="AN333" s="5">
        <v>293.5</v>
      </c>
      <c r="AO333" s="5">
        <v>310.89999999999998</v>
      </c>
      <c r="AP333" s="5">
        <v>317.89999999999998</v>
      </c>
      <c r="AQ333" s="5">
        <v>343.8</v>
      </c>
      <c r="AR333" s="5">
        <v>349.2</v>
      </c>
      <c r="AS333" s="5">
        <v>356.3</v>
      </c>
      <c r="AT333" s="5">
        <v>362.2</v>
      </c>
      <c r="AU333" s="5">
        <v>410.5</v>
      </c>
      <c r="AV333" s="5">
        <v>416.1</v>
      </c>
      <c r="AW333" s="5">
        <v>420.6</v>
      </c>
      <c r="AX333" s="5">
        <v>424.7</v>
      </c>
      <c r="AY333" s="5">
        <v>455.6</v>
      </c>
      <c r="AZ333" s="5">
        <v>458.4</v>
      </c>
      <c r="BA333" s="5">
        <v>451.3</v>
      </c>
      <c r="BB333" s="5">
        <v>453.4</v>
      </c>
      <c r="BC333" s="5">
        <v>498.5</v>
      </c>
      <c r="BD333" s="5">
        <v>504.6</v>
      </c>
      <c r="BE333" s="5">
        <v>511</v>
      </c>
      <c r="BF333" s="5">
        <v>517.4</v>
      </c>
      <c r="BG333" s="5">
        <v>550.29999999999995</v>
      </c>
      <c r="BH333" s="5">
        <v>569.70000000000005</v>
      </c>
      <c r="BI333" s="5">
        <v>577.5</v>
      </c>
      <c r="BJ333" s="5">
        <v>581.70000000000005</v>
      </c>
      <c r="BK333" s="5">
        <v>662.5</v>
      </c>
      <c r="BL333" s="5">
        <v>783.4</v>
      </c>
      <c r="BM333" s="5">
        <v>710.8</v>
      </c>
      <c r="BN333" s="5">
        <v>832</v>
      </c>
      <c r="BO333" s="5">
        <v>730.8</v>
      </c>
      <c r="BP333" s="5">
        <v>741.3</v>
      </c>
      <c r="BQ333" s="5">
        <v>971.2</v>
      </c>
      <c r="BR333" s="5">
        <v>1004.9</v>
      </c>
      <c r="BS333" s="5">
        <v>1067.7</v>
      </c>
      <c r="BT333" s="5">
        <v>1146.7</v>
      </c>
      <c r="BU333" s="5">
        <v>1464.7</v>
      </c>
      <c r="BV333" s="5">
        <v>1978.1</v>
      </c>
      <c r="BW333" s="5">
        <v>1677.8</v>
      </c>
      <c r="BX333" s="5">
        <v>2035.4</v>
      </c>
      <c r="BY333" s="5">
        <v>1716.9</v>
      </c>
      <c r="BZ333" s="5">
        <v>1790.2</v>
      </c>
      <c r="CA333" s="5">
        <v>2492</v>
      </c>
      <c r="CB333" s="5">
        <v>2679.2</v>
      </c>
      <c r="CC333" s="5">
        <v>2748.6</v>
      </c>
      <c r="CD333" s="5">
        <v>2770.1</v>
      </c>
      <c r="CE333" s="5">
        <v>3386</v>
      </c>
      <c r="CF333" s="5">
        <v>3428.3</v>
      </c>
      <c r="CG333" s="5">
        <v>3590.4</v>
      </c>
      <c r="CH333" s="5">
        <v>3840.9</v>
      </c>
      <c r="CI333" s="5">
        <v>3906.1</v>
      </c>
      <c r="CJ333" s="5">
        <v>4124.3999999999996</v>
      </c>
      <c r="CK333" s="5">
        <v>4701</v>
      </c>
      <c r="CL333" s="5">
        <v>4818.8</v>
      </c>
      <c r="CM333" s="5">
        <v>5083.1000000000004</v>
      </c>
      <c r="CN333" s="5">
        <v>5332.9</v>
      </c>
      <c r="CO333" s="5">
        <v>6223.2</v>
      </c>
      <c r="CP333" s="5">
        <v>6571.2</v>
      </c>
      <c r="CQ333" s="5">
        <v>6574.5</v>
      </c>
      <c r="CR333" s="5">
        <v>6809.5</v>
      </c>
      <c r="CS333" s="5">
        <v>6870.8</v>
      </c>
      <c r="CT333" s="5">
        <v>6951.5</v>
      </c>
    </row>
    <row r="334" spans="1:98">
      <c r="A334" s="2" t="s">
        <v>430</v>
      </c>
      <c r="B334" s="3"/>
      <c r="C334" s="3"/>
      <c r="D334" s="3"/>
      <c r="E334" s="3"/>
      <c r="F334" s="3"/>
      <c r="G334" s="3"/>
      <c r="H334" s="3"/>
      <c r="I334" s="3"/>
      <c r="J334" s="3"/>
      <c r="K334" s="3"/>
      <c r="L334" s="3"/>
      <c r="M334" s="3"/>
      <c r="N334" s="3">
        <v>163.4</v>
      </c>
      <c r="O334" s="3">
        <v>168.3</v>
      </c>
      <c r="P334" s="3">
        <v>168.6</v>
      </c>
      <c r="Q334" s="3">
        <v>169.8</v>
      </c>
      <c r="R334" s="3">
        <v>169.9</v>
      </c>
      <c r="S334" s="3">
        <v>178.5</v>
      </c>
      <c r="T334" s="3">
        <v>179.8</v>
      </c>
      <c r="U334" s="3">
        <v>184.2</v>
      </c>
      <c r="V334" s="3">
        <v>188.5</v>
      </c>
      <c r="W334" s="3">
        <v>198.8</v>
      </c>
      <c r="X334" s="3">
        <v>218.6</v>
      </c>
      <c r="Y334" s="3">
        <v>228.4</v>
      </c>
      <c r="Z334" s="3">
        <v>228.4</v>
      </c>
      <c r="AA334" s="3">
        <v>232.9</v>
      </c>
      <c r="AB334" s="3">
        <v>235.7</v>
      </c>
      <c r="AC334" s="3">
        <v>236.5</v>
      </c>
      <c r="AD334" s="3">
        <v>237</v>
      </c>
      <c r="AE334" s="3">
        <v>245.7</v>
      </c>
      <c r="AF334" s="3">
        <v>246.9</v>
      </c>
      <c r="AG334" s="3">
        <v>247.5</v>
      </c>
      <c r="AH334" s="3">
        <v>288.2</v>
      </c>
      <c r="AI334" s="3">
        <v>291.5</v>
      </c>
      <c r="AJ334" s="3">
        <v>314.8</v>
      </c>
      <c r="AK334" s="3">
        <v>327.39999999999998</v>
      </c>
      <c r="AL334" s="3">
        <v>340.4</v>
      </c>
      <c r="AM334" s="3">
        <v>359.8</v>
      </c>
      <c r="AN334" s="3">
        <v>376.6</v>
      </c>
      <c r="AO334" s="3">
        <v>432.3</v>
      </c>
      <c r="AP334" s="3">
        <v>449.1</v>
      </c>
      <c r="AQ334" s="3">
        <v>485.2</v>
      </c>
      <c r="AR334" s="3">
        <v>508.9</v>
      </c>
      <c r="AS334" s="3">
        <v>516.6</v>
      </c>
      <c r="AT334" s="3">
        <v>522.9</v>
      </c>
      <c r="AU334" s="3">
        <v>561</v>
      </c>
      <c r="AV334" s="3">
        <v>598.5</v>
      </c>
      <c r="AW334" s="3">
        <v>583.70000000000005</v>
      </c>
      <c r="AX334" s="3">
        <v>587.4</v>
      </c>
      <c r="AY334" s="3">
        <v>614.70000000000005</v>
      </c>
      <c r="AZ334" s="3">
        <v>616.70000000000005</v>
      </c>
      <c r="BA334" s="3">
        <v>607.1</v>
      </c>
      <c r="BB334" s="3">
        <v>607.29999999999995</v>
      </c>
      <c r="BC334" s="3">
        <v>630.29999999999995</v>
      </c>
      <c r="BD334" s="3">
        <v>639.29999999999995</v>
      </c>
      <c r="BE334" s="3">
        <v>661.4</v>
      </c>
      <c r="BF334" s="3">
        <v>671.4</v>
      </c>
      <c r="BG334" s="3">
        <v>713.2</v>
      </c>
      <c r="BH334" s="3">
        <v>714.3</v>
      </c>
      <c r="BI334" s="3">
        <v>729.2</v>
      </c>
      <c r="BJ334" s="3">
        <v>734.6</v>
      </c>
      <c r="BK334" s="3">
        <v>824.9</v>
      </c>
      <c r="BL334" s="3">
        <v>1006.5</v>
      </c>
      <c r="BM334" s="3">
        <v>901.6</v>
      </c>
      <c r="BN334" s="3">
        <v>1044.8</v>
      </c>
      <c r="BO334" s="3">
        <v>963.5</v>
      </c>
      <c r="BP334" s="3">
        <v>998.1</v>
      </c>
      <c r="BQ334" s="3">
        <v>1166.7</v>
      </c>
      <c r="BR334" s="3">
        <v>1310.2</v>
      </c>
      <c r="BS334" s="3">
        <v>1363.6</v>
      </c>
      <c r="BT334" s="3">
        <v>1426.1</v>
      </c>
      <c r="BU334" s="3">
        <v>1626.7</v>
      </c>
      <c r="BV334" s="3">
        <v>2295.6999999999998</v>
      </c>
      <c r="BW334" s="3">
        <v>1901.6</v>
      </c>
      <c r="BX334" s="3">
        <v>2404.1</v>
      </c>
      <c r="BY334" s="3">
        <v>1967.1</v>
      </c>
      <c r="BZ334" s="3">
        <v>2103.9</v>
      </c>
      <c r="CA334" s="3">
        <v>3101.3</v>
      </c>
      <c r="CB334" s="3">
        <v>3565.1</v>
      </c>
      <c r="CC334" s="3">
        <v>3516</v>
      </c>
      <c r="CD334" s="3">
        <v>3679.3</v>
      </c>
      <c r="CE334" s="3">
        <v>4542.3</v>
      </c>
      <c r="CF334" s="3">
        <v>4856.2</v>
      </c>
      <c r="CG334" s="3">
        <v>5072.6000000000004</v>
      </c>
      <c r="CH334" s="3">
        <v>5326.2</v>
      </c>
      <c r="CI334" s="3">
        <v>5378.9</v>
      </c>
      <c r="CJ334" s="3">
        <v>5597.5</v>
      </c>
      <c r="CK334" s="3">
        <v>6397.4</v>
      </c>
      <c r="CL334" s="3">
        <v>6896.4</v>
      </c>
      <c r="CM334" s="3">
        <v>6970.2</v>
      </c>
      <c r="CN334" s="3">
        <v>7219.6</v>
      </c>
      <c r="CO334" s="3">
        <v>8333</v>
      </c>
      <c r="CP334" s="3">
        <v>9235.5</v>
      </c>
      <c r="CQ334" s="3">
        <v>9358.2000000000007</v>
      </c>
      <c r="CR334" s="3">
        <v>10104.799999999999</v>
      </c>
      <c r="CS334" s="3">
        <v>10271.799999999999</v>
      </c>
      <c r="CT334" s="3">
        <v>10631</v>
      </c>
    </row>
    <row r="335" spans="1:98">
      <c r="A335" s="4" t="s">
        <v>431</v>
      </c>
      <c r="B335" s="5"/>
      <c r="C335" s="5"/>
      <c r="D335" s="5"/>
      <c r="E335" s="5"/>
      <c r="F335" s="5"/>
      <c r="G335" s="5"/>
      <c r="H335" s="5"/>
      <c r="I335" s="5"/>
      <c r="J335" s="5"/>
      <c r="K335" s="5"/>
      <c r="L335" s="5"/>
      <c r="M335" s="5"/>
      <c r="N335" s="5">
        <v>156.80000000000001</v>
      </c>
      <c r="O335" s="5">
        <v>165.9</v>
      </c>
      <c r="P335" s="5">
        <v>166.7</v>
      </c>
      <c r="Q335" s="5">
        <v>186.7</v>
      </c>
      <c r="R335" s="5">
        <v>188.5</v>
      </c>
      <c r="S335" s="5">
        <v>209.6</v>
      </c>
      <c r="T335" s="5">
        <v>212.9</v>
      </c>
      <c r="U335" s="5">
        <v>220.2</v>
      </c>
      <c r="V335" s="5">
        <v>230.9</v>
      </c>
      <c r="W335" s="5">
        <v>264.5</v>
      </c>
      <c r="X335" s="5">
        <v>267.2</v>
      </c>
      <c r="Y335" s="5">
        <v>265</v>
      </c>
      <c r="Z335" s="5">
        <v>261.39999999999998</v>
      </c>
      <c r="AA335" s="5">
        <v>265.10000000000002</v>
      </c>
      <c r="AB335" s="5">
        <v>264.5</v>
      </c>
      <c r="AC335" s="5">
        <v>266.5</v>
      </c>
      <c r="AD335" s="5">
        <v>268.5</v>
      </c>
      <c r="AE335" s="5">
        <v>283.2</v>
      </c>
      <c r="AF335" s="5">
        <v>288.89999999999998</v>
      </c>
      <c r="AG335" s="5">
        <v>292.3</v>
      </c>
      <c r="AH335" s="5">
        <v>302.5</v>
      </c>
      <c r="AI335" s="5">
        <v>314</v>
      </c>
      <c r="AJ335" s="5">
        <v>316.8</v>
      </c>
      <c r="AK335" s="5">
        <v>342.1</v>
      </c>
      <c r="AL335" s="5">
        <v>346.5</v>
      </c>
      <c r="AM335" s="5">
        <v>384.9</v>
      </c>
      <c r="AN335" s="5">
        <v>422.1</v>
      </c>
      <c r="AO335" s="5">
        <v>436.6</v>
      </c>
      <c r="AP335" s="5">
        <v>452</v>
      </c>
      <c r="AQ335" s="5">
        <v>486</v>
      </c>
      <c r="AR335" s="5">
        <v>496.5</v>
      </c>
      <c r="AS335" s="5">
        <v>522</v>
      </c>
      <c r="AT335" s="5">
        <v>525.5</v>
      </c>
      <c r="AU335" s="5">
        <v>580.9</v>
      </c>
      <c r="AV335" s="5">
        <v>590.1</v>
      </c>
      <c r="AW335" s="5">
        <v>587.6</v>
      </c>
      <c r="AX335" s="5">
        <v>591.29999999999995</v>
      </c>
      <c r="AY335" s="5">
        <v>623</v>
      </c>
      <c r="AZ335" s="5">
        <v>619.5</v>
      </c>
      <c r="BA335" s="5">
        <v>624.29999999999995</v>
      </c>
      <c r="BB335" s="5">
        <v>626.29999999999995</v>
      </c>
      <c r="BC335" s="5">
        <v>681.5</v>
      </c>
      <c r="BD335" s="5">
        <v>686.4</v>
      </c>
      <c r="BE335" s="5">
        <v>693.1</v>
      </c>
      <c r="BF335" s="5">
        <v>696.9</v>
      </c>
      <c r="BG335" s="5">
        <v>746.1</v>
      </c>
      <c r="BH335" s="5">
        <v>754.1</v>
      </c>
      <c r="BI335" s="5">
        <v>768.4</v>
      </c>
      <c r="BJ335" s="5">
        <v>778.3</v>
      </c>
      <c r="BK335" s="5">
        <v>874.5</v>
      </c>
      <c r="BL335" s="5">
        <v>1061.9000000000001</v>
      </c>
      <c r="BM335" s="5">
        <v>911.9</v>
      </c>
      <c r="BN335" s="5">
        <v>1078.3</v>
      </c>
      <c r="BO335" s="5">
        <v>949.3</v>
      </c>
      <c r="BP335" s="5">
        <v>983</v>
      </c>
      <c r="BQ335" s="5">
        <v>1267.7</v>
      </c>
      <c r="BR335" s="5">
        <v>1310.4000000000001</v>
      </c>
      <c r="BS335" s="5">
        <v>1334.6</v>
      </c>
      <c r="BT335" s="5">
        <v>1416</v>
      </c>
      <c r="BU335" s="5">
        <v>1776.5</v>
      </c>
      <c r="BV335" s="5">
        <v>2269.4</v>
      </c>
      <c r="BW335" s="5">
        <v>1975.3</v>
      </c>
      <c r="BX335" s="5">
        <v>2456.5</v>
      </c>
      <c r="BY335" s="5">
        <v>1986.1</v>
      </c>
      <c r="BZ335" s="5">
        <v>2100.5</v>
      </c>
      <c r="CA335" s="5">
        <v>3028</v>
      </c>
      <c r="CB335" s="5">
        <v>3294.1</v>
      </c>
      <c r="CC335" s="5">
        <v>3310.9</v>
      </c>
      <c r="CD335" s="5">
        <v>3360.3</v>
      </c>
      <c r="CE335" s="5">
        <v>4097.5</v>
      </c>
      <c r="CF335" s="5">
        <v>4174.2</v>
      </c>
      <c r="CG335" s="5">
        <v>4469.2</v>
      </c>
      <c r="CH335" s="5">
        <v>4785.8</v>
      </c>
      <c r="CI335" s="5">
        <v>4823.8</v>
      </c>
      <c r="CJ335" s="5">
        <v>5142.3</v>
      </c>
      <c r="CK335" s="5">
        <v>5885.2</v>
      </c>
      <c r="CL335" s="5">
        <v>6034.5</v>
      </c>
      <c r="CM335" s="5">
        <v>6293.5</v>
      </c>
      <c r="CN335" s="5">
        <v>6389.2</v>
      </c>
      <c r="CO335" s="5">
        <v>7562.2</v>
      </c>
      <c r="CP335" s="5">
        <v>7828.6</v>
      </c>
      <c r="CQ335" s="5">
        <v>8154.4</v>
      </c>
      <c r="CR335" s="5">
        <v>8505.2000000000007</v>
      </c>
      <c r="CS335" s="5">
        <v>8735.1</v>
      </c>
      <c r="CT335" s="5">
        <v>8835.6</v>
      </c>
    </row>
    <row r="336" spans="1:98">
      <c r="A336" s="2" t="s">
        <v>432</v>
      </c>
      <c r="B336" s="3"/>
      <c r="C336" s="3"/>
      <c r="D336" s="3"/>
      <c r="E336" s="3"/>
      <c r="F336" s="3"/>
      <c r="G336" s="3"/>
      <c r="H336" s="3"/>
      <c r="I336" s="3"/>
      <c r="J336" s="3"/>
      <c r="K336" s="3"/>
      <c r="L336" s="3"/>
      <c r="M336" s="3"/>
      <c r="N336" s="3">
        <v>141.30000000000001</v>
      </c>
      <c r="O336" s="3">
        <v>148</v>
      </c>
      <c r="P336" s="3">
        <v>151.4</v>
      </c>
      <c r="Q336" s="3">
        <v>152.5</v>
      </c>
      <c r="R336" s="3">
        <v>152.80000000000001</v>
      </c>
      <c r="S336" s="3">
        <v>176.2</v>
      </c>
      <c r="T336" s="3">
        <v>178.9</v>
      </c>
      <c r="U336" s="3">
        <v>183.9</v>
      </c>
      <c r="V336" s="3">
        <v>189.2</v>
      </c>
      <c r="W336" s="3">
        <v>206.4</v>
      </c>
      <c r="X336" s="3">
        <v>208.9</v>
      </c>
      <c r="Y336" s="3">
        <v>206.9</v>
      </c>
      <c r="Z336" s="3">
        <v>203.8</v>
      </c>
      <c r="AA336" s="3">
        <v>206.6</v>
      </c>
      <c r="AB336" s="3">
        <v>211.9</v>
      </c>
      <c r="AC336" s="3">
        <v>213.3</v>
      </c>
      <c r="AD336" s="3">
        <v>213.3</v>
      </c>
      <c r="AE336" s="3">
        <v>223.9</v>
      </c>
      <c r="AF336" s="3">
        <v>223.4</v>
      </c>
      <c r="AG336" s="3">
        <v>229.5</v>
      </c>
      <c r="AH336" s="3">
        <v>274.10000000000002</v>
      </c>
      <c r="AI336" s="3">
        <v>279.10000000000002</v>
      </c>
      <c r="AJ336" s="3">
        <v>293.5</v>
      </c>
      <c r="AK336" s="3">
        <v>311.7</v>
      </c>
      <c r="AL336" s="3">
        <v>326.39999999999998</v>
      </c>
      <c r="AM336" s="3">
        <v>356</v>
      </c>
      <c r="AN336" s="3">
        <v>384.3</v>
      </c>
      <c r="AO336" s="3">
        <v>428.8</v>
      </c>
      <c r="AP336" s="3">
        <v>478</v>
      </c>
      <c r="AQ336" s="3">
        <v>502.7</v>
      </c>
      <c r="AR336" s="3">
        <v>505.9</v>
      </c>
      <c r="AS336" s="3">
        <v>515.6</v>
      </c>
      <c r="AT336" s="3">
        <v>522.70000000000005</v>
      </c>
      <c r="AU336" s="3">
        <v>578.29999999999995</v>
      </c>
      <c r="AV336" s="3">
        <v>588.79999999999995</v>
      </c>
      <c r="AW336" s="3">
        <v>590</v>
      </c>
      <c r="AX336" s="3">
        <v>593.9</v>
      </c>
      <c r="AY336" s="3">
        <v>621</v>
      </c>
      <c r="AZ336" s="3">
        <v>621.5</v>
      </c>
      <c r="BA336" s="3">
        <v>618.5</v>
      </c>
      <c r="BB336" s="3">
        <v>618</v>
      </c>
      <c r="BC336" s="3">
        <v>649.6</v>
      </c>
      <c r="BD336" s="3">
        <v>655</v>
      </c>
      <c r="BE336" s="3">
        <v>681.1</v>
      </c>
      <c r="BF336" s="3">
        <v>690.3</v>
      </c>
      <c r="BG336" s="3">
        <v>726.7</v>
      </c>
      <c r="BH336" s="3">
        <v>744.6</v>
      </c>
      <c r="BI336" s="3">
        <v>775</v>
      </c>
      <c r="BJ336" s="3">
        <v>781</v>
      </c>
      <c r="BK336" s="3">
        <v>878.6</v>
      </c>
      <c r="BL336" s="3">
        <v>1172.5999999999999</v>
      </c>
      <c r="BM336" s="3">
        <v>972.5</v>
      </c>
      <c r="BN336" s="3">
        <v>1214.5</v>
      </c>
      <c r="BO336" s="3">
        <v>1048.2</v>
      </c>
      <c r="BP336" s="3">
        <v>1115.7</v>
      </c>
      <c r="BQ336" s="3">
        <v>1444.8</v>
      </c>
      <c r="BR336" s="3">
        <v>1461</v>
      </c>
      <c r="BS336" s="3">
        <v>1500.3</v>
      </c>
      <c r="BT336" s="3">
        <v>1639.5</v>
      </c>
      <c r="BU336" s="3">
        <v>1968.6</v>
      </c>
      <c r="BV336" s="3">
        <v>3010.2</v>
      </c>
      <c r="BW336" s="3">
        <v>2389.6</v>
      </c>
      <c r="BX336" s="3">
        <v>3210.8</v>
      </c>
      <c r="BY336" s="3">
        <v>2486.8000000000002</v>
      </c>
      <c r="BZ336" s="3">
        <v>2723.7</v>
      </c>
      <c r="CA336" s="3">
        <v>3979.1</v>
      </c>
      <c r="CB336" s="3">
        <v>4276</v>
      </c>
      <c r="CC336" s="3">
        <v>4308.5</v>
      </c>
      <c r="CD336" s="3">
        <v>4357.6000000000004</v>
      </c>
      <c r="CE336" s="3">
        <v>5208.2</v>
      </c>
      <c r="CF336" s="3">
        <v>5264.7</v>
      </c>
      <c r="CG336" s="3">
        <v>5637.6</v>
      </c>
      <c r="CH336" s="3">
        <v>5938.5</v>
      </c>
      <c r="CI336" s="3">
        <v>6057.6</v>
      </c>
      <c r="CJ336" s="3">
        <v>6210.7</v>
      </c>
      <c r="CK336" s="3">
        <v>7233.4</v>
      </c>
      <c r="CL336" s="3">
        <v>7452.1</v>
      </c>
      <c r="CM336" s="3">
        <v>7535.8</v>
      </c>
      <c r="CN336" s="3">
        <v>7855.4</v>
      </c>
      <c r="CO336" s="3">
        <v>9216</v>
      </c>
      <c r="CP336" s="3">
        <v>9552.4</v>
      </c>
      <c r="CQ336" s="3">
        <v>9586.7999999999993</v>
      </c>
      <c r="CR336" s="3">
        <v>10203</v>
      </c>
      <c r="CS336" s="3">
        <v>10400.1</v>
      </c>
      <c r="CT336" s="3">
        <v>10623.7</v>
      </c>
    </row>
    <row r="337" spans="1:98" ht="25.5">
      <c r="A337" s="4" t="s">
        <v>433</v>
      </c>
      <c r="B337" s="5">
        <v>100</v>
      </c>
      <c r="C337" s="5">
        <v>109.4</v>
      </c>
      <c r="D337" s="5">
        <v>113</v>
      </c>
      <c r="E337" s="5">
        <v>115.1</v>
      </c>
      <c r="F337" s="5">
        <v>117.5</v>
      </c>
      <c r="G337" s="5">
        <v>135.80000000000001</v>
      </c>
      <c r="H337" s="5">
        <v>139.9</v>
      </c>
      <c r="I337" s="5">
        <v>143.1</v>
      </c>
      <c r="J337" s="5">
        <v>142.9</v>
      </c>
      <c r="K337" s="5">
        <v>151.4</v>
      </c>
      <c r="L337" s="5">
        <v>153.69999999999999</v>
      </c>
      <c r="M337" s="5">
        <v>157</v>
      </c>
      <c r="N337" s="5">
        <v>158</v>
      </c>
      <c r="O337" s="5">
        <v>170.9</v>
      </c>
      <c r="P337" s="5">
        <v>173</v>
      </c>
      <c r="Q337" s="5">
        <v>174</v>
      </c>
      <c r="R337" s="5">
        <v>174.3</v>
      </c>
      <c r="S337" s="5">
        <v>193.1</v>
      </c>
      <c r="T337" s="5">
        <v>195.8</v>
      </c>
      <c r="U337" s="5">
        <v>203.4</v>
      </c>
      <c r="V337" s="5">
        <v>208.5</v>
      </c>
      <c r="W337" s="5">
        <v>230.6</v>
      </c>
      <c r="X337" s="5">
        <v>233.6</v>
      </c>
      <c r="Y337" s="5">
        <v>236.2</v>
      </c>
      <c r="Z337" s="5">
        <v>236.6</v>
      </c>
      <c r="AA337" s="5">
        <v>254.2</v>
      </c>
      <c r="AB337" s="5">
        <v>257.5</v>
      </c>
      <c r="AC337" s="5">
        <v>260.60000000000002</v>
      </c>
      <c r="AD337" s="5">
        <v>263.60000000000002</v>
      </c>
      <c r="AE337" s="5">
        <v>281</v>
      </c>
      <c r="AF337" s="5">
        <v>282.8</v>
      </c>
      <c r="AG337" s="5">
        <v>288.60000000000002</v>
      </c>
      <c r="AH337" s="5">
        <v>317.39999999999998</v>
      </c>
      <c r="AI337" s="5">
        <v>336.1</v>
      </c>
      <c r="AJ337" s="5">
        <v>346.2</v>
      </c>
      <c r="AK337" s="5">
        <v>355.3</v>
      </c>
      <c r="AL337" s="5">
        <v>364.3</v>
      </c>
      <c r="AM337" s="5">
        <v>403.2</v>
      </c>
      <c r="AN337" s="5">
        <v>422.5</v>
      </c>
      <c r="AO337" s="5">
        <v>452.6</v>
      </c>
      <c r="AP337" s="5">
        <v>465.7</v>
      </c>
      <c r="AQ337" s="5">
        <v>522.70000000000005</v>
      </c>
      <c r="AR337" s="5">
        <v>533</v>
      </c>
      <c r="AS337" s="5">
        <v>543.5</v>
      </c>
      <c r="AT337" s="5">
        <v>554.4</v>
      </c>
      <c r="AU337" s="5">
        <v>639.29999999999995</v>
      </c>
      <c r="AV337" s="5">
        <v>651</v>
      </c>
      <c r="AW337" s="5">
        <v>660.3</v>
      </c>
      <c r="AX337" s="5">
        <v>668.9</v>
      </c>
      <c r="AY337" s="5">
        <v>670</v>
      </c>
      <c r="AZ337" s="5">
        <v>671</v>
      </c>
      <c r="BA337" s="5">
        <v>672</v>
      </c>
      <c r="BB337" s="5">
        <v>673</v>
      </c>
      <c r="BC337" s="5">
        <v>674</v>
      </c>
      <c r="BD337" s="5">
        <v>675</v>
      </c>
      <c r="BE337" s="5">
        <v>676</v>
      </c>
      <c r="BF337" s="5">
        <v>677</v>
      </c>
      <c r="BG337" s="5">
        <v>678</v>
      </c>
      <c r="BH337" s="5">
        <v>679</v>
      </c>
      <c r="BI337" s="5">
        <v>680</v>
      </c>
      <c r="BJ337" s="5">
        <v>681</v>
      </c>
      <c r="BK337" s="5">
        <v>682</v>
      </c>
      <c r="BL337" s="5">
        <v>685</v>
      </c>
      <c r="BM337" s="5">
        <v>683</v>
      </c>
      <c r="BN337" s="5">
        <v>686</v>
      </c>
      <c r="BO337" s="5">
        <v>684</v>
      </c>
      <c r="BP337" s="5">
        <v>685</v>
      </c>
      <c r="BQ337" s="5">
        <v>687</v>
      </c>
      <c r="BR337" s="5">
        <v>688</v>
      </c>
      <c r="BS337" s="5">
        <v>689</v>
      </c>
      <c r="BT337" s="5">
        <v>690</v>
      </c>
      <c r="BU337" s="5">
        <v>691</v>
      </c>
      <c r="BV337" s="5">
        <v>695</v>
      </c>
      <c r="BW337" s="5">
        <v>692</v>
      </c>
      <c r="BX337" s="5">
        <v>696</v>
      </c>
      <c r="BY337" s="5">
        <v>693</v>
      </c>
      <c r="BZ337" s="5">
        <v>694</v>
      </c>
      <c r="CA337" s="5">
        <v>697</v>
      </c>
      <c r="CB337" s="5">
        <v>698</v>
      </c>
      <c r="CC337" s="5">
        <v>699</v>
      </c>
      <c r="CD337" s="5">
        <v>700</v>
      </c>
      <c r="CE337" s="5">
        <v>701</v>
      </c>
      <c r="CF337" s="5">
        <v>702</v>
      </c>
      <c r="CG337" s="5">
        <v>703</v>
      </c>
      <c r="CH337" s="5">
        <v>704</v>
      </c>
      <c r="CI337" s="5">
        <v>704</v>
      </c>
      <c r="CJ337" s="5">
        <v>704</v>
      </c>
      <c r="CK337" s="5">
        <v>705</v>
      </c>
      <c r="CL337" s="5">
        <v>706</v>
      </c>
      <c r="CM337" s="5">
        <v>707</v>
      </c>
      <c r="CN337" s="5">
        <v>708</v>
      </c>
      <c r="CO337" s="5">
        <v>709</v>
      </c>
      <c r="CP337" s="5">
        <v>710</v>
      </c>
      <c r="CQ337" s="5">
        <v>711</v>
      </c>
      <c r="CR337" s="5">
        <v>712</v>
      </c>
      <c r="CS337" s="5">
        <v>712</v>
      </c>
      <c r="CT337" s="5">
        <v>712</v>
      </c>
    </row>
    <row r="338" spans="1:98" ht="25.5">
      <c r="A338" s="2" t="s">
        <v>434</v>
      </c>
      <c r="B338" s="3">
        <v>100</v>
      </c>
      <c r="C338" s="3">
        <v>111.2</v>
      </c>
      <c r="D338" s="3">
        <v>112.2</v>
      </c>
      <c r="E338" s="3">
        <v>117.4</v>
      </c>
      <c r="F338" s="3">
        <v>125.6</v>
      </c>
      <c r="G338" s="3">
        <v>141.80000000000001</v>
      </c>
      <c r="H338" s="3">
        <v>144.4</v>
      </c>
      <c r="I338" s="3">
        <v>148.30000000000001</v>
      </c>
      <c r="J338" s="3">
        <v>147.80000000000001</v>
      </c>
      <c r="K338" s="3">
        <v>153.9</v>
      </c>
      <c r="L338" s="3">
        <v>157.1</v>
      </c>
      <c r="M338" s="3">
        <v>157.9</v>
      </c>
      <c r="N338" s="3">
        <v>157.9</v>
      </c>
      <c r="O338" s="3">
        <v>164.4</v>
      </c>
      <c r="P338" s="3">
        <v>165.9</v>
      </c>
      <c r="Q338" s="3">
        <v>169.2</v>
      </c>
      <c r="R338" s="3">
        <v>170.1</v>
      </c>
      <c r="S338" s="3">
        <v>188.8</v>
      </c>
      <c r="T338" s="3">
        <v>190.5</v>
      </c>
      <c r="U338" s="3">
        <v>197.1</v>
      </c>
      <c r="V338" s="3">
        <v>201.3</v>
      </c>
      <c r="W338" s="3">
        <v>222.3</v>
      </c>
      <c r="X338" s="3">
        <v>238.7</v>
      </c>
      <c r="Y338" s="3">
        <v>239</v>
      </c>
      <c r="Z338" s="3">
        <v>233.2</v>
      </c>
      <c r="AA338" s="3">
        <v>237.8</v>
      </c>
      <c r="AB338" s="3">
        <v>240</v>
      </c>
      <c r="AC338" s="3">
        <v>241.6</v>
      </c>
      <c r="AD338" s="3">
        <v>243.1</v>
      </c>
      <c r="AE338" s="3">
        <v>257.8</v>
      </c>
      <c r="AF338" s="3">
        <v>259</v>
      </c>
      <c r="AG338" s="3">
        <v>262.7</v>
      </c>
      <c r="AH338" s="3">
        <v>276.39999999999998</v>
      </c>
      <c r="AI338" s="3">
        <v>288.3</v>
      </c>
      <c r="AJ338" s="3">
        <v>301.60000000000002</v>
      </c>
      <c r="AK338" s="3">
        <v>308</v>
      </c>
      <c r="AL338" s="3">
        <v>324.8</v>
      </c>
      <c r="AM338" s="3">
        <v>343.5</v>
      </c>
      <c r="AN338" s="3">
        <v>363.6</v>
      </c>
      <c r="AO338" s="3">
        <v>398.7</v>
      </c>
      <c r="AP338" s="3">
        <v>407.4</v>
      </c>
      <c r="AQ338" s="3">
        <v>438.3</v>
      </c>
      <c r="AR338" s="3">
        <v>450.7</v>
      </c>
      <c r="AS338" s="3">
        <v>465.7</v>
      </c>
      <c r="AT338" s="3">
        <v>470.8</v>
      </c>
      <c r="AU338" s="3">
        <v>508</v>
      </c>
      <c r="AV338" s="3">
        <v>540.1</v>
      </c>
      <c r="AW338" s="3">
        <v>542.4</v>
      </c>
      <c r="AX338" s="3">
        <v>541.4</v>
      </c>
      <c r="AY338" s="3">
        <v>559</v>
      </c>
      <c r="AZ338" s="3">
        <v>561.1</v>
      </c>
      <c r="BA338" s="3">
        <v>558.20000000000005</v>
      </c>
      <c r="BB338" s="3">
        <v>557.5</v>
      </c>
      <c r="BC338" s="3">
        <v>585.29999999999995</v>
      </c>
      <c r="BD338" s="3">
        <v>590.70000000000005</v>
      </c>
      <c r="BE338" s="3">
        <v>611.1</v>
      </c>
      <c r="BF338" s="3">
        <v>617.5</v>
      </c>
      <c r="BG338" s="3">
        <v>661.7</v>
      </c>
      <c r="BH338" s="3">
        <v>677.4</v>
      </c>
      <c r="BI338" s="3">
        <v>688.5</v>
      </c>
      <c r="BJ338" s="3">
        <v>697.9</v>
      </c>
      <c r="BK338" s="3">
        <v>782.4</v>
      </c>
      <c r="BL338" s="3">
        <v>957</v>
      </c>
      <c r="BM338" s="3">
        <v>839.8</v>
      </c>
      <c r="BN338" s="3">
        <v>971.2</v>
      </c>
      <c r="BO338" s="3">
        <v>900.5</v>
      </c>
      <c r="BP338" s="3">
        <v>918.3</v>
      </c>
      <c r="BQ338" s="3">
        <v>1100.9000000000001</v>
      </c>
      <c r="BR338" s="3">
        <v>1184.9000000000001</v>
      </c>
      <c r="BS338" s="3">
        <v>1227.5</v>
      </c>
      <c r="BT338" s="3">
        <v>1300.8</v>
      </c>
      <c r="BU338" s="3">
        <v>1553.7</v>
      </c>
      <c r="BV338" s="3">
        <v>2254.3000000000002</v>
      </c>
      <c r="BW338" s="3">
        <v>1818.2</v>
      </c>
      <c r="BX338" s="3">
        <v>2343.1</v>
      </c>
      <c r="BY338" s="3">
        <v>1905.7</v>
      </c>
      <c r="BZ338" s="3">
        <v>2014</v>
      </c>
      <c r="CA338" s="3">
        <v>2926.9</v>
      </c>
      <c r="CB338" s="3">
        <v>3319.9</v>
      </c>
      <c r="CC338" s="3">
        <v>3407.3</v>
      </c>
      <c r="CD338" s="3">
        <v>3458.3</v>
      </c>
      <c r="CE338" s="3">
        <v>4094.3</v>
      </c>
      <c r="CF338" s="3">
        <v>4231.1000000000004</v>
      </c>
      <c r="CG338" s="3">
        <v>4530.3999999999996</v>
      </c>
      <c r="CH338" s="3">
        <v>4939.2</v>
      </c>
      <c r="CI338" s="3">
        <v>5004.5</v>
      </c>
      <c r="CJ338" s="3">
        <v>5319.1</v>
      </c>
      <c r="CK338" s="3">
        <v>5992.3</v>
      </c>
      <c r="CL338" s="3">
        <v>6113.4</v>
      </c>
      <c r="CM338" s="3">
        <v>6342.5</v>
      </c>
      <c r="CN338" s="3">
        <v>6447.1</v>
      </c>
      <c r="CO338" s="3">
        <v>7455.6</v>
      </c>
      <c r="CP338" s="3">
        <v>7948.7</v>
      </c>
      <c r="CQ338" s="3">
        <v>8106.4</v>
      </c>
      <c r="CR338" s="3">
        <v>8541.7000000000007</v>
      </c>
      <c r="CS338" s="3">
        <v>8865.7999999999993</v>
      </c>
      <c r="CT338" s="3">
        <v>9363.2999999999993</v>
      </c>
    </row>
    <row r="339" spans="1:98" ht="25.5">
      <c r="A339" s="4" t="s">
        <v>435</v>
      </c>
      <c r="B339" s="5">
        <v>100</v>
      </c>
      <c r="C339" s="5">
        <v>108.1</v>
      </c>
      <c r="D339" s="5">
        <v>114</v>
      </c>
      <c r="E339" s="5">
        <v>116</v>
      </c>
      <c r="F339" s="5">
        <v>118.1</v>
      </c>
      <c r="G339" s="5">
        <v>139.30000000000001</v>
      </c>
      <c r="H339" s="5">
        <v>144</v>
      </c>
      <c r="I339" s="5">
        <v>146.30000000000001</v>
      </c>
      <c r="J339" s="5">
        <v>146.30000000000001</v>
      </c>
      <c r="K339" s="5">
        <v>147.80000000000001</v>
      </c>
      <c r="L339" s="5">
        <v>149.19999999999999</v>
      </c>
      <c r="M339" s="5">
        <v>156.6</v>
      </c>
      <c r="N339" s="5">
        <v>158</v>
      </c>
      <c r="O339" s="5">
        <v>163.5</v>
      </c>
      <c r="P339" s="5">
        <v>167.6</v>
      </c>
      <c r="Q339" s="5">
        <v>168.1</v>
      </c>
      <c r="R339" s="5">
        <v>168.3</v>
      </c>
      <c r="S339" s="5">
        <v>187.2</v>
      </c>
      <c r="T339" s="5">
        <v>190.6</v>
      </c>
      <c r="U339" s="5">
        <v>193.6</v>
      </c>
      <c r="V339" s="5">
        <v>198.6</v>
      </c>
      <c r="W339" s="5">
        <v>214.4</v>
      </c>
      <c r="X339" s="5">
        <v>218.4</v>
      </c>
      <c r="Y339" s="5">
        <v>216.5</v>
      </c>
      <c r="Z339" s="5">
        <v>216.5</v>
      </c>
      <c r="AA339" s="5">
        <v>218.1</v>
      </c>
      <c r="AB339" s="5">
        <v>218.6</v>
      </c>
      <c r="AC339" s="5">
        <v>231.6</v>
      </c>
      <c r="AD339" s="5">
        <v>232.7</v>
      </c>
      <c r="AE339" s="5">
        <v>253.7</v>
      </c>
      <c r="AF339" s="5">
        <v>253.7</v>
      </c>
      <c r="AG339" s="5">
        <v>253.7</v>
      </c>
      <c r="AH339" s="5">
        <v>291.8</v>
      </c>
      <c r="AI339" s="5">
        <v>297.60000000000002</v>
      </c>
      <c r="AJ339" s="5">
        <v>306.3</v>
      </c>
      <c r="AK339" s="5">
        <v>323.89999999999998</v>
      </c>
      <c r="AL339" s="5">
        <v>344.3</v>
      </c>
      <c r="AM339" s="5">
        <v>378.6</v>
      </c>
      <c r="AN339" s="5">
        <v>395.9</v>
      </c>
      <c r="AO339" s="5">
        <v>413.1</v>
      </c>
      <c r="AP339" s="5">
        <v>430.3</v>
      </c>
      <c r="AQ339" s="5">
        <v>495.2</v>
      </c>
      <c r="AR339" s="5">
        <v>521.5</v>
      </c>
      <c r="AS339" s="5">
        <v>522.79999999999995</v>
      </c>
      <c r="AT339" s="5">
        <v>522.79999999999995</v>
      </c>
      <c r="AU339" s="5">
        <v>567.20000000000005</v>
      </c>
      <c r="AV339" s="5">
        <v>580.29999999999995</v>
      </c>
      <c r="AW339" s="5">
        <v>582</v>
      </c>
      <c r="AX339" s="5">
        <v>582.6</v>
      </c>
      <c r="AY339" s="5">
        <v>600</v>
      </c>
      <c r="AZ339" s="5">
        <v>614.6</v>
      </c>
      <c r="BA339" s="5">
        <v>626.9</v>
      </c>
      <c r="BB339" s="5">
        <v>626.9</v>
      </c>
      <c r="BC339" s="5">
        <v>626.9</v>
      </c>
      <c r="BD339" s="5">
        <v>661.6</v>
      </c>
      <c r="BE339" s="5">
        <v>684.5</v>
      </c>
      <c r="BF339" s="5">
        <v>690.8</v>
      </c>
      <c r="BG339" s="5">
        <v>725.3</v>
      </c>
      <c r="BH339" s="5">
        <v>746.1</v>
      </c>
      <c r="BI339" s="5">
        <v>753</v>
      </c>
      <c r="BJ339" s="5">
        <v>759.9</v>
      </c>
      <c r="BK339" s="5">
        <v>843.4</v>
      </c>
      <c r="BL339" s="5">
        <v>1109.4000000000001</v>
      </c>
      <c r="BM339" s="5">
        <v>927.1</v>
      </c>
      <c r="BN339" s="5">
        <v>1227.2</v>
      </c>
      <c r="BO339" s="5">
        <v>1025.9000000000001</v>
      </c>
      <c r="BP339" s="5">
        <v>1052.5</v>
      </c>
      <c r="BQ339" s="5">
        <v>1405.1</v>
      </c>
      <c r="BR339" s="5">
        <v>1509.6</v>
      </c>
      <c r="BS339" s="5">
        <v>1772.7</v>
      </c>
      <c r="BT339" s="5">
        <v>1877.6</v>
      </c>
      <c r="BU339" s="5">
        <v>2371.4</v>
      </c>
      <c r="BV339" s="5">
        <v>3379.6</v>
      </c>
      <c r="BW339" s="5">
        <v>2891.4</v>
      </c>
      <c r="BX339" s="5">
        <v>3539.2</v>
      </c>
      <c r="BY339" s="5">
        <v>2966.6</v>
      </c>
      <c r="BZ339" s="5">
        <v>3191.9</v>
      </c>
      <c r="CA339" s="5">
        <v>4654</v>
      </c>
      <c r="CB339" s="5">
        <v>4901.7</v>
      </c>
      <c r="CC339" s="5">
        <v>4990.3</v>
      </c>
      <c r="CD339" s="5">
        <v>5096.3999999999996</v>
      </c>
      <c r="CE339" s="5">
        <v>6345</v>
      </c>
      <c r="CF339" s="5">
        <v>6564.2</v>
      </c>
      <c r="CG339" s="5">
        <v>7032.9</v>
      </c>
      <c r="CH339" s="5">
        <v>7425.4</v>
      </c>
      <c r="CI339" s="5">
        <v>7547.7</v>
      </c>
      <c r="CJ339" s="5">
        <v>7670</v>
      </c>
      <c r="CK339" s="5">
        <v>9104.2999999999993</v>
      </c>
      <c r="CL339" s="5">
        <v>9672</v>
      </c>
      <c r="CM339" s="5">
        <v>10216.5</v>
      </c>
      <c r="CN339" s="5">
        <v>10392.9</v>
      </c>
      <c r="CO339" s="5">
        <v>12804</v>
      </c>
      <c r="CP339" s="5">
        <v>13406.7</v>
      </c>
      <c r="CQ339" s="5">
        <v>13562.6</v>
      </c>
      <c r="CR339" s="5">
        <v>14030</v>
      </c>
      <c r="CS339" s="5">
        <v>14279.4</v>
      </c>
      <c r="CT339" s="5">
        <v>14550</v>
      </c>
    </row>
    <row r="340" spans="1:98" ht="25.5">
      <c r="A340" s="2" t="s">
        <v>436</v>
      </c>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v>585</v>
      </c>
      <c r="AR340" s="3">
        <v>590</v>
      </c>
      <c r="AS340" s="3">
        <v>620</v>
      </c>
      <c r="AT340" s="3">
        <v>625</v>
      </c>
      <c r="AU340" s="3">
        <v>700</v>
      </c>
      <c r="AV340" s="3">
        <v>700</v>
      </c>
      <c r="AW340" s="3">
        <v>712.5</v>
      </c>
      <c r="AX340" s="3">
        <v>712.5</v>
      </c>
      <c r="AY340" s="3">
        <v>712.5</v>
      </c>
      <c r="AZ340" s="3">
        <v>712.5</v>
      </c>
      <c r="BA340" s="3">
        <v>719.6</v>
      </c>
      <c r="BB340" s="3">
        <v>719.6</v>
      </c>
      <c r="BC340" s="3">
        <v>719.6</v>
      </c>
      <c r="BD340" s="3">
        <v>719.6</v>
      </c>
      <c r="BE340" s="3">
        <v>719.6</v>
      </c>
      <c r="BF340" s="3">
        <v>719.6</v>
      </c>
      <c r="BG340" s="3">
        <v>784.4</v>
      </c>
      <c r="BH340" s="3">
        <v>784.4</v>
      </c>
      <c r="BI340" s="3">
        <v>849.2</v>
      </c>
      <c r="BJ340" s="3">
        <v>913.9</v>
      </c>
      <c r="BK340" s="3">
        <v>1005.3</v>
      </c>
      <c r="BL340" s="3">
        <v>1343.5</v>
      </c>
      <c r="BM340" s="3">
        <v>1105.8</v>
      </c>
      <c r="BN340" s="3">
        <v>1398.3</v>
      </c>
      <c r="BO340" s="3">
        <v>1105.8</v>
      </c>
      <c r="BP340" s="3">
        <v>1188.0999999999999</v>
      </c>
      <c r="BQ340" s="3">
        <v>1608</v>
      </c>
      <c r="BR340" s="3">
        <v>1608</v>
      </c>
      <c r="BS340" s="3">
        <v>1711.5</v>
      </c>
      <c r="BT340" s="3">
        <v>1711.5</v>
      </c>
      <c r="BU340" s="3">
        <v>2139.4</v>
      </c>
      <c r="BV340" s="3">
        <v>2824</v>
      </c>
      <c r="BW340" s="3">
        <v>2772.7</v>
      </c>
      <c r="BX340" s="3">
        <v>3029.4</v>
      </c>
      <c r="BY340" s="3">
        <v>2772.7</v>
      </c>
      <c r="BZ340" s="3">
        <v>2772.7</v>
      </c>
      <c r="CA340" s="3">
        <v>3271.7</v>
      </c>
      <c r="CB340" s="3">
        <v>3605</v>
      </c>
      <c r="CC340" s="3">
        <v>4453.2</v>
      </c>
      <c r="CD340" s="3">
        <v>4665.3</v>
      </c>
      <c r="CE340" s="3">
        <v>5131.8</v>
      </c>
      <c r="CF340" s="3">
        <v>5318.4</v>
      </c>
      <c r="CG340" s="3">
        <v>6008.9</v>
      </c>
      <c r="CH340" s="3">
        <v>6134.8</v>
      </c>
      <c r="CI340" s="3">
        <v>6134.8</v>
      </c>
      <c r="CJ340" s="3">
        <v>6344.8</v>
      </c>
      <c r="CK340" s="3">
        <v>6776.2</v>
      </c>
      <c r="CL340" s="3">
        <v>7175.9</v>
      </c>
      <c r="CM340" s="3">
        <v>7277.4</v>
      </c>
      <c r="CN340" s="3">
        <v>7277.4</v>
      </c>
      <c r="CO340" s="3">
        <v>8012.4</v>
      </c>
      <c r="CP340" s="3">
        <v>8012.4</v>
      </c>
      <c r="CQ340" s="3">
        <v>8310.7999999999993</v>
      </c>
      <c r="CR340" s="3">
        <v>8310.7999999999993</v>
      </c>
      <c r="CS340" s="3">
        <v>8310.7999999999993</v>
      </c>
      <c r="CT340" s="3">
        <v>8310.7999999999993</v>
      </c>
    </row>
    <row r="341" spans="1:98" ht="25.5">
      <c r="A341" s="4" t="s">
        <v>437</v>
      </c>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v>495</v>
      </c>
      <c r="AR341" s="5">
        <v>495</v>
      </c>
      <c r="AS341" s="5">
        <v>504</v>
      </c>
      <c r="AT341" s="5">
        <v>504</v>
      </c>
      <c r="AU341" s="5">
        <v>544.29999999999995</v>
      </c>
      <c r="AV341" s="5">
        <v>544.29999999999995</v>
      </c>
      <c r="AW341" s="5">
        <v>559.4</v>
      </c>
      <c r="AX341" s="5">
        <v>559.4</v>
      </c>
      <c r="AY341" s="5">
        <v>559.4</v>
      </c>
      <c r="AZ341" s="5">
        <v>559.4</v>
      </c>
      <c r="BA341" s="5">
        <v>554.9</v>
      </c>
      <c r="BB341" s="5">
        <v>554.9</v>
      </c>
      <c r="BC341" s="5">
        <v>554.9</v>
      </c>
      <c r="BD341" s="5">
        <v>554.9</v>
      </c>
      <c r="BE341" s="5">
        <v>543.79999999999995</v>
      </c>
      <c r="BF341" s="5">
        <v>543.79999999999995</v>
      </c>
      <c r="BG341" s="5">
        <v>560.1</v>
      </c>
      <c r="BH341" s="5">
        <v>560.1</v>
      </c>
      <c r="BI341" s="5">
        <v>581.9</v>
      </c>
      <c r="BJ341" s="5">
        <v>636.29999999999995</v>
      </c>
      <c r="BK341" s="5">
        <v>763.5</v>
      </c>
      <c r="BL341" s="5">
        <v>1240.7</v>
      </c>
      <c r="BM341" s="5">
        <v>954.4</v>
      </c>
      <c r="BN341" s="5">
        <v>1240.7</v>
      </c>
      <c r="BO341" s="5">
        <v>1272.5999999999999</v>
      </c>
      <c r="BP341" s="5">
        <v>1272.5999999999999</v>
      </c>
      <c r="BQ341" s="5">
        <v>1550.9</v>
      </c>
      <c r="BR341" s="5">
        <v>1526.1</v>
      </c>
      <c r="BS341" s="5">
        <v>1550.9</v>
      </c>
      <c r="BT341" s="5">
        <v>1650.2</v>
      </c>
      <c r="BU341" s="5">
        <v>1980.2</v>
      </c>
      <c r="BV341" s="5">
        <v>3019.8</v>
      </c>
      <c r="BW341" s="5">
        <v>2722.8</v>
      </c>
      <c r="BX341" s="5">
        <v>3019.8</v>
      </c>
      <c r="BY341" s="5">
        <v>2722.8</v>
      </c>
      <c r="BZ341" s="5">
        <v>2805.3</v>
      </c>
      <c r="CA341" s="5">
        <v>3835.2</v>
      </c>
      <c r="CB341" s="5">
        <v>3835.2</v>
      </c>
      <c r="CC341" s="5">
        <v>3925.8</v>
      </c>
      <c r="CD341" s="5">
        <v>4137.2</v>
      </c>
      <c r="CE341" s="5">
        <v>4509.6000000000004</v>
      </c>
      <c r="CF341" s="5">
        <v>5171.5</v>
      </c>
      <c r="CG341" s="5">
        <v>5378.3</v>
      </c>
      <c r="CH341" s="5">
        <v>5841.7</v>
      </c>
      <c r="CI341" s="5">
        <v>6921.5</v>
      </c>
      <c r="CJ341" s="5">
        <v>7351.8</v>
      </c>
      <c r="CK341" s="5">
        <v>6984.2</v>
      </c>
      <c r="CL341" s="5">
        <v>7013.6</v>
      </c>
      <c r="CM341" s="5">
        <v>7013.6</v>
      </c>
      <c r="CN341" s="5">
        <v>7190</v>
      </c>
      <c r="CO341" s="5">
        <v>8592.1</v>
      </c>
      <c r="CP341" s="5">
        <v>9641.7999999999993</v>
      </c>
      <c r="CQ341" s="5">
        <v>8175</v>
      </c>
      <c r="CR341" s="5">
        <v>10547.7</v>
      </c>
      <c r="CS341" s="5">
        <v>10547.7</v>
      </c>
      <c r="CT341" s="5">
        <v>10547.7</v>
      </c>
    </row>
    <row r="342" spans="1:98" ht="25.5">
      <c r="A342" s="2" t="s">
        <v>438</v>
      </c>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v>477</v>
      </c>
      <c r="AR342" s="3">
        <v>477</v>
      </c>
      <c r="AS342" s="3">
        <v>480</v>
      </c>
      <c r="AT342" s="3">
        <v>493.5</v>
      </c>
      <c r="AU342" s="3">
        <v>559.6</v>
      </c>
      <c r="AV342" s="3">
        <v>563.6</v>
      </c>
      <c r="AW342" s="3">
        <v>574.4</v>
      </c>
      <c r="AX342" s="3">
        <v>574.4</v>
      </c>
      <c r="AY342" s="3">
        <v>580.79999999999995</v>
      </c>
      <c r="AZ342" s="3">
        <v>600.1</v>
      </c>
      <c r="BA342" s="3">
        <v>557.9</v>
      </c>
      <c r="BB342" s="3">
        <v>547.70000000000005</v>
      </c>
      <c r="BC342" s="3">
        <v>556.6</v>
      </c>
      <c r="BD342" s="3">
        <v>569.79999999999995</v>
      </c>
      <c r="BE342" s="3">
        <v>588.5</v>
      </c>
      <c r="BF342" s="3">
        <v>609.1</v>
      </c>
      <c r="BG342" s="3">
        <v>614.9</v>
      </c>
      <c r="BH342" s="3">
        <v>623.5</v>
      </c>
      <c r="BI342" s="3">
        <v>690.7</v>
      </c>
      <c r="BJ342" s="3">
        <v>755.3</v>
      </c>
      <c r="BK342" s="3">
        <v>835.3</v>
      </c>
      <c r="BL342" s="3">
        <v>1264.3</v>
      </c>
      <c r="BM342" s="3">
        <v>1012.1</v>
      </c>
      <c r="BN342" s="3">
        <v>1228.0999999999999</v>
      </c>
      <c r="BO342" s="3">
        <v>1197.9000000000001</v>
      </c>
      <c r="BP342" s="3">
        <v>1451.6</v>
      </c>
      <c r="BQ342" s="3">
        <v>1395.8</v>
      </c>
      <c r="BR342" s="3">
        <v>1349.9</v>
      </c>
      <c r="BS342" s="3">
        <v>1342.5</v>
      </c>
      <c r="BT342" s="3">
        <v>1379.9</v>
      </c>
      <c r="BU342" s="3">
        <v>1782.8</v>
      </c>
      <c r="BV342" s="3">
        <v>2875.7</v>
      </c>
      <c r="BW342" s="3">
        <v>1876.6</v>
      </c>
      <c r="BX342" s="3">
        <v>2986</v>
      </c>
      <c r="BY342" s="3">
        <v>2069.8000000000002</v>
      </c>
      <c r="BZ342" s="3">
        <v>2367.9</v>
      </c>
      <c r="CA342" s="3">
        <v>3290.6</v>
      </c>
      <c r="CB342" s="3">
        <v>3362.3</v>
      </c>
      <c r="CC342" s="3">
        <v>3434</v>
      </c>
      <c r="CD342" s="3">
        <v>3463.8</v>
      </c>
      <c r="CE342" s="3">
        <v>4149.6000000000004</v>
      </c>
      <c r="CF342" s="3">
        <v>4083.6</v>
      </c>
      <c r="CG342" s="3">
        <v>4110.8999999999996</v>
      </c>
      <c r="CH342" s="3">
        <v>4052.7</v>
      </c>
      <c r="CI342" s="3">
        <v>4401.8</v>
      </c>
      <c r="CJ342" s="3">
        <v>4758.6000000000004</v>
      </c>
      <c r="CK342" s="3">
        <v>4868</v>
      </c>
      <c r="CL342" s="3">
        <v>4708.1000000000004</v>
      </c>
      <c r="CM342" s="3">
        <v>5019.3999999999996</v>
      </c>
      <c r="CN342" s="3">
        <v>5042.2</v>
      </c>
      <c r="CO342" s="3">
        <v>5181.3999999999996</v>
      </c>
      <c r="CP342" s="3">
        <v>5257</v>
      </c>
      <c r="CQ342" s="3">
        <v>5820.7</v>
      </c>
      <c r="CR342" s="3">
        <v>6573</v>
      </c>
      <c r="CS342" s="3">
        <v>6921.9</v>
      </c>
      <c r="CT342" s="3">
        <v>7070.2</v>
      </c>
    </row>
    <row r="343" spans="1:98" ht="25.5">
      <c r="A343" s="4" t="s">
        <v>439</v>
      </c>
      <c r="B343" s="5">
        <v>100</v>
      </c>
      <c r="C343" s="5">
        <v>109.3</v>
      </c>
      <c r="D343" s="5">
        <v>112.9</v>
      </c>
      <c r="E343" s="5">
        <v>115.1</v>
      </c>
      <c r="F343" s="5">
        <v>117.6</v>
      </c>
      <c r="G343" s="5">
        <v>136</v>
      </c>
      <c r="H343" s="5">
        <v>140.19999999999999</v>
      </c>
      <c r="I343" s="5">
        <v>143.30000000000001</v>
      </c>
      <c r="J343" s="5">
        <v>143.1</v>
      </c>
      <c r="K343" s="5">
        <v>151.6</v>
      </c>
      <c r="L343" s="5">
        <v>154</v>
      </c>
      <c r="M343" s="5">
        <v>157.30000000000001</v>
      </c>
      <c r="N343" s="5">
        <v>158.4</v>
      </c>
      <c r="O343" s="5">
        <v>171</v>
      </c>
      <c r="P343" s="5">
        <v>173</v>
      </c>
      <c r="Q343" s="5">
        <v>174</v>
      </c>
      <c r="R343" s="5">
        <v>174.3</v>
      </c>
      <c r="S343" s="5">
        <v>192.8</v>
      </c>
      <c r="T343" s="5">
        <v>195.5</v>
      </c>
      <c r="U343" s="5">
        <v>203.1</v>
      </c>
      <c r="V343" s="5">
        <v>208.4</v>
      </c>
      <c r="W343" s="5">
        <v>230.1</v>
      </c>
      <c r="X343" s="5">
        <v>233.1</v>
      </c>
      <c r="Y343" s="5">
        <v>235.6</v>
      </c>
      <c r="Z343" s="5">
        <v>236.1</v>
      </c>
      <c r="AA343" s="5">
        <v>253</v>
      </c>
      <c r="AB343" s="5">
        <v>256.39999999999998</v>
      </c>
      <c r="AC343" s="5">
        <v>259.39999999999998</v>
      </c>
      <c r="AD343" s="5">
        <v>262.2</v>
      </c>
      <c r="AE343" s="5">
        <v>279.3</v>
      </c>
      <c r="AF343" s="5">
        <v>281.10000000000002</v>
      </c>
      <c r="AG343" s="5">
        <v>286.5</v>
      </c>
      <c r="AH343" s="5">
        <v>317.8</v>
      </c>
      <c r="AI343" s="5">
        <v>335.5</v>
      </c>
      <c r="AJ343" s="5">
        <v>346</v>
      </c>
      <c r="AK343" s="5">
        <v>355.9</v>
      </c>
      <c r="AL343" s="5">
        <v>365.7</v>
      </c>
      <c r="AM343" s="5">
        <v>404.1</v>
      </c>
      <c r="AN343" s="5">
        <v>424</v>
      </c>
      <c r="AO343" s="5">
        <v>455.6</v>
      </c>
      <c r="AP343" s="5">
        <v>469.7</v>
      </c>
      <c r="AQ343" s="5">
        <v>525.70000000000005</v>
      </c>
      <c r="AR343" s="5">
        <v>536.4</v>
      </c>
      <c r="AS343" s="5">
        <v>546.9</v>
      </c>
      <c r="AT343" s="5">
        <v>557.79999999999995</v>
      </c>
      <c r="AU343" s="5">
        <v>641.1</v>
      </c>
      <c r="AV343" s="5">
        <v>653</v>
      </c>
      <c r="AW343" s="5">
        <v>662</v>
      </c>
      <c r="AX343" s="5">
        <v>670.5</v>
      </c>
      <c r="AY343" s="5">
        <v>731.1</v>
      </c>
      <c r="AZ343" s="5">
        <v>737</v>
      </c>
      <c r="BA343" s="5">
        <v>741.8</v>
      </c>
      <c r="BB343" s="5">
        <v>745.8</v>
      </c>
      <c r="BC343" s="5">
        <v>798.1</v>
      </c>
      <c r="BD343" s="5">
        <v>805.6</v>
      </c>
      <c r="BE343" s="5">
        <v>813.1</v>
      </c>
      <c r="BF343" s="5">
        <v>820.4</v>
      </c>
      <c r="BG343" s="5">
        <v>888.5</v>
      </c>
      <c r="BH343" s="5">
        <v>891.4</v>
      </c>
      <c r="BI343" s="5">
        <v>908.9</v>
      </c>
      <c r="BJ343" s="5">
        <v>917.6</v>
      </c>
      <c r="BK343" s="5">
        <v>1044.9000000000001</v>
      </c>
      <c r="BL343" s="5">
        <v>1178.2</v>
      </c>
      <c r="BM343" s="5">
        <v>1113.2</v>
      </c>
      <c r="BN343" s="5">
        <v>1219.4000000000001</v>
      </c>
      <c r="BO343" s="5">
        <v>1139.0999999999999</v>
      </c>
      <c r="BP343" s="5">
        <v>1160.4000000000001</v>
      </c>
      <c r="BQ343" s="5">
        <v>1467.2</v>
      </c>
      <c r="BR343" s="5">
        <v>1540.4</v>
      </c>
      <c r="BS343" s="5">
        <v>1593</v>
      </c>
      <c r="BT343" s="5">
        <v>1650.8</v>
      </c>
      <c r="BU343" s="5">
        <v>2017.6</v>
      </c>
      <c r="BV343" s="5">
        <v>2629.2</v>
      </c>
      <c r="BW343" s="5">
        <v>2261.6999999999998</v>
      </c>
      <c r="BX343" s="5">
        <v>2770.3</v>
      </c>
      <c r="BY343" s="5">
        <v>2303</v>
      </c>
      <c r="BZ343" s="5">
        <v>2389.1999999999998</v>
      </c>
      <c r="CA343" s="5">
        <v>3611.6</v>
      </c>
      <c r="CB343" s="5">
        <v>3827</v>
      </c>
      <c r="CC343" s="5">
        <v>3848.6</v>
      </c>
      <c r="CD343" s="5">
        <v>3914.9</v>
      </c>
      <c r="CE343" s="5">
        <v>4933.5</v>
      </c>
      <c r="CF343" s="5">
        <v>5046.6000000000004</v>
      </c>
      <c r="CG343" s="5">
        <v>5471.1</v>
      </c>
      <c r="CH343" s="5">
        <v>5735.6</v>
      </c>
      <c r="CI343" s="5">
        <v>5738</v>
      </c>
      <c r="CJ343" s="5">
        <v>5748.3</v>
      </c>
      <c r="CK343" s="5">
        <v>7003.8</v>
      </c>
      <c r="CL343" s="5">
        <v>7276</v>
      </c>
      <c r="CM343" s="5">
        <v>7424.6</v>
      </c>
      <c r="CN343" s="5">
        <v>7626.4</v>
      </c>
      <c r="CO343" s="5">
        <v>9378.4</v>
      </c>
      <c r="CP343" s="5">
        <v>9777.2999999999993</v>
      </c>
      <c r="CQ343" s="5">
        <v>9807</v>
      </c>
      <c r="CR343" s="5">
        <v>10314.1</v>
      </c>
      <c r="CS343" s="5">
        <v>10439.799999999999</v>
      </c>
      <c r="CT343" s="5">
        <v>10575.8</v>
      </c>
    </row>
    <row r="344" spans="1:98" ht="25.5">
      <c r="A344" s="2" t="s">
        <v>440</v>
      </c>
      <c r="B344" s="3">
        <v>100</v>
      </c>
      <c r="C344" s="3">
        <v>109.2</v>
      </c>
      <c r="D344" s="3">
        <v>112.8</v>
      </c>
      <c r="E344" s="3">
        <v>115</v>
      </c>
      <c r="F344" s="3">
        <v>117.5</v>
      </c>
      <c r="G344" s="3">
        <v>135.80000000000001</v>
      </c>
      <c r="H344" s="3">
        <v>139.9</v>
      </c>
      <c r="I344" s="3">
        <v>143</v>
      </c>
      <c r="J344" s="3">
        <v>142.80000000000001</v>
      </c>
      <c r="K344" s="3">
        <v>151.4</v>
      </c>
      <c r="L344" s="3">
        <v>153.69999999999999</v>
      </c>
      <c r="M344" s="3">
        <v>157.1</v>
      </c>
      <c r="N344" s="3">
        <v>158.1</v>
      </c>
      <c r="O344" s="3">
        <v>170.8</v>
      </c>
      <c r="P344" s="3">
        <v>172.7</v>
      </c>
      <c r="Q344" s="3">
        <v>173.7</v>
      </c>
      <c r="R344" s="3">
        <v>174</v>
      </c>
      <c r="S344" s="3">
        <v>191.5</v>
      </c>
      <c r="T344" s="3">
        <v>193.9</v>
      </c>
      <c r="U344" s="3">
        <v>201.9</v>
      </c>
      <c r="V344" s="3">
        <v>207.4</v>
      </c>
      <c r="W344" s="3">
        <v>229.2</v>
      </c>
      <c r="X344" s="3">
        <v>232</v>
      </c>
      <c r="Y344" s="3">
        <v>234.8</v>
      </c>
      <c r="Z344" s="3">
        <v>235.3</v>
      </c>
      <c r="AA344" s="3">
        <v>252</v>
      </c>
      <c r="AB344" s="3">
        <v>255.4</v>
      </c>
      <c r="AC344" s="3">
        <v>258.60000000000002</v>
      </c>
      <c r="AD344" s="3">
        <v>261.3</v>
      </c>
      <c r="AE344" s="3">
        <v>278.3</v>
      </c>
      <c r="AF344" s="3">
        <v>279.89999999999998</v>
      </c>
      <c r="AG344" s="3">
        <v>285.39999999999998</v>
      </c>
      <c r="AH344" s="3">
        <v>317.39999999999998</v>
      </c>
      <c r="AI344" s="3">
        <v>334.7</v>
      </c>
      <c r="AJ344" s="3">
        <v>345.3</v>
      </c>
      <c r="AK344" s="3">
        <v>356.1</v>
      </c>
      <c r="AL344" s="3">
        <v>366.2</v>
      </c>
      <c r="AM344" s="3">
        <v>404.1</v>
      </c>
      <c r="AN344" s="3">
        <v>425</v>
      </c>
      <c r="AO344" s="3">
        <v>458.4</v>
      </c>
      <c r="AP344" s="3">
        <v>472.9</v>
      </c>
      <c r="AQ344" s="3">
        <v>528.4</v>
      </c>
      <c r="AR344" s="3">
        <v>539.1</v>
      </c>
      <c r="AS344" s="3">
        <v>549.70000000000005</v>
      </c>
      <c r="AT344" s="3">
        <v>560.6</v>
      </c>
      <c r="AU344" s="3">
        <v>643.29999999999995</v>
      </c>
      <c r="AV344" s="3">
        <v>655</v>
      </c>
      <c r="AW344" s="3">
        <v>663.5</v>
      </c>
      <c r="AX344" s="3">
        <v>672.3</v>
      </c>
      <c r="AY344" s="3">
        <v>733.6</v>
      </c>
      <c r="AZ344" s="3">
        <v>739</v>
      </c>
      <c r="BA344" s="3">
        <v>743.1</v>
      </c>
      <c r="BB344" s="3">
        <v>746.9</v>
      </c>
      <c r="BC344" s="3">
        <v>799.2</v>
      </c>
      <c r="BD344" s="3">
        <v>806.7</v>
      </c>
      <c r="BE344" s="3">
        <v>814.1</v>
      </c>
      <c r="BF344" s="3">
        <v>821.6</v>
      </c>
      <c r="BG344" s="3">
        <v>889.8</v>
      </c>
      <c r="BH344" s="3">
        <v>892.3</v>
      </c>
      <c r="BI344" s="3">
        <v>910.3</v>
      </c>
      <c r="BJ344" s="3">
        <v>919.4</v>
      </c>
      <c r="BK344" s="3">
        <v>1046.3</v>
      </c>
      <c r="BL344" s="3">
        <v>1184.2</v>
      </c>
      <c r="BM344" s="3">
        <v>1117.0999999999999</v>
      </c>
      <c r="BN344" s="3">
        <v>1228.3</v>
      </c>
      <c r="BO344" s="3">
        <v>1143.7</v>
      </c>
      <c r="BP344" s="3">
        <v>1169.0999999999999</v>
      </c>
      <c r="BQ344" s="3">
        <v>1477.6</v>
      </c>
      <c r="BR344" s="3">
        <v>1551.3</v>
      </c>
      <c r="BS344" s="3">
        <v>1601.7</v>
      </c>
      <c r="BT344" s="3">
        <v>1663.1</v>
      </c>
      <c r="BU344" s="3">
        <v>2027.9</v>
      </c>
      <c r="BV344" s="3">
        <v>2654.1</v>
      </c>
      <c r="BW344" s="3">
        <v>2274</v>
      </c>
      <c r="BX344" s="3">
        <v>2800.9</v>
      </c>
      <c r="BY344" s="3">
        <v>2317.8000000000002</v>
      </c>
      <c r="BZ344" s="3">
        <v>2407.4</v>
      </c>
      <c r="CA344" s="3">
        <v>3658.9</v>
      </c>
      <c r="CB344" s="3">
        <v>3877.4</v>
      </c>
      <c r="CC344" s="3">
        <v>3895.2</v>
      </c>
      <c r="CD344" s="3">
        <v>3960.4</v>
      </c>
      <c r="CE344" s="3">
        <v>4982.2</v>
      </c>
      <c r="CF344" s="3">
        <v>5094.8999999999996</v>
      </c>
      <c r="CG344" s="3">
        <v>5512.3</v>
      </c>
      <c r="CH344" s="3">
        <v>5787.7</v>
      </c>
      <c r="CI344" s="3">
        <v>5789.5</v>
      </c>
      <c r="CJ344" s="3">
        <v>5802.5</v>
      </c>
      <c r="CK344" s="3">
        <v>7060.4</v>
      </c>
      <c r="CL344" s="3">
        <v>7327.8</v>
      </c>
      <c r="CM344" s="3">
        <v>7464.3</v>
      </c>
      <c r="CN344" s="3">
        <v>7674.8</v>
      </c>
      <c r="CO344" s="3">
        <v>9409.2999999999993</v>
      </c>
      <c r="CP344" s="3">
        <v>9785.4</v>
      </c>
      <c r="CQ344" s="3">
        <v>9846.7999999999993</v>
      </c>
      <c r="CR344" s="3">
        <v>10376.299999999999</v>
      </c>
      <c r="CS344" s="3">
        <v>10499.1</v>
      </c>
      <c r="CT344" s="3">
        <v>10645</v>
      </c>
    </row>
    <row r="345" spans="1:98" ht="25.5">
      <c r="A345" s="4" t="s">
        <v>441</v>
      </c>
      <c r="B345" s="5">
        <v>100</v>
      </c>
      <c r="C345" s="5">
        <v>109.2</v>
      </c>
      <c r="D345" s="5">
        <v>112.8</v>
      </c>
      <c r="E345" s="5">
        <v>115</v>
      </c>
      <c r="F345" s="5">
        <v>117.5</v>
      </c>
      <c r="G345" s="5">
        <v>135.80000000000001</v>
      </c>
      <c r="H345" s="5">
        <v>139.9</v>
      </c>
      <c r="I345" s="5">
        <v>143</v>
      </c>
      <c r="J345" s="5">
        <v>142.80000000000001</v>
      </c>
      <c r="K345" s="5">
        <v>151.4</v>
      </c>
      <c r="L345" s="5">
        <v>153.69999999999999</v>
      </c>
      <c r="M345" s="5">
        <v>157.1</v>
      </c>
      <c r="N345" s="5">
        <v>158.1</v>
      </c>
      <c r="O345" s="5">
        <v>170.8</v>
      </c>
      <c r="P345" s="5">
        <v>172.7</v>
      </c>
      <c r="Q345" s="5">
        <v>173.7</v>
      </c>
      <c r="R345" s="5">
        <v>174</v>
      </c>
      <c r="S345" s="5">
        <v>191.5</v>
      </c>
      <c r="T345" s="5">
        <v>193.9</v>
      </c>
      <c r="U345" s="5">
        <v>201.9</v>
      </c>
      <c r="V345" s="5">
        <v>207.4</v>
      </c>
      <c r="W345" s="5">
        <v>229.2</v>
      </c>
      <c r="X345" s="5">
        <v>232</v>
      </c>
      <c r="Y345" s="5">
        <v>234.8</v>
      </c>
      <c r="Z345" s="5">
        <v>235.3</v>
      </c>
      <c r="AA345" s="5">
        <v>252</v>
      </c>
      <c r="AB345" s="5">
        <v>255.4</v>
      </c>
      <c r="AC345" s="5">
        <v>258.60000000000002</v>
      </c>
      <c r="AD345" s="5">
        <v>261.3</v>
      </c>
      <c r="AE345" s="5">
        <v>278.3</v>
      </c>
      <c r="AF345" s="5">
        <v>279.89999999999998</v>
      </c>
      <c r="AG345" s="5">
        <v>285.39999999999998</v>
      </c>
      <c r="AH345" s="5">
        <v>317.39999999999998</v>
      </c>
      <c r="AI345" s="5">
        <v>334.7</v>
      </c>
      <c r="AJ345" s="5">
        <v>345.3</v>
      </c>
      <c r="AK345" s="5">
        <v>356.1</v>
      </c>
      <c r="AL345" s="5">
        <v>366.2</v>
      </c>
      <c r="AM345" s="5">
        <v>404.1</v>
      </c>
      <c r="AN345" s="5">
        <v>425</v>
      </c>
      <c r="AO345" s="5">
        <v>458.4</v>
      </c>
      <c r="AP345" s="5">
        <v>472.9</v>
      </c>
      <c r="AQ345" s="5">
        <v>528.4</v>
      </c>
      <c r="AR345" s="5">
        <v>539.1</v>
      </c>
      <c r="AS345" s="5">
        <v>549.70000000000005</v>
      </c>
      <c r="AT345" s="5">
        <v>560.6</v>
      </c>
      <c r="AU345" s="5">
        <v>643.29999999999995</v>
      </c>
      <c r="AV345" s="5">
        <v>655</v>
      </c>
      <c r="AW345" s="5">
        <v>663.5</v>
      </c>
      <c r="AX345" s="5">
        <v>672.2</v>
      </c>
      <c r="AY345" s="5">
        <v>733.6</v>
      </c>
      <c r="AZ345" s="5">
        <v>739</v>
      </c>
      <c r="BA345" s="5">
        <v>743.1</v>
      </c>
      <c r="BB345" s="5">
        <v>747.1</v>
      </c>
      <c r="BC345" s="5">
        <v>799.6</v>
      </c>
      <c r="BD345" s="5">
        <v>806.9</v>
      </c>
      <c r="BE345" s="5">
        <v>814.6</v>
      </c>
      <c r="BF345" s="5">
        <v>822.1</v>
      </c>
      <c r="BG345" s="5">
        <v>890.4</v>
      </c>
      <c r="BH345" s="5">
        <v>892.8</v>
      </c>
      <c r="BI345" s="5">
        <v>910.9</v>
      </c>
      <c r="BJ345" s="5">
        <v>919.8</v>
      </c>
      <c r="BK345" s="5">
        <v>1046.8</v>
      </c>
      <c r="BL345" s="5">
        <v>1184.4000000000001</v>
      </c>
      <c r="BM345" s="5">
        <v>1117.5</v>
      </c>
      <c r="BN345" s="5">
        <v>1228.8</v>
      </c>
      <c r="BO345" s="5">
        <v>1143.7</v>
      </c>
      <c r="BP345" s="5">
        <v>1167</v>
      </c>
      <c r="BQ345" s="5">
        <v>1477.7</v>
      </c>
      <c r="BR345" s="5">
        <v>1552.2</v>
      </c>
      <c r="BS345" s="5">
        <v>1602.3</v>
      </c>
      <c r="BT345" s="5">
        <v>1663.2</v>
      </c>
      <c r="BU345" s="5">
        <v>2027.9</v>
      </c>
      <c r="BV345" s="5">
        <v>2654.1</v>
      </c>
      <c r="BW345" s="5">
        <v>2274</v>
      </c>
      <c r="BX345" s="5">
        <v>2800.9</v>
      </c>
      <c r="BY345" s="5">
        <v>2317.8000000000002</v>
      </c>
      <c r="BZ345" s="5">
        <v>2407.4</v>
      </c>
      <c r="CA345" s="5">
        <v>3653.2</v>
      </c>
      <c r="CB345" s="5">
        <v>3869.1</v>
      </c>
      <c r="CC345" s="5">
        <v>3888</v>
      </c>
      <c r="CD345" s="5">
        <v>3960.4</v>
      </c>
      <c r="CE345" s="5">
        <v>4983.1000000000004</v>
      </c>
      <c r="CF345" s="5">
        <v>5094.8</v>
      </c>
      <c r="CG345" s="5">
        <v>5512.3</v>
      </c>
      <c r="CH345" s="5">
        <v>5787.7</v>
      </c>
      <c r="CI345" s="5">
        <v>5789.5</v>
      </c>
      <c r="CJ345" s="5">
        <v>5802.5</v>
      </c>
      <c r="CK345" s="5">
        <v>7060.4</v>
      </c>
      <c r="CL345" s="5">
        <v>7327.8</v>
      </c>
      <c r="CM345" s="5">
        <v>7464.3</v>
      </c>
      <c r="CN345" s="5">
        <v>7674.8</v>
      </c>
      <c r="CO345" s="5">
        <v>9424.2999999999993</v>
      </c>
      <c r="CP345" s="5">
        <v>9823.2999999999993</v>
      </c>
      <c r="CQ345" s="5">
        <v>9846.5</v>
      </c>
      <c r="CR345" s="5">
        <v>10378.299999999999</v>
      </c>
      <c r="CS345" s="5">
        <v>10500.1</v>
      </c>
      <c r="CT345" s="5">
        <v>10641.3</v>
      </c>
    </row>
    <row r="346" spans="1:98" ht="25.5">
      <c r="A346" s="2" t="s">
        <v>442</v>
      </c>
      <c r="B346" s="3">
        <v>100</v>
      </c>
      <c r="C346" s="3">
        <v>109.3</v>
      </c>
      <c r="D346" s="3">
        <v>112.8</v>
      </c>
      <c r="E346" s="3">
        <v>115.1</v>
      </c>
      <c r="F346" s="3">
        <v>117.7</v>
      </c>
      <c r="G346" s="3">
        <v>136</v>
      </c>
      <c r="H346" s="3">
        <v>140.1</v>
      </c>
      <c r="I346" s="3">
        <v>143.19999999999999</v>
      </c>
      <c r="J346" s="3">
        <v>143</v>
      </c>
      <c r="K346" s="3">
        <v>151.69999999999999</v>
      </c>
      <c r="L346" s="3">
        <v>154.1</v>
      </c>
      <c r="M346" s="3">
        <v>157.5</v>
      </c>
      <c r="N346" s="3">
        <v>158.5</v>
      </c>
      <c r="O346" s="3">
        <v>171.2</v>
      </c>
      <c r="P346" s="3">
        <v>173.1</v>
      </c>
      <c r="Q346" s="3">
        <v>174.2</v>
      </c>
      <c r="R346" s="3">
        <v>174.5</v>
      </c>
      <c r="S346" s="3">
        <v>191.9</v>
      </c>
      <c r="T346" s="3">
        <v>194.3</v>
      </c>
      <c r="U346" s="3">
        <v>202.4</v>
      </c>
      <c r="V346" s="3">
        <v>207.9</v>
      </c>
      <c r="W346" s="3">
        <v>229.8</v>
      </c>
      <c r="X346" s="3">
        <v>232.6</v>
      </c>
      <c r="Y346" s="3">
        <v>235.4</v>
      </c>
      <c r="Z346" s="3">
        <v>235.8</v>
      </c>
      <c r="AA346" s="3">
        <v>252.8</v>
      </c>
      <c r="AB346" s="3">
        <v>256.2</v>
      </c>
      <c r="AC346" s="3">
        <v>259.3</v>
      </c>
      <c r="AD346" s="3">
        <v>262.10000000000002</v>
      </c>
      <c r="AE346" s="3">
        <v>279</v>
      </c>
      <c r="AF346" s="3">
        <v>280.60000000000002</v>
      </c>
      <c r="AG346" s="3">
        <v>286.3</v>
      </c>
      <c r="AH346" s="3">
        <v>318.39999999999998</v>
      </c>
      <c r="AI346" s="3">
        <v>335.6</v>
      </c>
      <c r="AJ346" s="3">
        <v>346.5</v>
      </c>
      <c r="AK346" s="3">
        <v>357.3</v>
      </c>
      <c r="AL346" s="3">
        <v>367.4</v>
      </c>
      <c r="AM346" s="3">
        <v>405.6</v>
      </c>
      <c r="AN346" s="3">
        <v>426.5</v>
      </c>
      <c r="AO346" s="3">
        <v>460.1</v>
      </c>
      <c r="AP346" s="3">
        <v>474.8</v>
      </c>
      <c r="AQ346" s="3">
        <v>530.6</v>
      </c>
      <c r="AR346" s="3">
        <v>541.4</v>
      </c>
      <c r="AS346" s="3">
        <v>552.1</v>
      </c>
      <c r="AT346" s="3">
        <v>562.9</v>
      </c>
      <c r="AU346" s="3">
        <v>646.29999999999995</v>
      </c>
      <c r="AV346" s="3">
        <v>658.1</v>
      </c>
      <c r="AW346" s="3">
        <v>666.6</v>
      </c>
      <c r="AX346" s="3">
        <v>675.4</v>
      </c>
      <c r="AY346" s="3">
        <v>737.3</v>
      </c>
      <c r="AZ346" s="3">
        <v>742.7</v>
      </c>
      <c r="BA346" s="3">
        <v>746.7</v>
      </c>
      <c r="BB346" s="3">
        <v>750.7</v>
      </c>
      <c r="BC346" s="3">
        <v>803.4</v>
      </c>
      <c r="BD346" s="3">
        <v>810.8</v>
      </c>
      <c r="BE346" s="3">
        <v>818.4</v>
      </c>
      <c r="BF346" s="3">
        <v>826</v>
      </c>
      <c r="BG346" s="3">
        <v>894.9</v>
      </c>
      <c r="BH346" s="3">
        <v>896.9</v>
      </c>
      <c r="BI346" s="3">
        <v>915.4</v>
      </c>
      <c r="BJ346" s="3">
        <v>924.2</v>
      </c>
      <c r="BK346" s="3">
        <v>1051.8</v>
      </c>
      <c r="BL346" s="3">
        <v>1189.4000000000001</v>
      </c>
      <c r="BM346" s="3">
        <v>1122.7</v>
      </c>
      <c r="BN346" s="3">
        <v>1234.2</v>
      </c>
      <c r="BO346" s="3">
        <v>1148.5</v>
      </c>
      <c r="BP346" s="3">
        <v>1171.9000000000001</v>
      </c>
      <c r="BQ346" s="3">
        <v>1485.7</v>
      </c>
      <c r="BR346" s="3">
        <v>1560.9</v>
      </c>
      <c r="BS346" s="3">
        <v>1611.2</v>
      </c>
      <c r="BT346" s="3">
        <v>1672.7</v>
      </c>
      <c r="BU346" s="3">
        <v>2040.7</v>
      </c>
      <c r="BV346" s="3">
        <v>2669.3</v>
      </c>
      <c r="BW346" s="3">
        <v>2287.6999999999998</v>
      </c>
      <c r="BX346" s="3">
        <v>2816.4</v>
      </c>
      <c r="BY346" s="3">
        <v>2331.8000000000002</v>
      </c>
      <c r="BZ346" s="3">
        <v>2421.8000000000002</v>
      </c>
      <c r="CA346" s="3">
        <v>3676.1</v>
      </c>
      <c r="CB346" s="3">
        <v>3890</v>
      </c>
      <c r="CC346" s="3">
        <v>3907.3</v>
      </c>
      <c r="CD346" s="3">
        <v>3972.4</v>
      </c>
      <c r="CE346" s="3">
        <v>5003.1000000000004</v>
      </c>
      <c r="CF346" s="3">
        <v>5114.3999999999996</v>
      </c>
      <c r="CG346" s="3">
        <v>5547</v>
      </c>
      <c r="CH346" s="3">
        <v>5820.1</v>
      </c>
      <c r="CI346" s="3">
        <v>5821.9</v>
      </c>
      <c r="CJ346" s="3">
        <v>5833.8</v>
      </c>
      <c r="CK346" s="3">
        <v>7103.7</v>
      </c>
      <c r="CL346" s="3">
        <v>7372.5</v>
      </c>
      <c r="CM346" s="3">
        <v>7506.7</v>
      </c>
      <c r="CN346" s="3">
        <v>7718.4</v>
      </c>
      <c r="CO346" s="3">
        <v>9483.1</v>
      </c>
      <c r="CP346" s="3">
        <v>9883.5</v>
      </c>
      <c r="CQ346" s="3">
        <v>9905.5</v>
      </c>
      <c r="CR346" s="3">
        <v>10442.9</v>
      </c>
      <c r="CS346" s="3">
        <v>10562.9</v>
      </c>
      <c r="CT346" s="3">
        <v>10703.4</v>
      </c>
    </row>
    <row r="347" spans="1:98" ht="25.5">
      <c r="A347" s="4" t="s">
        <v>443</v>
      </c>
      <c r="B347" s="5">
        <v>100</v>
      </c>
      <c r="C347" s="5">
        <v>110.1</v>
      </c>
      <c r="D347" s="5">
        <v>112</v>
      </c>
      <c r="E347" s="5">
        <v>114.5</v>
      </c>
      <c r="F347" s="5">
        <v>119.7</v>
      </c>
      <c r="G347" s="5">
        <v>136.1</v>
      </c>
      <c r="H347" s="5">
        <v>138.1</v>
      </c>
      <c r="I347" s="5">
        <v>141.19999999999999</v>
      </c>
      <c r="J347" s="5">
        <v>141.1</v>
      </c>
      <c r="K347" s="5">
        <v>148</v>
      </c>
      <c r="L347" s="5">
        <v>150.80000000000001</v>
      </c>
      <c r="M347" s="5">
        <v>152.4</v>
      </c>
      <c r="N347" s="5">
        <v>152.9</v>
      </c>
      <c r="O347" s="5">
        <v>162</v>
      </c>
      <c r="P347" s="5">
        <v>163.19999999999999</v>
      </c>
      <c r="Q347" s="5">
        <v>165.2</v>
      </c>
      <c r="R347" s="5">
        <v>165.4</v>
      </c>
      <c r="S347" s="5">
        <v>179.7</v>
      </c>
      <c r="T347" s="5">
        <v>181</v>
      </c>
      <c r="U347" s="5">
        <v>188.5</v>
      </c>
      <c r="V347" s="5">
        <v>193.9</v>
      </c>
      <c r="W347" s="5">
        <v>215.6</v>
      </c>
      <c r="X347" s="5">
        <v>228.6</v>
      </c>
      <c r="Y347" s="5">
        <v>233.3</v>
      </c>
      <c r="Z347" s="5">
        <v>230.8</v>
      </c>
      <c r="AA347" s="5">
        <v>237.1</v>
      </c>
      <c r="AB347" s="5">
        <v>239.7</v>
      </c>
      <c r="AC347" s="5">
        <v>243.2</v>
      </c>
      <c r="AD347" s="5">
        <v>244.9</v>
      </c>
      <c r="AE347" s="5">
        <v>264.3</v>
      </c>
      <c r="AF347" s="5">
        <v>265.3</v>
      </c>
      <c r="AG347" s="5">
        <v>268.5</v>
      </c>
      <c r="AH347" s="5">
        <v>287</v>
      </c>
      <c r="AI347" s="5">
        <v>303</v>
      </c>
      <c r="AJ347" s="5">
        <v>314</v>
      </c>
      <c r="AK347" s="5">
        <v>321.60000000000002</v>
      </c>
      <c r="AL347" s="5">
        <v>338.3</v>
      </c>
      <c r="AM347" s="5">
        <v>360.7</v>
      </c>
      <c r="AN347" s="5">
        <v>379.3</v>
      </c>
      <c r="AO347" s="5">
        <v>409.5</v>
      </c>
      <c r="AP347" s="5">
        <v>431.4</v>
      </c>
      <c r="AQ347" s="5">
        <v>473.5</v>
      </c>
      <c r="AR347" s="5">
        <v>484.4</v>
      </c>
      <c r="AS347" s="5">
        <v>489.6</v>
      </c>
      <c r="AT347" s="5">
        <v>494.3</v>
      </c>
      <c r="AU347" s="5">
        <v>538.70000000000005</v>
      </c>
      <c r="AV347" s="5">
        <v>562.9</v>
      </c>
      <c r="AW347" s="5">
        <v>559.70000000000005</v>
      </c>
      <c r="AX347" s="5">
        <v>557.4</v>
      </c>
      <c r="AY347" s="5">
        <v>583.20000000000005</v>
      </c>
      <c r="AZ347" s="5">
        <v>585.29999999999995</v>
      </c>
      <c r="BA347" s="5">
        <v>582.9</v>
      </c>
      <c r="BB347" s="5">
        <v>576.29999999999995</v>
      </c>
      <c r="BC347" s="5">
        <v>605.20000000000005</v>
      </c>
      <c r="BD347" s="5">
        <v>613.29999999999995</v>
      </c>
      <c r="BE347" s="5">
        <v>630.1</v>
      </c>
      <c r="BF347" s="5">
        <v>640.20000000000005</v>
      </c>
      <c r="BG347" s="5">
        <v>686.7</v>
      </c>
      <c r="BH347" s="5">
        <v>693.2</v>
      </c>
      <c r="BI347" s="5">
        <v>708.5</v>
      </c>
      <c r="BJ347" s="5">
        <v>722.7</v>
      </c>
      <c r="BK347" s="5">
        <v>816.4</v>
      </c>
      <c r="BL347" s="5">
        <v>1015.1</v>
      </c>
      <c r="BM347" s="5">
        <v>888.4</v>
      </c>
      <c r="BN347" s="5">
        <v>1016.7</v>
      </c>
      <c r="BO347" s="5">
        <v>944.4</v>
      </c>
      <c r="BP347" s="5">
        <v>1000.3</v>
      </c>
      <c r="BQ347" s="5">
        <v>1165</v>
      </c>
      <c r="BR347" s="5">
        <v>1228.5999999999999</v>
      </c>
      <c r="BS347" s="5">
        <v>1261.7</v>
      </c>
      <c r="BT347" s="5">
        <v>1309.5999999999999</v>
      </c>
      <c r="BU347" s="5">
        <v>1542.1</v>
      </c>
      <c r="BV347" s="5">
        <v>2200.4</v>
      </c>
      <c r="BW347" s="5">
        <v>1801.1</v>
      </c>
      <c r="BX347" s="5">
        <v>2343.3000000000002</v>
      </c>
      <c r="BY347" s="5">
        <v>1852.6</v>
      </c>
      <c r="BZ347" s="5">
        <v>1945.9</v>
      </c>
      <c r="CA347" s="5">
        <v>2954.9</v>
      </c>
      <c r="CB347" s="5">
        <v>3279.5</v>
      </c>
      <c r="CC347" s="5">
        <v>3461.5</v>
      </c>
      <c r="CD347" s="5">
        <v>3551.7</v>
      </c>
      <c r="CE347" s="5">
        <v>4325.5</v>
      </c>
      <c r="CF347" s="5">
        <v>4394.3999999999996</v>
      </c>
      <c r="CG347" s="5">
        <v>4672.7</v>
      </c>
      <c r="CH347" s="5">
        <v>4981.5</v>
      </c>
      <c r="CI347" s="5">
        <v>5024.6000000000004</v>
      </c>
      <c r="CJ347" s="5">
        <v>5267.7</v>
      </c>
      <c r="CK347" s="5">
        <v>5991.8</v>
      </c>
      <c r="CL347" s="5">
        <v>6189.9</v>
      </c>
      <c r="CM347" s="5">
        <v>6349.3</v>
      </c>
      <c r="CN347" s="5">
        <v>6400.8</v>
      </c>
      <c r="CO347" s="5">
        <v>7540.7</v>
      </c>
      <c r="CP347" s="5">
        <v>8036.4</v>
      </c>
      <c r="CQ347" s="5">
        <v>8225.5</v>
      </c>
      <c r="CR347" s="5">
        <v>8730.2999999999993</v>
      </c>
      <c r="CS347" s="5">
        <v>9138.1</v>
      </c>
      <c r="CT347" s="5">
        <v>9608.1</v>
      </c>
    </row>
    <row r="348" spans="1:98" ht="25.5">
      <c r="A348" s="2" t="s">
        <v>444</v>
      </c>
      <c r="B348" s="3">
        <v>100</v>
      </c>
      <c r="C348" s="3">
        <v>109.1</v>
      </c>
      <c r="D348" s="3">
        <v>112.7</v>
      </c>
      <c r="E348" s="3">
        <v>114.9</v>
      </c>
      <c r="F348" s="3">
        <v>117.2</v>
      </c>
      <c r="G348" s="3">
        <v>134.30000000000001</v>
      </c>
      <c r="H348" s="3">
        <v>138.1</v>
      </c>
      <c r="I348" s="3">
        <v>141.1</v>
      </c>
      <c r="J348" s="3">
        <v>140.9</v>
      </c>
      <c r="K348" s="3">
        <v>149.19999999999999</v>
      </c>
      <c r="L348" s="3">
        <v>151.30000000000001</v>
      </c>
      <c r="M348" s="3">
        <v>154.30000000000001</v>
      </c>
      <c r="N348" s="3">
        <v>155.19999999999999</v>
      </c>
      <c r="O348" s="3">
        <v>168.5</v>
      </c>
      <c r="P348" s="3">
        <v>170.6</v>
      </c>
      <c r="Q348" s="3">
        <v>171.7</v>
      </c>
      <c r="R348" s="3">
        <v>172</v>
      </c>
      <c r="S348" s="3">
        <v>189.7</v>
      </c>
      <c r="T348" s="3">
        <v>192.1</v>
      </c>
      <c r="U348" s="3">
        <v>199.3</v>
      </c>
      <c r="V348" s="3">
        <v>204.1</v>
      </c>
      <c r="W348" s="3">
        <v>226.7</v>
      </c>
      <c r="X348" s="3">
        <v>229.2</v>
      </c>
      <c r="Y348" s="3">
        <v>233</v>
      </c>
      <c r="Z348" s="3">
        <v>233.8</v>
      </c>
      <c r="AA348" s="3">
        <v>251.8</v>
      </c>
      <c r="AB348" s="3">
        <v>254.7</v>
      </c>
      <c r="AC348" s="3">
        <v>258.89999999999998</v>
      </c>
      <c r="AD348" s="3">
        <v>262.3</v>
      </c>
      <c r="AE348" s="3">
        <v>280.39999999999998</v>
      </c>
      <c r="AF348" s="3">
        <v>282.2</v>
      </c>
      <c r="AG348" s="3">
        <v>288</v>
      </c>
      <c r="AH348" s="3">
        <v>310.2</v>
      </c>
      <c r="AI348" s="3">
        <v>329.9</v>
      </c>
      <c r="AJ348" s="3">
        <v>338.4</v>
      </c>
      <c r="AK348" s="3">
        <v>347.1</v>
      </c>
      <c r="AL348" s="3">
        <v>354.5</v>
      </c>
      <c r="AM348" s="3">
        <v>392.7</v>
      </c>
      <c r="AN348" s="3">
        <v>411</v>
      </c>
      <c r="AO348" s="3">
        <v>439.3</v>
      </c>
      <c r="AP348" s="3">
        <v>451</v>
      </c>
      <c r="AQ348" s="3">
        <v>507.3</v>
      </c>
      <c r="AR348" s="3">
        <v>517.1</v>
      </c>
      <c r="AS348" s="3">
        <v>529.79999999999995</v>
      </c>
      <c r="AT348" s="3">
        <v>541.9</v>
      </c>
      <c r="AU348" s="3">
        <v>626</v>
      </c>
      <c r="AV348" s="3">
        <v>637.20000000000005</v>
      </c>
      <c r="AW348" s="3">
        <v>646.20000000000005</v>
      </c>
      <c r="AX348" s="3">
        <v>655.6</v>
      </c>
      <c r="AY348" s="3">
        <v>719.9</v>
      </c>
      <c r="AZ348" s="3">
        <v>725.7</v>
      </c>
      <c r="BA348" s="3">
        <v>730.5</v>
      </c>
      <c r="BB348" s="3">
        <v>735.3</v>
      </c>
      <c r="BC348" s="3">
        <v>791.5</v>
      </c>
      <c r="BD348" s="3">
        <v>798.7</v>
      </c>
      <c r="BE348" s="3">
        <v>806.2</v>
      </c>
      <c r="BF348" s="3">
        <v>813.6</v>
      </c>
      <c r="BG348" s="3">
        <v>884.3</v>
      </c>
      <c r="BH348" s="3">
        <v>887.7</v>
      </c>
      <c r="BI348" s="3">
        <v>903.1</v>
      </c>
      <c r="BJ348" s="3">
        <v>911.7</v>
      </c>
      <c r="BK348" s="3">
        <v>1043.2</v>
      </c>
      <c r="BL348" s="3">
        <v>1147.7</v>
      </c>
      <c r="BM348" s="3">
        <v>1099.0999999999999</v>
      </c>
      <c r="BN348" s="3">
        <v>1184.2</v>
      </c>
      <c r="BO348" s="3">
        <v>1115.3</v>
      </c>
      <c r="BP348" s="3">
        <v>1129.9000000000001</v>
      </c>
      <c r="BQ348" s="3">
        <v>1435.7</v>
      </c>
      <c r="BR348" s="3">
        <v>1503.2</v>
      </c>
      <c r="BS348" s="3">
        <v>1540</v>
      </c>
      <c r="BT348" s="3">
        <v>1588.1</v>
      </c>
      <c r="BU348" s="3">
        <v>1939.9</v>
      </c>
      <c r="BV348" s="3">
        <v>2456.1</v>
      </c>
      <c r="BW348" s="3">
        <v>2146.6</v>
      </c>
      <c r="BX348" s="3">
        <v>2587</v>
      </c>
      <c r="BY348" s="3">
        <v>2174.1999999999998</v>
      </c>
      <c r="BZ348" s="3">
        <v>2230.3000000000002</v>
      </c>
      <c r="CA348" s="3">
        <v>3385</v>
      </c>
      <c r="CB348" s="3">
        <v>3563.1</v>
      </c>
      <c r="CC348" s="3">
        <v>3573.4</v>
      </c>
      <c r="CD348" s="3">
        <v>3614</v>
      </c>
      <c r="CE348" s="3">
        <v>4612.8</v>
      </c>
      <c r="CF348" s="3">
        <v>4707.1000000000004</v>
      </c>
      <c r="CG348" s="3">
        <v>5040.6000000000004</v>
      </c>
      <c r="CH348" s="3">
        <v>5287.2</v>
      </c>
      <c r="CI348" s="3">
        <v>5288.4</v>
      </c>
      <c r="CJ348" s="3">
        <v>5296.8</v>
      </c>
      <c r="CK348" s="3">
        <v>6488.9</v>
      </c>
      <c r="CL348" s="3">
        <v>6720.3</v>
      </c>
      <c r="CM348" s="3">
        <v>6863.7</v>
      </c>
      <c r="CN348" s="3">
        <v>7050.9</v>
      </c>
      <c r="CO348" s="3">
        <v>8717.1</v>
      </c>
      <c r="CP348" s="3">
        <v>9072.1</v>
      </c>
      <c r="CQ348" s="3">
        <v>9088.9</v>
      </c>
      <c r="CR348" s="3">
        <v>9527.9</v>
      </c>
      <c r="CS348" s="3">
        <v>9626.1</v>
      </c>
      <c r="CT348" s="3">
        <v>9738.6</v>
      </c>
    </row>
    <row r="349" spans="1:98" ht="25.5">
      <c r="A349" s="4" t="s">
        <v>445</v>
      </c>
      <c r="B349" s="5">
        <v>100</v>
      </c>
      <c r="C349" s="5">
        <v>109.2</v>
      </c>
      <c r="D349" s="5">
        <v>112.4</v>
      </c>
      <c r="E349" s="5">
        <v>114.2</v>
      </c>
      <c r="F349" s="5">
        <v>116.1</v>
      </c>
      <c r="G349" s="5">
        <v>133.6</v>
      </c>
      <c r="H349" s="5">
        <v>136.9</v>
      </c>
      <c r="I349" s="5">
        <v>139.1</v>
      </c>
      <c r="J349" s="5">
        <v>139.1</v>
      </c>
      <c r="K349" s="5">
        <v>146</v>
      </c>
      <c r="L349" s="5">
        <v>147.9</v>
      </c>
      <c r="M349" s="5">
        <v>150.6</v>
      </c>
      <c r="N349" s="5">
        <v>151.5</v>
      </c>
      <c r="O349" s="5">
        <v>161.80000000000001</v>
      </c>
      <c r="P349" s="5">
        <v>163.19999999999999</v>
      </c>
      <c r="Q349" s="5">
        <v>164.4</v>
      </c>
      <c r="R349" s="5">
        <v>164.6</v>
      </c>
      <c r="S349" s="5">
        <v>179.7</v>
      </c>
      <c r="T349" s="5">
        <v>181.7</v>
      </c>
      <c r="U349" s="5">
        <v>189.6</v>
      </c>
      <c r="V349" s="5">
        <v>194.5</v>
      </c>
      <c r="W349" s="5">
        <v>235</v>
      </c>
      <c r="X349" s="5">
        <v>237.2</v>
      </c>
      <c r="Y349" s="5">
        <v>240.2</v>
      </c>
      <c r="Z349" s="5">
        <v>240.9</v>
      </c>
      <c r="AA349" s="5">
        <v>253.9</v>
      </c>
      <c r="AB349" s="5">
        <v>256.8</v>
      </c>
      <c r="AC349" s="5">
        <v>260.39999999999998</v>
      </c>
      <c r="AD349" s="5">
        <v>262.8</v>
      </c>
      <c r="AE349" s="5">
        <v>279.10000000000002</v>
      </c>
      <c r="AF349" s="5">
        <v>280.5</v>
      </c>
      <c r="AG349" s="5">
        <v>284.10000000000002</v>
      </c>
      <c r="AH349" s="5">
        <v>316.5</v>
      </c>
      <c r="AI349" s="5">
        <v>336.7</v>
      </c>
      <c r="AJ349" s="5">
        <v>345</v>
      </c>
      <c r="AK349" s="5">
        <v>368.5</v>
      </c>
      <c r="AL349" s="5">
        <v>382.4</v>
      </c>
      <c r="AM349" s="5">
        <v>419.9</v>
      </c>
      <c r="AN349" s="5">
        <v>443.1</v>
      </c>
      <c r="AO349" s="5">
        <v>475</v>
      </c>
      <c r="AP349" s="5">
        <v>502.4</v>
      </c>
      <c r="AQ349" s="5">
        <v>548.5</v>
      </c>
      <c r="AR349" s="5">
        <v>558.1</v>
      </c>
      <c r="AS349" s="5">
        <v>571.9</v>
      </c>
      <c r="AT349" s="5">
        <v>581.9</v>
      </c>
      <c r="AU349" s="5">
        <v>648.20000000000005</v>
      </c>
      <c r="AV349" s="5">
        <v>661.8</v>
      </c>
      <c r="AW349" s="5">
        <v>664.5</v>
      </c>
      <c r="AX349" s="5">
        <v>670.4</v>
      </c>
      <c r="AY349" s="5">
        <v>718.7</v>
      </c>
      <c r="AZ349" s="5">
        <v>723</v>
      </c>
      <c r="BA349" s="5">
        <v>718.7</v>
      </c>
      <c r="BB349" s="5">
        <v>700.9</v>
      </c>
      <c r="BC349" s="5">
        <v>745.5</v>
      </c>
      <c r="BD349" s="5">
        <v>757.4</v>
      </c>
      <c r="BE349" s="5">
        <v>770.8</v>
      </c>
      <c r="BF349" s="5">
        <v>785.4</v>
      </c>
      <c r="BG349" s="5">
        <v>844.5</v>
      </c>
      <c r="BH349" s="5">
        <v>847.3</v>
      </c>
      <c r="BI349" s="5">
        <v>865.1</v>
      </c>
      <c r="BJ349" s="5">
        <v>883.6</v>
      </c>
      <c r="BK349" s="5">
        <v>997.3</v>
      </c>
      <c r="BL349" s="5">
        <v>1193.4000000000001</v>
      </c>
      <c r="BM349" s="5">
        <v>1072.5999999999999</v>
      </c>
      <c r="BN349" s="5">
        <v>1220</v>
      </c>
      <c r="BO349" s="5">
        <v>1108.3</v>
      </c>
      <c r="BP349" s="5">
        <v>1193.9000000000001</v>
      </c>
      <c r="BQ349" s="5">
        <v>1439.9</v>
      </c>
      <c r="BR349" s="5">
        <v>1508.4</v>
      </c>
      <c r="BS349" s="5">
        <v>1550.5</v>
      </c>
      <c r="BT349" s="5">
        <v>1601.8</v>
      </c>
      <c r="BU349" s="5">
        <v>1925.9</v>
      </c>
      <c r="BV349" s="5">
        <v>2554.4</v>
      </c>
      <c r="BW349" s="5">
        <v>2162</v>
      </c>
      <c r="BX349" s="5">
        <v>2686.2</v>
      </c>
      <c r="BY349" s="5">
        <v>2203.6999999999998</v>
      </c>
      <c r="BZ349" s="5">
        <v>2306.6</v>
      </c>
      <c r="CA349" s="5">
        <v>3456.8</v>
      </c>
      <c r="CB349" s="5">
        <v>3688.9</v>
      </c>
      <c r="CC349" s="5">
        <v>3763.1</v>
      </c>
      <c r="CD349" s="5">
        <v>3837.3</v>
      </c>
      <c r="CE349" s="5">
        <v>4772.2</v>
      </c>
      <c r="CF349" s="5">
        <v>4870.3</v>
      </c>
      <c r="CG349" s="5">
        <v>5191.8999999999996</v>
      </c>
      <c r="CH349" s="5">
        <v>5503.1</v>
      </c>
      <c r="CI349" s="5">
        <v>5541</v>
      </c>
      <c r="CJ349" s="5">
        <v>5667.5</v>
      </c>
      <c r="CK349" s="5">
        <v>6754.8</v>
      </c>
      <c r="CL349" s="5">
        <v>6978</v>
      </c>
      <c r="CM349" s="5">
        <v>7147.2</v>
      </c>
      <c r="CN349" s="5">
        <v>7354.1</v>
      </c>
      <c r="CO349" s="5">
        <v>8980.6</v>
      </c>
      <c r="CP349" s="5">
        <v>9361.2999999999993</v>
      </c>
      <c r="CQ349" s="5">
        <v>9414</v>
      </c>
      <c r="CR349" s="5">
        <v>9954.6</v>
      </c>
      <c r="CS349" s="5">
        <v>10192.6</v>
      </c>
      <c r="CT349" s="5">
        <v>10345.1</v>
      </c>
    </row>
    <row r="350" spans="1:98" ht="25.5">
      <c r="A350" s="2" t="s">
        <v>446</v>
      </c>
      <c r="B350" s="3">
        <v>100</v>
      </c>
      <c r="C350" s="3">
        <v>98.9</v>
      </c>
      <c r="D350" s="3">
        <v>97.7</v>
      </c>
      <c r="E350" s="3">
        <v>98.5</v>
      </c>
      <c r="F350" s="3">
        <v>118.7</v>
      </c>
      <c r="G350" s="3">
        <v>143.69999999999999</v>
      </c>
      <c r="H350" s="3">
        <v>148.5</v>
      </c>
      <c r="I350" s="3">
        <v>151.4</v>
      </c>
      <c r="J350" s="3">
        <v>142.30000000000001</v>
      </c>
      <c r="K350" s="3">
        <v>137.5</v>
      </c>
      <c r="L350" s="3">
        <v>128.4</v>
      </c>
      <c r="M350" s="3">
        <v>127.2</v>
      </c>
      <c r="N350" s="3">
        <v>128.5</v>
      </c>
      <c r="O350" s="3">
        <v>154.5</v>
      </c>
      <c r="P350" s="3">
        <v>183.4</v>
      </c>
      <c r="Q350" s="3">
        <v>198.5</v>
      </c>
      <c r="R350" s="3">
        <v>203.1</v>
      </c>
      <c r="S350" s="3">
        <v>218.3</v>
      </c>
      <c r="T350" s="3">
        <v>205.3</v>
      </c>
      <c r="U350" s="3">
        <v>236.9</v>
      </c>
      <c r="V350" s="3">
        <v>259.60000000000002</v>
      </c>
      <c r="W350" s="3">
        <v>322.89999999999998</v>
      </c>
      <c r="X350" s="3">
        <v>366.8</v>
      </c>
      <c r="Y350" s="3">
        <v>257.10000000000002</v>
      </c>
      <c r="Z350" s="3">
        <v>211.8</v>
      </c>
      <c r="AA350" s="3">
        <v>197.3</v>
      </c>
      <c r="AB350" s="3">
        <v>204.2</v>
      </c>
      <c r="AC350" s="3">
        <v>200.5</v>
      </c>
      <c r="AD350" s="3">
        <v>230.1</v>
      </c>
      <c r="AE350" s="3">
        <v>251.2</v>
      </c>
      <c r="AF350" s="3">
        <v>259.2</v>
      </c>
      <c r="AG350" s="3">
        <v>280.8</v>
      </c>
      <c r="AH350" s="3">
        <v>275.89999999999998</v>
      </c>
      <c r="AI350" s="3">
        <v>281.60000000000002</v>
      </c>
      <c r="AJ350" s="3">
        <v>297.10000000000002</v>
      </c>
      <c r="AK350" s="3">
        <v>311.8</v>
      </c>
      <c r="AL350" s="3">
        <v>362.5</v>
      </c>
      <c r="AM350" s="3">
        <v>414.7</v>
      </c>
      <c r="AN350" s="3">
        <v>511.8</v>
      </c>
      <c r="AO350" s="3">
        <v>593.1</v>
      </c>
      <c r="AP350" s="3">
        <v>595.70000000000005</v>
      </c>
      <c r="AQ350" s="3">
        <v>600.79999999999995</v>
      </c>
      <c r="AR350" s="3">
        <v>601</v>
      </c>
      <c r="AS350" s="3">
        <v>591.9</v>
      </c>
      <c r="AT350" s="3">
        <v>558</v>
      </c>
      <c r="AU350" s="3">
        <v>607.5</v>
      </c>
      <c r="AV350" s="3">
        <v>593</v>
      </c>
      <c r="AW350" s="3">
        <v>591.29999999999995</v>
      </c>
      <c r="AX350" s="3">
        <v>550.5</v>
      </c>
      <c r="AY350" s="3">
        <v>523.6</v>
      </c>
      <c r="AZ350" s="3">
        <v>510.4</v>
      </c>
      <c r="BA350" s="3">
        <v>479.7</v>
      </c>
      <c r="BB350" s="3">
        <v>446.6</v>
      </c>
      <c r="BC350" s="3">
        <v>522.5</v>
      </c>
      <c r="BD350" s="3">
        <v>523.20000000000005</v>
      </c>
      <c r="BE350" s="3">
        <v>549.79999999999995</v>
      </c>
      <c r="BF350" s="3">
        <v>541.20000000000005</v>
      </c>
      <c r="BG350" s="3">
        <v>557.29999999999995</v>
      </c>
      <c r="BH350" s="3">
        <v>674.7</v>
      </c>
      <c r="BI350" s="3">
        <v>700.3</v>
      </c>
      <c r="BJ350" s="3">
        <v>737.7</v>
      </c>
      <c r="BK350" s="3">
        <v>908.7</v>
      </c>
      <c r="BL350" s="3">
        <v>1280.8</v>
      </c>
      <c r="BM350" s="3">
        <v>1025.9000000000001</v>
      </c>
      <c r="BN350" s="3">
        <v>1275.5999999999999</v>
      </c>
      <c r="BO350" s="3">
        <v>1316.8</v>
      </c>
      <c r="BP350" s="3">
        <v>1380.3</v>
      </c>
      <c r="BQ350" s="3">
        <v>1497.8</v>
      </c>
      <c r="BR350" s="3">
        <v>1341.3</v>
      </c>
      <c r="BS350" s="3">
        <v>1390.9</v>
      </c>
      <c r="BT350" s="3">
        <v>1723.3</v>
      </c>
      <c r="BU350" s="3">
        <v>1956</v>
      </c>
      <c r="BV350" s="3">
        <v>3545.1</v>
      </c>
      <c r="BW350" s="3">
        <v>2928.6</v>
      </c>
      <c r="BX350" s="3">
        <v>3761.4</v>
      </c>
      <c r="BY350" s="3">
        <v>3218.5</v>
      </c>
      <c r="BZ350" s="3">
        <v>3350.4</v>
      </c>
      <c r="CA350" s="3">
        <v>4151.5</v>
      </c>
      <c r="CB350" s="3">
        <v>4808.5</v>
      </c>
      <c r="CC350" s="3">
        <v>4685.2</v>
      </c>
      <c r="CD350" s="3">
        <v>4615.8</v>
      </c>
      <c r="CE350" s="3">
        <v>5361.8</v>
      </c>
      <c r="CF350" s="3">
        <v>4940</v>
      </c>
      <c r="CG350" s="3">
        <v>4931.1000000000004</v>
      </c>
      <c r="CH350" s="3">
        <v>5804.3</v>
      </c>
      <c r="CI350" s="3">
        <v>6515</v>
      </c>
      <c r="CJ350" s="3">
        <v>7691.1</v>
      </c>
      <c r="CK350" s="3">
        <v>7751.9</v>
      </c>
      <c r="CL350" s="3">
        <v>7344.3</v>
      </c>
      <c r="CM350" s="3">
        <v>7041.4</v>
      </c>
      <c r="CN350" s="3">
        <v>7403.7</v>
      </c>
      <c r="CO350" s="3">
        <v>8210.4</v>
      </c>
      <c r="CP350" s="3">
        <v>8618.4</v>
      </c>
      <c r="CQ350" s="3">
        <v>8943.2999999999993</v>
      </c>
      <c r="CR350" s="3">
        <v>9434.4</v>
      </c>
      <c r="CS350" s="3">
        <v>9942.2999999999993</v>
      </c>
      <c r="CT350" s="3">
        <v>10826.5</v>
      </c>
    </row>
    <row r="351" spans="1:98">
      <c r="A351" s="4" t="s">
        <v>447</v>
      </c>
      <c r="B351" s="5">
        <v>100</v>
      </c>
      <c r="C351" s="5">
        <v>108.5</v>
      </c>
      <c r="D351" s="5">
        <v>112.4</v>
      </c>
      <c r="E351" s="5">
        <v>114.9</v>
      </c>
      <c r="F351" s="5">
        <v>117.5</v>
      </c>
      <c r="G351" s="5">
        <v>136.5</v>
      </c>
      <c r="H351" s="5">
        <v>140.80000000000001</v>
      </c>
      <c r="I351" s="5">
        <v>143.30000000000001</v>
      </c>
      <c r="J351" s="5">
        <v>143.30000000000001</v>
      </c>
      <c r="K351" s="5">
        <v>151.6</v>
      </c>
      <c r="L351" s="5">
        <v>154.1</v>
      </c>
      <c r="M351" s="5">
        <v>157.9</v>
      </c>
      <c r="N351" s="5">
        <v>159.1</v>
      </c>
      <c r="O351" s="5">
        <v>170.2</v>
      </c>
      <c r="P351" s="5">
        <v>171.6</v>
      </c>
      <c r="Q351" s="5">
        <v>172.5</v>
      </c>
      <c r="R351" s="5">
        <v>172.7</v>
      </c>
      <c r="S351" s="5">
        <v>188.8</v>
      </c>
      <c r="T351" s="5">
        <v>191.1</v>
      </c>
      <c r="U351" s="5">
        <v>198.6</v>
      </c>
      <c r="V351" s="5">
        <v>204.8</v>
      </c>
      <c r="W351" s="5">
        <v>224.5</v>
      </c>
      <c r="X351" s="5">
        <v>227.2</v>
      </c>
      <c r="Y351" s="5">
        <v>229.4</v>
      </c>
      <c r="Z351" s="5">
        <v>229.8</v>
      </c>
      <c r="AA351" s="5">
        <v>242.8</v>
      </c>
      <c r="AB351" s="5">
        <v>246.8</v>
      </c>
      <c r="AC351" s="5">
        <v>249.3</v>
      </c>
      <c r="AD351" s="5">
        <v>251.3</v>
      </c>
      <c r="AE351" s="5">
        <v>267.10000000000002</v>
      </c>
      <c r="AF351" s="5">
        <v>268.7</v>
      </c>
      <c r="AG351" s="5">
        <v>271.5</v>
      </c>
      <c r="AH351" s="5">
        <v>320.3</v>
      </c>
      <c r="AI351" s="5">
        <v>332.4</v>
      </c>
      <c r="AJ351" s="5">
        <v>344.7</v>
      </c>
      <c r="AK351" s="5">
        <v>359.7</v>
      </c>
      <c r="AL351" s="5">
        <v>374</v>
      </c>
      <c r="AM351" s="5">
        <v>409.5</v>
      </c>
      <c r="AN351" s="5">
        <v>432.3</v>
      </c>
      <c r="AO351" s="5">
        <v>473</v>
      </c>
      <c r="AP351" s="5">
        <v>492.1</v>
      </c>
      <c r="AQ351" s="5">
        <v>542.5</v>
      </c>
      <c r="AR351" s="5">
        <v>555.6</v>
      </c>
      <c r="AS351" s="5">
        <v>566.70000000000005</v>
      </c>
      <c r="AT351" s="5">
        <v>578</v>
      </c>
      <c r="AU351" s="5">
        <v>651.6</v>
      </c>
      <c r="AV351" s="5">
        <v>664.4</v>
      </c>
      <c r="AW351" s="5">
        <v>671.9</v>
      </c>
      <c r="AX351" s="5">
        <v>679.2</v>
      </c>
      <c r="AY351" s="5">
        <v>680</v>
      </c>
      <c r="AZ351" s="5">
        <v>681</v>
      </c>
      <c r="BA351" s="5">
        <v>682</v>
      </c>
      <c r="BB351" s="5">
        <v>683</v>
      </c>
      <c r="BC351" s="5">
        <v>684</v>
      </c>
      <c r="BD351" s="5">
        <v>685</v>
      </c>
      <c r="BE351" s="5">
        <v>686</v>
      </c>
      <c r="BF351" s="5">
        <v>687</v>
      </c>
      <c r="BG351" s="5">
        <v>688</v>
      </c>
      <c r="BH351" s="5">
        <v>689</v>
      </c>
      <c r="BI351" s="5">
        <v>690</v>
      </c>
      <c r="BJ351" s="5">
        <v>691</v>
      </c>
      <c r="BK351" s="5">
        <v>692</v>
      </c>
      <c r="BL351" s="5">
        <v>695</v>
      </c>
      <c r="BM351" s="5">
        <v>693</v>
      </c>
      <c r="BN351" s="5">
        <v>696</v>
      </c>
      <c r="BO351" s="5">
        <v>694</v>
      </c>
      <c r="BP351" s="5">
        <v>695</v>
      </c>
      <c r="BQ351" s="5">
        <v>697</v>
      </c>
      <c r="BR351" s="5">
        <v>698</v>
      </c>
      <c r="BS351" s="5">
        <v>699</v>
      </c>
      <c r="BT351" s="5">
        <v>700</v>
      </c>
      <c r="BU351" s="5">
        <v>701</v>
      </c>
      <c r="BV351" s="5">
        <v>705</v>
      </c>
      <c r="BW351" s="5">
        <v>702</v>
      </c>
      <c r="BX351" s="5">
        <v>706</v>
      </c>
      <c r="BY351" s="5">
        <v>703</v>
      </c>
      <c r="BZ351" s="5">
        <v>704</v>
      </c>
      <c r="CA351" s="5">
        <v>707</v>
      </c>
      <c r="CB351" s="5">
        <v>708</v>
      </c>
      <c r="CC351" s="5">
        <v>709</v>
      </c>
      <c r="CD351" s="5">
        <v>710</v>
      </c>
      <c r="CE351" s="5">
        <v>711</v>
      </c>
      <c r="CF351" s="5">
        <v>712</v>
      </c>
      <c r="CG351" s="5">
        <v>713</v>
      </c>
      <c r="CH351" s="5">
        <v>714</v>
      </c>
      <c r="CI351" s="5">
        <v>714</v>
      </c>
      <c r="CJ351" s="5">
        <v>714</v>
      </c>
      <c r="CK351" s="5">
        <v>715</v>
      </c>
      <c r="CL351" s="5">
        <v>716</v>
      </c>
      <c r="CM351" s="5">
        <v>717</v>
      </c>
      <c r="CN351" s="5">
        <v>718</v>
      </c>
      <c r="CO351" s="5">
        <v>719</v>
      </c>
      <c r="CP351" s="5">
        <v>720</v>
      </c>
      <c r="CQ351" s="5">
        <v>721</v>
      </c>
      <c r="CR351" s="5">
        <v>722</v>
      </c>
      <c r="CS351" s="5">
        <v>722</v>
      </c>
      <c r="CT351" s="5">
        <v>722</v>
      </c>
    </row>
    <row r="352" spans="1:98">
      <c r="A352" s="2" t="s">
        <v>448</v>
      </c>
      <c r="B352" s="3">
        <v>100</v>
      </c>
      <c r="C352" s="3">
        <v>108.1</v>
      </c>
      <c r="D352" s="3">
        <v>111.4</v>
      </c>
      <c r="E352" s="3">
        <v>114.7</v>
      </c>
      <c r="F352" s="3">
        <v>117.6</v>
      </c>
      <c r="G352" s="3">
        <v>137.5</v>
      </c>
      <c r="H352" s="3">
        <v>141.69999999999999</v>
      </c>
      <c r="I352" s="3">
        <v>143.80000000000001</v>
      </c>
      <c r="J352" s="3">
        <v>143.80000000000001</v>
      </c>
      <c r="K352" s="3">
        <v>151.80000000000001</v>
      </c>
      <c r="L352" s="3">
        <v>154.19999999999999</v>
      </c>
      <c r="M352" s="3">
        <v>158.5</v>
      </c>
      <c r="N352" s="3">
        <v>160.1</v>
      </c>
      <c r="O352" s="3">
        <v>171.1</v>
      </c>
      <c r="P352" s="3">
        <v>174.4</v>
      </c>
      <c r="Q352" s="3">
        <v>175.3</v>
      </c>
      <c r="R352" s="3">
        <v>176.1</v>
      </c>
      <c r="S352" s="3">
        <v>190</v>
      </c>
      <c r="T352" s="3">
        <v>191.3</v>
      </c>
      <c r="U352" s="3">
        <v>199.6</v>
      </c>
      <c r="V352" s="3">
        <v>207.1</v>
      </c>
      <c r="W352" s="3">
        <v>226.4</v>
      </c>
      <c r="X352" s="3">
        <v>229.8</v>
      </c>
      <c r="Y352" s="3">
        <v>229.6</v>
      </c>
      <c r="Z352" s="3">
        <v>228.1</v>
      </c>
      <c r="AA352" s="3">
        <v>236.7</v>
      </c>
      <c r="AB352" s="3">
        <v>242</v>
      </c>
      <c r="AC352" s="3">
        <v>242.8</v>
      </c>
      <c r="AD352" s="3">
        <v>244.9</v>
      </c>
      <c r="AE352" s="3">
        <v>258.89999999999998</v>
      </c>
      <c r="AF352" s="3">
        <v>260.39999999999998</v>
      </c>
      <c r="AG352" s="3">
        <v>262.10000000000002</v>
      </c>
      <c r="AH352" s="3">
        <v>324.2</v>
      </c>
      <c r="AI352" s="3">
        <v>331.3</v>
      </c>
      <c r="AJ352" s="3">
        <v>348.1</v>
      </c>
      <c r="AK352" s="3">
        <v>367.8</v>
      </c>
      <c r="AL352" s="3">
        <v>385.8</v>
      </c>
      <c r="AM352" s="3">
        <v>417.9</v>
      </c>
      <c r="AN352" s="3">
        <v>447</v>
      </c>
      <c r="AO352" s="3">
        <v>502.4</v>
      </c>
      <c r="AP352" s="3">
        <v>528</v>
      </c>
      <c r="AQ352" s="3">
        <v>574.1</v>
      </c>
      <c r="AR352" s="3">
        <v>587.1</v>
      </c>
      <c r="AS352" s="3">
        <v>593.4</v>
      </c>
      <c r="AT352" s="3">
        <v>602.1</v>
      </c>
      <c r="AU352" s="3">
        <v>664.3</v>
      </c>
      <c r="AV352" s="3">
        <v>676.6</v>
      </c>
      <c r="AW352" s="3">
        <v>681.6</v>
      </c>
      <c r="AX352" s="3">
        <v>687.6</v>
      </c>
      <c r="AY352" s="3">
        <v>734.8</v>
      </c>
      <c r="AZ352" s="3">
        <v>739.4</v>
      </c>
      <c r="BA352" s="3">
        <v>739.6</v>
      </c>
      <c r="BB352" s="3">
        <v>738.5</v>
      </c>
      <c r="BC352" s="3">
        <v>779.7</v>
      </c>
      <c r="BD352" s="3">
        <v>786.4</v>
      </c>
      <c r="BE352" s="3">
        <v>795.5</v>
      </c>
      <c r="BF352" s="3">
        <v>803.2</v>
      </c>
      <c r="BG352" s="3">
        <v>855.5</v>
      </c>
      <c r="BH352" s="3">
        <v>861.3</v>
      </c>
      <c r="BI352" s="3">
        <v>885.8</v>
      </c>
      <c r="BJ352" s="3">
        <v>894.9</v>
      </c>
      <c r="BK352" s="3">
        <v>998.2</v>
      </c>
      <c r="BL352" s="3">
        <v>1248.4000000000001</v>
      </c>
      <c r="BM352" s="3">
        <v>1113.5999999999999</v>
      </c>
      <c r="BN352" s="3">
        <v>1319.5</v>
      </c>
      <c r="BO352" s="3">
        <v>1175.7</v>
      </c>
      <c r="BP352" s="3">
        <v>1229.2</v>
      </c>
      <c r="BQ352" s="3">
        <v>1527.2</v>
      </c>
      <c r="BR352" s="3">
        <v>1619.4</v>
      </c>
      <c r="BS352" s="3">
        <v>1704.1</v>
      </c>
      <c r="BT352" s="3">
        <v>1808.4</v>
      </c>
      <c r="BU352" s="3">
        <v>2140.9</v>
      </c>
      <c r="BV352" s="3">
        <v>3119.9</v>
      </c>
      <c r="BW352" s="3">
        <v>2522.8000000000002</v>
      </c>
      <c r="BX352" s="3">
        <v>3279.2</v>
      </c>
      <c r="BY352" s="3">
        <v>2634.4</v>
      </c>
      <c r="BZ352" s="3">
        <v>2832</v>
      </c>
      <c r="CA352" s="3">
        <v>4196.5</v>
      </c>
      <c r="CB352" s="3">
        <v>4543.1000000000004</v>
      </c>
      <c r="CC352" s="3">
        <v>4569.6000000000004</v>
      </c>
      <c r="CD352" s="3">
        <v>4698.8999999999996</v>
      </c>
      <c r="CE352" s="3">
        <v>5845.6</v>
      </c>
      <c r="CF352" s="3">
        <v>6040</v>
      </c>
      <c r="CG352" s="3">
        <v>6411.2</v>
      </c>
      <c r="CH352" s="3">
        <v>6843.2</v>
      </c>
      <c r="CI352" s="3">
        <v>6904.6</v>
      </c>
      <c r="CJ352" s="3">
        <v>6980.5</v>
      </c>
      <c r="CK352" s="3">
        <v>8284.2999999999993</v>
      </c>
      <c r="CL352" s="3">
        <v>8620.2999999999993</v>
      </c>
      <c r="CM352" s="3">
        <v>8719.4</v>
      </c>
      <c r="CN352" s="3">
        <v>9041.7000000000007</v>
      </c>
      <c r="CO352" s="3">
        <v>10834.8</v>
      </c>
      <c r="CP352" s="3">
        <v>11346.6</v>
      </c>
      <c r="CQ352" s="3">
        <v>11360.2</v>
      </c>
      <c r="CR352" s="3">
        <v>12151.1</v>
      </c>
      <c r="CS352" s="3">
        <v>12346.2</v>
      </c>
      <c r="CT352" s="3">
        <v>12602.1</v>
      </c>
    </row>
    <row r="353" spans="1:98">
      <c r="A353" s="4" t="s">
        <v>449</v>
      </c>
      <c r="B353" s="5">
        <v>100</v>
      </c>
      <c r="C353" s="5">
        <v>113.6</v>
      </c>
      <c r="D353" s="5">
        <v>115.4</v>
      </c>
      <c r="E353" s="5">
        <v>121.2</v>
      </c>
      <c r="F353" s="5">
        <v>129.4</v>
      </c>
      <c r="G353" s="5">
        <v>146.1</v>
      </c>
      <c r="H353" s="5">
        <v>148</v>
      </c>
      <c r="I353" s="5">
        <v>150.4</v>
      </c>
      <c r="J353" s="5">
        <v>150.4</v>
      </c>
      <c r="K353" s="5">
        <v>156.6</v>
      </c>
      <c r="L353" s="5">
        <v>160.9</v>
      </c>
      <c r="M353" s="5">
        <v>162.80000000000001</v>
      </c>
      <c r="N353" s="5">
        <v>163.30000000000001</v>
      </c>
      <c r="O353" s="5">
        <v>167.9</v>
      </c>
      <c r="P353" s="5">
        <v>168.5</v>
      </c>
      <c r="Q353" s="5">
        <v>169.9</v>
      </c>
      <c r="R353" s="5">
        <v>170</v>
      </c>
      <c r="S353" s="5">
        <v>189.6</v>
      </c>
      <c r="T353" s="5">
        <v>191</v>
      </c>
      <c r="U353" s="5">
        <v>196.3</v>
      </c>
      <c r="V353" s="5">
        <v>198.7</v>
      </c>
      <c r="W353" s="5">
        <v>224.7</v>
      </c>
      <c r="X353" s="5">
        <v>241.8</v>
      </c>
      <c r="Y353" s="5">
        <v>244.8</v>
      </c>
      <c r="Z353" s="5">
        <v>244.9</v>
      </c>
      <c r="AA353" s="5">
        <v>250.8</v>
      </c>
      <c r="AB353" s="5">
        <v>252</v>
      </c>
      <c r="AC353" s="5">
        <v>254.4</v>
      </c>
      <c r="AD353" s="5">
        <v>255.7</v>
      </c>
      <c r="AE353" s="5">
        <v>263.89999999999998</v>
      </c>
      <c r="AF353" s="5">
        <v>264.7</v>
      </c>
      <c r="AG353" s="5">
        <v>266.7</v>
      </c>
      <c r="AH353" s="5">
        <v>288.60000000000002</v>
      </c>
      <c r="AI353" s="5">
        <v>299.89999999999998</v>
      </c>
      <c r="AJ353" s="5">
        <v>314.10000000000002</v>
      </c>
      <c r="AK353" s="5">
        <v>317.8</v>
      </c>
      <c r="AL353" s="5">
        <v>336.5</v>
      </c>
      <c r="AM353" s="5">
        <v>357.5</v>
      </c>
      <c r="AN353" s="5">
        <v>372</v>
      </c>
      <c r="AO353" s="5">
        <v>408.1</v>
      </c>
      <c r="AP353" s="5">
        <v>418.3</v>
      </c>
      <c r="AQ353" s="5">
        <v>449.9</v>
      </c>
      <c r="AR353" s="5">
        <v>464.5</v>
      </c>
      <c r="AS353" s="5">
        <v>485.4</v>
      </c>
      <c r="AT353" s="5">
        <v>493</v>
      </c>
      <c r="AU353" s="5">
        <v>530.5</v>
      </c>
      <c r="AV353" s="5">
        <v>577.79999999999995</v>
      </c>
      <c r="AW353" s="5">
        <v>589.20000000000005</v>
      </c>
      <c r="AX353" s="5">
        <v>591.70000000000005</v>
      </c>
      <c r="AY353" s="5">
        <v>612.9</v>
      </c>
      <c r="AZ353" s="5">
        <v>616.29999999999995</v>
      </c>
      <c r="BA353" s="5">
        <v>615.29999999999995</v>
      </c>
      <c r="BB353" s="5">
        <v>616.79999999999995</v>
      </c>
      <c r="BC353" s="5">
        <v>638.20000000000005</v>
      </c>
      <c r="BD353" s="5">
        <v>645.5</v>
      </c>
      <c r="BE353" s="5">
        <v>660.7</v>
      </c>
      <c r="BF353" s="5">
        <v>666.8</v>
      </c>
      <c r="BG353" s="5">
        <v>720.2</v>
      </c>
      <c r="BH353" s="5">
        <v>732.1</v>
      </c>
      <c r="BI353" s="5">
        <v>740</v>
      </c>
      <c r="BJ353" s="5">
        <v>746.2</v>
      </c>
      <c r="BK353" s="5">
        <v>831.1</v>
      </c>
      <c r="BL353" s="5">
        <v>958.9</v>
      </c>
      <c r="BM353" s="5">
        <v>872.9</v>
      </c>
      <c r="BN353" s="5">
        <v>979.7</v>
      </c>
      <c r="BO353" s="5">
        <v>911</v>
      </c>
      <c r="BP353" s="5">
        <v>918</v>
      </c>
      <c r="BQ353" s="5">
        <v>1119.0999999999999</v>
      </c>
      <c r="BR353" s="5">
        <v>1248.5999999999999</v>
      </c>
      <c r="BS353" s="5">
        <v>1318.4</v>
      </c>
      <c r="BT353" s="5">
        <v>1365</v>
      </c>
      <c r="BU353" s="5">
        <v>1633.1</v>
      </c>
      <c r="BV353" s="5">
        <v>2252.6</v>
      </c>
      <c r="BW353" s="5">
        <v>1852.3</v>
      </c>
      <c r="BX353" s="5">
        <v>2333.5</v>
      </c>
      <c r="BY353" s="5">
        <v>1912.6</v>
      </c>
      <c r="BZ353" s="5">
        <v>2019.2</v>
      </c>
      <c r="CA353" s="5">
        <v>3016.6</v>
      </c>
      <c r="CB353" s="5">
        <v>3394.6</v>
      </c>
      <c r="CC353" s="5">
        <v>3450.8</v>
      </c>
      <c r="CD353" s="5">
        <v>3544.2</v>
      </c>
      <c r="CE353" s="5">
        <v>4185</v>
      </c>
      <c r="CF353" s="5">
        <v>4448.3999999999996</v>
      </c>
      <c r="CG353" s="5">
        <v>4874.1000000000004</v>
      </c>
      <c r="CH353" s="5">
        <v>5187.2</v>
      </c>
      <c r="CI353" s="5">
        <v>5191.6000000000004</v>
      </c>
      <c r="CJ353" s="5">
        <v>5457.1</v>
      </c>
      <c r="CK353" s="5">
        <v>6356.9</v>
      </c>
      <c r="CL353" s="5">
        <v>6662</v>
      </c>
      <c r="CM353" s="5">
        <v>7001.5</v>
      </c>
      <c r="CN353" s="5">
        <v>7067.3</v>
      </c>
      <c r="CO353" s="5">
        <v>8415.6</v>
      </c>
      <c r="CP353" s="5">
        <v>9053.7000000000007</v>
      </c>
      <c r="CQ353" s="5">
        <v>9175.6</v>
      </c>
      <c r="CR353" s="5">
        <v>9614.2999999999993</v>
      </c>
      <c r="CS353" s="5">
        <v>9879.2999999999993</v>
      </c>
      <c r="CT353" s="5">
        <v>10351.5</v>
      </c>
    </row>
    <row r="354" spans="1:98">
      <c r="A354" s="2" t="s">
        <v>450</v>
      </c>
      <c r="B354" s="3">
        <v>100</v>
      </c>
      <c r="C354" s="3">
        <v>108.1</v>
      </c>
      <c r="D354" s="3">
        <v>113.9</v>
      </c>
      <c r="E354" s="3">
        <v>116</v>
      </c>
      <c r="F354" s="3">
        <v>118</v>
      </c>
      <c r="G354" s="3">
        <v>139.30000000000001</v>
      </c>
      <c r="H354" s="3">
        <v>144</v>
      </c>
      <c r="I354" s="3">
        <v>146.30000000000001</v>
      </c>
      <c r="J354" s="3">
        <v>146.30000000000001</v>
      </c>
      <c r="K354" s="3">
        <v>147.80000000000001</v>
      </c>
      <c r="L354" s="3">
        <v>149.19999999999999</v>
      </c>
      <c r="M354" s="3">
        <v>156.6</v>
      </c>
      <c r="N354" s="3">
        <v>158</v>
      </c>
      <c r="O354" s="3">
        <v>163.6</v>
      </c>
      <c r="P354" s="3">
        <v>167.5</v>
      </c>
      <c r="Q354" s="3">
        <v>168.1</v>
      </c>
      <c r="R354" s="3">
        <v>168.3</v>
      </c>
      <c r="S354" s="3">
        <v>187.3</v>
      </c>
      <c r="T354" s="3">
        <v>190.6</v>
      </c>
      <c r="U354" s="3">
        <v>193.6</v>
      </c>
      <c r="V354" s="3">
        <v>198.6</v>
      </c>
      <c r="W354" s="3">
        <v>214.5</v>
      </c>
      <c r="X354" s="3">
        <v>218.4</v>
      </c>
      <c r="Y354" s="3">
        <v>216.5</v>
      </c>
      <c r="Z354" s="3">
        <v>216.5</v>
      </c>
      <c r="AA354" s="3">
        <v>218.2</v>
      </c>
      <c r="AB354" s="3">
        <v>218.6</v>
      </c>
      <c r="AC354" s="3">
        <v>231.6</v>
      </c>
      <c r="AD354" s="3">
        <v>232.7</v>
      </c>
      <c r="AE354" s="3">
        <v>253.7</v>
      </c>
      <c r="AF354" s="3">
        <v>253.7</v>
      </c>
      <c r="AG354" s="3">
        <v>253.7</v>
      </c>
      <c r="AH354" s="3">
        <v>291.8</v>
      </c>
      <c r="AI354" s="3">
        <v>297.60000000000002</v>
      </c>
      <c r="AJ354" s="3">
        <v>306.3</v>
      </c>
      <c r="AK354" s="3">
        <v>323.89999999999998</v>
      </c>
      <c r="AL354" s="3">
        <v>344.3</v>
      </c>
      <c r="AM354" s="3">
        <v>378.6</v>
      </c>
      <c r="AN354" s="3">
        <v>395.9</v>
      </c>
      <c r="AO354" s="3">
        <v>413.1</v>
      </c>
      <c r="AP354" s="3">
        <v>430.3</v>
      </c>
      <c r="AQ354" s="3">
        <v>495.2</v>
      </c>
      <c r="AR354" s="3">
        <v>521.4</v>
      </c>
      <c r="AS354" s="3">
        <v>522.79999999999995</v>
      </c>
      <c r="AT354" s="3">
        <v>522.79999999999995</v>
      </c>
      <c r="AU354" s="3">
        <v>567.9</v>
      </c>
      <c r="AV354" s="3">
        <v>580.9</v>
      </c>
      <c r="AW354" s="3">
        <v>582.1</v>
      </c>
      <c r="AX354" s="3">
        <v>582.6</v>
      </c>
      <c r="AY354" s="3">
        <v>600</v>
      </c>
      <c r="AZ354" s="3">
        <v>614.6</v>
      </c>
      <c r="BA354" s="3">
        <v>626.9</v>
      </c>
      <c r="BB354" s="3">
        <v>626.9</v>
      </c>
      <c r="BC354" s="3">
        <v>627</v>
      </c>
      <c r="BD354" s="3">
        <v>661.6</v>
      </c>
      <c r="BE354" s="3">
        <v>684.5</v>
      </c>
      <c r="BF354" s="3">
        <v>690.8</v>
      </c>
      <c r="BG354" s="3">
        <v>725.3</v>
      </c>
      <c r="BH354" s="3">
        <v>746.1</v>
      </c>
      <c r="BI354" s="3">
        <v>753</v>
      </c>
      <c r="BJ354" s="3">
        <v>759.9</v>
      </c>
      <c r="BK354" s="3">
        <v>843.4</v>
      </c>
      <c r="BL354" s="3">
        <v>1109.3</v>
      </c>
      <c r="BM354" s="3">
        <v>927.1</v>
      </c>
      <c r="BN354" s="3">
        <v>1227</v>
      </c>
      <c r="BO354" s="3">
        <v>1025.9000000000001</v>
      </c>
      <c r="BP354" s="3">
        <v>1052.4000000000001</v>
      </c>
      <c r="BQ354" s="3">
        <v>1404.9</v>
      </c>
      <c r="BR354" s="3">
        <v>1509.2</v>
      </c>
      <c r="BS354" s="3">
        <v>1772.2</v>
      </c>
      <c r="BT354" s="3">
        <v>1877</v>
      </c>
      <c r="BU354" s="3">
        <v>2370.6</v>
      </c>
      <c r="BV354" s="3">
        <v>3378.5</v>
      </c>
      <c r="BW354" s="3">
        <v>2890.5</v>
      </c>
      <c r="BX354" s="3">
        <v>3538</v>
      </c>
      <c r="BY354" s="3">
        <v>2965.7</v>
      </c>
      <c r="BZ354" s="3">
        <v>3190.9</v>
      </c>
      <c r="CA354" s="3">
        <v>4651.8</v>
      </c>
      <c r="CB354" s="3">
        <v>4900.1000000000004</v>
      </c>
      <c r="CC354" s="3">
        <v>4988.8</v>
      </c>
      <c r="CD354" s="3">
        <v>5095.3</v>
      </c>
      <c r="CE354" s="3">
        <v>6343.3</v>
      </c>
      <c r="CF354" s="3">
        <v>6562.7</v>
      </c>
      <c r="CG354" s="3">
        <v>7031.6</v>
      </c>
      <c r="CH354" s="3">
        <v>7423.8</v>
      </c>
      <c r="CI354" s="3">
        <v>7545.9</v>
      </c>
      <c r="CJ354" s="3">
        <v>7668</v>
      </c>
      <c r="CK354" s="3">
        <v>9101.9</v>
      </c>
      <c r="CL354" s="3">
        <v>9669.6</v>
      </c>
      <c r="CM354" s="3">
        <v>10214.200000000001</v>
      </c>
      <c r="CN354" s="3">
        <v>10390.4</v>
      </c>
      <c r="CO354" s="3">
        <v>12800.5</v>
      </c>
      <c r="CP354" s="3">
        <v>13403.3</v>
      </c>
      <c r="CQ354" s="3">
        <v>13559.5</v>
      </c>
      <c r="CR354" s="3">
        <v>14026.3</v>
      </c>
      <c r="CS354" s="3">
        <v>14276.2</v>
      </c>
      <c r="CT354" s="3">
        <v>14546.5</v>
      </c>
    </row>
    <row r="355" spans="1:98">
      <c r="A355" s="4" t="s">
        <v>451</v>
      </c>
      <c r="B355" s="5">
        <v>100</v>
      </c>
      <c r="C355" s="5"/>
      <c r="D355" s="5"/>
      <c r="E355" s="5"/>
      <c r="F355" s="5"/>
      <c r="G355" s="5"/>
      <c r="H355" s="5"/>
      <c r="I355" s="5"/>
      <c r="J355" s="5"/>
      <c r="K355" s="5">
        <v>154.30000000000001</v>
      </c>
      <c r="L355" s="5">
        <v>157.1</v>
      </c>
      <c r="M355" s="5">
        <v>161.4</v>
      </c>
      <c r="N355" s="5">
        <v>162.80000000000001</v>
      </c>
      <c r="O355" s="5">
        <v>172.1</v>
      </c>
      <c r="P355" s="5">
        <v>173</v>
      </c>
      <c r="Q355" s="5">
        <v>173.8</v>
      </c>
      <c r="R355" s="5">
        <v>174</v>
      </c>
      <c r="S355" s="5">
        <v>187.7</v>
      </c>
      <c r="T355" s="5">
        <v>189.7</v>
      </c>
      <c r="U355" s="5">
        <v>197.8</v>
      </c>
      <c r="V355" s="5">
        <v>205.6</v>
      </c>
      <c r="W355" s="5">
        <v>223.5</v>
      </c>
      <c r="X355" s="5">
        <v>226</v>
      </c>
      <c r="Y355" s="5">
        <v>227.2</v>
      </c>
      <c r="Z355" s="5">
        <v>227.5</v>
      </c>
      <c r="AA355" s="5">
        <v>236.2</v>
      </c>
      <c r="AB355" s="5">
        <v>241.2</v>
      </c>
      <c r="AC355" s="5">
        <v>242.5</v>
      </c>
      <c r="AD355" s="5">
        <v>243.4</v>
      </c>
      <c r="AE355" s="5">
        <v>257.2</v>
      </c>
      <c r="AF355" s="5">
        <v>258.5</v>
      </c>
      <c r="AG355" s="5">
        <v>258.89999999999998</v>
      </c>
      <c r="AH355" s="5">
        <v>337</v>
      </c>
      <c r="AI355" s="5">
        <v>342</v>
      </c>
      <c r="AJ355" s="5">
        <v>358.1</v>
      </c>
      <c r="AK355" s="5">
        <v>380.4</v>
      </c>
      <c r="AL355" s="5">
        <v>401.2</v>
      </c>
      <c r="AM355" s="5">
        <v>434.3</v>
      </c>
      <c r="AN355" s="5">
        <v>463</v>
      </c>
      <c r="AO355" s="5">
        <v>519</v>
      </c>
      <c r="AP355" s="5">
        <v>545.9</v>
      </c>
      <c r="AQ355" s="5">
        <v>591.5</v>
      </c>
      <c r="AR355" s="5">
        <v>607.5</v>
      </c>
      <c r="AS355" s="5">
        <v>618.70000000000005</v>
      </c>
      <c r="AT355" s="5">
        <v>629.9</v>
      </c>
      <c r="AU355" s="5">
        <v>695.4</v>
      </c>
      <c r="AV355" s="5">
        <v>709.8</v>
      </c>
      <c r="AW355" s="5">
        <v>714.9</v>
      </c>
      <c r="AX355" s="5">
        <v>721.5</v>
      </c>
      <c r="AY355" s="5">
        <v>770.5</v>
      </c>
      <c r="AZ355" s="5">
        <v>774.5</v>
      </c>
      <c r="BA355" s="5">
        <v>774.6</v>
      </c>
      <c r="BB355" s="5">
        <v>775</v>
      </c>
      <c r="BC355" s="5">
        <v>815.4</v>
      </c>
      <c r="BD355" s="5">
        <v>823.2</v>
      </c>
      <c r="BE355" s="5">
        <v>830.9</v>
      </c>
      <c r="BF355" s="5">
        <v>838.6</v>
      </c>
      <c r="BG355" s="5">
        <v>890.5</v>
      </c>
      <c r="BH355" s="5">
        <v>891.2</v>
      </c>
      <c r="BI355" s="5">
        <v>915.3</v>
      </c>
      <c r="BJ355" s="5">
        <v>923.6</v>
      </c>
      <c r="BK355" s="5">
        <v>1026.4000000000001</v>
      </c>
      <c r="BL355" s="5">
        <v>1298.5999999999999</v>
      </c>
      <c r="BM355" s="5">
        <v>1157.4000000000001</v>
      </c>
      <c r="BN355" s="5">
        <v>1386.3</v>
      </c>
      <c r="BO355" s="5">
        <v>1220</v>
      </c>
      <c r="BP355" s="5">
        <v>1279.7</v>
      </c>
      <c r="BQ355" s="5">
        <v>1599.6</v>
      </c>
      <c r="BR355" s="5">
        <v>1707.7</v>
      </c>
      <c r="BS355" s="5">
        <v>1802.3</v>
      </c>
      <c r="BT355" s="5">
        <v>1908.2</v>
      </c>
      <c r="BU355" s="5">
        <v>2257.6999999999998</v>
      </c>
      <c r="BV355" s="5">
        <v>3292.7</v>
      </c>
      <c r="BW355" s="5">
        <v>2630.7</v>
      </c>
      <c r="BX355" s="5">
        <v>3479.9</v>
      </c>
      <c r="BY355" s="5">
        <v>2744.2</v>
      </c>
      <c r="BZ355" s="5">
        <v>2982.7</v>
      </c>
      <c r="CA355" s="5">
        <v>4490</v>
      </c>
      <c r="CB355" s="5">
        <v>4867</v>
      </c>
      <c r="CC355" s="5">
        <v>4915.3999999999996</v>
      </c>
      <c r="CD355" s="5">
        <v>5083.5</v>
      </c>
      <c r="CE355" s="5">
        <v>6332.5</v>
      </c>
      <c r="CF355" s="5">
        <v>6533.5</v>
      </c>
      <c r="CG355" s="5">
        <v>6965.5</v>
      </c>
      <c r="CH355" s="5">
        <v>7406.8</v>
      </c>
      <c r="CI355" s="5">
        <v>7407.2</v>
      </c>
      <c r="CJ355" s="5">
        <v>7407.6</v>
      </c>
      <c r="CK355" s="5">
        <v>8900.5</v>
      </c>
      <c r="CL355" s="5">
        <v>9341.4</v>
      </c>
      <c r="CM355" s="5">
        <v>9458.6</v>
      </c>
      <c r="CN355" s="5">
        <v>9771.6</v>
      </c>
      <c r="CO355" s="5">
        <v>11739.5</v>
      </c>
      <c r="CP355" s="5">
        <v>12349.2</v>
      </c>
      <c r="CQ355" s="5">
        <v>12354</v>
      </c>
      <c r="CR355" s="5">
        <v>13234.4</v>
      </c>
      <c r="CS355" s="5">
        <v>13411.2</v>
      </c>
      <c r="CT355" s="5">
        <v>13630.6</v>
      </c>
    </row>
    <row r="356" spans="1:98">
      <c r="A356" s="2" t="s">
        <v>452</v>
      </c>
      <c r="B356" s="3">
        <v>100</v>
      </c>
      <c r="C356" s="3"/>
      <c r="D356" s="3"/>
      <c r="E356" s="3"/>
      <c r="F356" s="3"/>
      <c r="G356" s="3"/>
      <c r="H356" s="3"/>
      <c r="I356" s="3"/>
      <c r="J356" s="3"/>
      <c r="K356" s="3">
        <v>170.3</v>
      </c>
      <c r="L356" s="3">
        <v>170.3</v>
      </c>
      <c r="M356" s="3">
        <v>170.3</v>
      </c>
      <c r="N356" s="3">
        <v>170.3</v>
      </c>
      <c r="O356" s="3">
        <v>170.3</v>
      </c>
      <c r="P356" s="3">
        <v>170.3</v>
      </c>
      <c r="Q356" s="3">
        <v>187.3</v>
      </c>
      <c r="R356" s="3">
        <v>187.3</v>
      </c>
      <c r="S356" s="3">
        <v>224.7</v>
      </c>
      <c r="T356" s="3">
        <v>224.7</v>
      </c>
      <c r="U356" s="3">
        <v>224.7</v>
      </c>
      <c r="V356" s="3">
        <v>224.7</v>
      </c>
      <c r="W356" s="3">
        <v>257.8</v>
      </c>
      <c r="X356" s="3">
        <v>253.4</v>
      </c>
      <c r="Y356" s="3">
        <v>253.4</v>
      </c>
      <c r="Z356" s="3">
        <v>253.4</v>
      </c>
      <c r="AA356" s="3">
        <v>220.9</v>
      </c>
      <c r="AB356" s="3">
        <v>220.9</v>
      </c>
      <c r="AC356" s="3">
        <v>253.4</v>
      </c>
      <c r="AD356" s="3">
        <v>253.4</v>
      </c>
      <c r="AE356" s="3">
        <v>283.2</v>
      </c>
      <c r="AF356" s="3">
        <v>283.2</v>
      </c>
      <c r="AG356" s="3">
        <v>283.2</v>
      </c>
      <c r="AH356" s="3">
        <v>283.2</v>
      </c>
      <c r="AI356" s="3">
        <v>308</v>
      </c>
      <c r="AJ356" s="3">
        <v>308</v>
      </c>
      <c r="AK356" s="3">
        <v>300.2</v>
      </c>
      <c r="AL356" s="3">
        <v>305.8</v>
      </c>
      <c r="AM356" s="3">
        <v>305.8</v>
      </c>
      <c r="AN356" s="3">
        <v>321.10000000000002</v>
      </c>
      <c r="AO356" s="3">
        <v>321.10000000000002</v>
      </c>
      <c r="AP356" s="3">
        <v>321.10000000000002</v>
      </c>
      <c r="AQ356" s="3">
        <v>353.2</v>
      </c>
      <c r="AR356" s="3">
        <v>369.3</v>
      </c>
      <c r="AS356" s="3">
        <v>369.3</v>
      </c>
      <c r="AT356" s="3">
        <v>369.3</v>
      </c>
      <c r="AU356" s="3">
        <v>369.3</v>
      </c>
      <c r="AV356" s="3">
        <v>369.3</v>
      </c>
      <c r="AW356" s="3">
        <v>376.7</v>
      </c>
      <c r="AX356" s="3">
        <v>376.7</v>
      </c>
      <c r="AY356" s="3">
        <v>376.7</v>
      </c>
      <c r="AZ356" s="3">
        <v>376.7</v>
      </c>
      <c r="BA356" s="3">
        <v>376.7</v>
      </c>
      <c r="BB356" s="3">
        <v>376.7</v>
      </c>
      <c r="BC356" s="3">
        <v>376.7</v>
      </c>
      <c r="BD356" s="3">
        <v>376.7</v>
      </c>
      <c r="BE356" s="3">
        <v>376.7</v>
      </c>
      <c r="BF356" s="3">
        <v>376.7</v>
      </c>
      <c r="BG356" s="3">
        <v>433.2</v>
      </c>
      <c r="BH356" s="3">
        <v>459.6</v>
      </c>
      <c r="BI356" s="3">
        <v>459.6</v>
      </c>
      <c r="BJ356" s="3">
        <v>459.6</v>
      </c>
      <c r="BK356" s="3">
        <v>542.29999999999995</v>
      </c>
      <c r="BL356" s="3">
        <v>827.2</v>
      </c>
      <c r="BM356" s="3">
        <v>726.1</v>
      </c>
      <c r="BN356" s="3">
        <v>891.5</v>
      </c>
      <c r="BO356" s="3">
        <v>785.8</v>
      </c>
      <c r="BP356" s="3">
        <v>804.2</v>
      </c>
      <c r="BQ356" s="3">
        <v>1025.3</v>
      </c>
      <c r="BR356" s="3">
        <v>1150.0999999999999</v>
      </c>
      <c r="BS356" s="3">
        <v>1203.5999999999999</v>
      </c>
      <c r="BT356" s="3">
        <v>1248.2</v>
      </c>
      <c r="BU356" s="3">
        <v>1597.6</v>
      </c>
      <c r="BV356" s="3">
        <v>1879.8</v>
      </c>
      <c r="BW356" s="3">
        <v>1747.4</v>
      </c>
      <c r="BX356" s="3">
        <v>1879.8</v>
      </c>
      <c r="BY356" s="3">
        <v>1809.8</v>
      </c>
      <c r="BZ356" s="3">
        <v>2084.4</v>
      </c>
      <c r="CA356" s="3">
        <v>2168.9</v>
      </c>
      <c r="CB356" s="3">
        <v>2546.9</v>
      </c>
      <c r="CC356" s="3">
        <v>2623.7</v>
      </c>
      <c r="CD356" s="3">
        <v>2784.4</v>
      </c>
      <c r="CE356" s="3">
        <v>3340.4</v>
      </c>
      <c r="CF356" s="3">
        <v>3480.5</v>
      </c>
      <c r="CG356" s="3">
        <v>3838</v>
      </c>
      <c r="CH356" s="3">
        <v>4162.1000000000004</v>
      </c>
      <c r="CI356" s="3">
        <v>4202.2</v>
      </c>
      <c r="CJ356" s="3">
        <v>4675.5</v>
      </c>
      <c r="CK356" s="3">
        <v>5423.6</v>
      </c>
      <c r="CL356" s="3">
        <v>5634</v>
      </c>
      <c r="CM356" s="3">
        <v>5913.4</v>
      </c>
      <c r="CN356" s="3">
        <v>6201</v>
      </c>
      <c r="CO356" s="3">
        <v>7359.7</v>
      </c>
      <c r="CP356" s="3">
        <v>8131.6</v>
      </c>
      <c r="CQ356" s="3">
        <v>8167.1</v>
      </c>
      <c r="CR356" s="3">
        <v>8458.5</v>
      </c>
      <c r="CS356" s="3">
        <v>8553.1</v>
      </c>
      <c r="CT356" s="3">
        <v>8553.1</v>
      </c>
    </row>
    <row r="357" spans="1:98">
      <c r="A357" s="4" t="s">
        <v>453</v>
      </c>
      <c r="B357" s="5">
        <v>100</v>
      </c>
      <c r="C357" s="5"/>
      <c r="D357" s="5"/>
      <c r="E357" s="5"/>
      <c r="F357" s="5"/>
      <c r="G357" s="5"/>
      <c r="H357" s="5"/>
      <c r="I357" s="5"/>
      <c r="J357" s="5"/>
      <c r="K357" s="5">
        <v>207.1</v>
      </c>
      <c r="L357" s="5">
        <v>207.1</v>
      </c>
      <c r="M357" s="5">
        <v>248.5</v>
      </c>
      <c r="N357" s="5">
        <v>248.5</v>
      </c>
      <c r="O357" s="5">
        <v>253.4</v>
      </c>
      <c r="P357" s="5">
        <v>253.4</v>
      </c>
      <c r="Q357" s="5">
        <v>254.5</v>
      </c>
      <c r="R357" s="5">
        <v>254.5</v>
      </c>
      <c r="S357" s="5">
        <v>278.7</v>
      </c>
      <c r="T357" s="5">
        <v>278.7</v>
      </c>
      <c r="U357" s="5">
        <v>303</v>
      </c>
      <c r="V357" s="5">
        <v>303</v>
      </c>
      <c r="W357" s="5">
        <v>303</v>
      </c>
      <c r="X357" s="5">
        <v>303</v>
      </c>
      <c r="Y357" s="5">
        <v>303</v>
      </c>
      <c r="Z357" s="5">
        <v>303</v>
      </c>
      <c r="AA357" s="5">
        <v>303</v>
      </c>
      <c r="AB357" s="5">
        <v>303</v>
      </c>
      <c r="AC357" s="5">
        <v>303</v>
      </c>
      <c r="AD357" s="5">
        <v>303</v>
      </c>
      <c r="AE357" s="5">
        <v>303</v>
      </c>
      <c r="AF357" s="5">
        <v>303</v>
      </c>
      <c r="AG357" s="5">
        <v>330.3</v>
      </c>
      <c r="AH357" s="5">
        <v>330.3</v>
      </c>
      <c r="AI357" s="5">
        <v>415.8</v>
      </c>
      <c r="AJ357" s="5">
        <v>415.8</v>
      </c>
      <c r="AK357" s="5">
        <v>422.7</v>
      </c>
      <c r="AL357" s="5">
        <v>423.5</v>
      </c>
      <c r="AM357" s="5">
        <v>491.3</v>
      </c>
      <c r="AN357" s="5">
        <v>508.2</v>
      </c>
      <c r="AO357" s="5">
        <v>706</v>
      </c>
      <c r="AP357" s="5">
        <v>729.6</v>
      </c>
      <c r="AQ357" s="5">
        <v>729.6</v>
      </c>
      <c r="AR357" s="5">
        <v>729.6</v>
      </c>
      <c r="AS357" s="5">
        <v>744.2</v>
      </c>
      <c r="AT357" s="5">
        <v>780.7</v>
      </c>
      <c r="AU357" s="5">
        <v>936.8</v>
      </c>
      <c r="AV357" s="5">
        <v>938.8</v>
      </c>
      <c r="AW357" s="5">
        <v>875.8</v>
      </c>
      <c r="AX357" s="5">
        <v>875.8</v>
      </c>
      <c r="AY357" s="5">
        <v>859.4</v>
      </c>
      <c r="AZ357" s="5">
        <v>875.8</v>
      </c>
      <c r="BA357" s="5">
        <v>832.9</v>
      </c>
      <c r="BB357" s="5">
        <v>823.7</v>
      </c>
      <c r="BC357" s="5">
        <v>830.1</v>
      </c>
      <c r="BD357" s="5">
        <v>845.3</v>
      </c>
      <c r="BE357" s="5">
        <v>829.9</v>
      </c>
      <c r="BF357" s="5">
        <v>836</v>
      </c>
      <c r="BG357" s="5">
        <v>847.7</v>
      </c>
      <c r="BH357" s="5">
        <v>862.6</v>
      </c>
      <c r="BI357" s="5">
        <v>955.2</v>
      </c>
      <c r="BJ357" s="5">
        <v>1043</v>
      </c>
      <c r="BK357" s="5">
        <v>1183.8</v>
      </c>
      <c r="BL357" s="5">
        <v>1624.4</v>
      </c>
      <c r="BM357" s="5">
        <v>1392.4</v>
      </c>
      <c r="BN357" s="5">
        <v>1569.7</v>
      </c>
      <c r="BO357" s="5">
        <v>1629.6</v>
      </c>
      <c r="BP357" s="5">
        <v>1887.8</v>
      </c>
      <c r="BQ357" s="5">
        <v>1833</v>
      </c>
      <c r="BR357" s="5">
        <v>1779.6</v>
      </c>
      <c r="BS357" s="5">
        <v>1835.7</v>
      </c>
      <c r="BT357" s="5">
        <v>1893</v>
      </c>
      <c r="BU357" s="5">
        <v>2527.1999999999998</v>
      </c>
      <c r="BV357" s="5">
        <v>3596.7</v>
      </c>
      <c r="BW357" s="5">
        <v>2626.6</v>
      </c>
      <c r="BX357" s="5">
        <v>3748.2</v>
      </c>
      <c r="BY357" s="5">
        <v>2877.4</v>
      </c>
      <c r="BZ357" s="5">
        <v>3237.1</v>
      </c>
      <c r="CA357" s="5">
        <v>4144.5</v>
      </c>
      <c r="CB357" s="5">
        <v>4179.2</v>
      </c>
      <c r="CC357" s="5">
        <v>4319.8</v>
      </c>
      <c r="CD357" s="5">
        <v>4319.8</v>
      </c>
      <c r="CE357" s="5">
        <v>5302.6</v>
      </c>
      <c r="CF357" s="5">
        <v>5302.5</v>
      </c>
      <c r="CG357" s="5">
        <v>5299.3</v>
      </c>
      <c r="CH357" s="5">
        <v>5368.4</v>
      </c>
      <c r="CI357" s="5">
        <v>5655.7</v>
      </c>
      <c r="CJ357" s="5">
        <v>5940.8</v>
      </c>
      <c r="CK357" s="5">
        <v>5954.1</v>
      </c>
      <c r="CL357" s="5">
        <v>5881.4</v>
      </c>
      <c r="CM357" s="5">
        <v>6196.2</v>
      </c>
      <c r="CN357" s="5">
        <v>6209.6</v>
      </c>
      <c r="CO357" s="5">
        <v>6464.2</v>
      </c>
      <c r="CP357" s="5">
        <v>6495.2</v>
      </c>
      <c r="CQ357" s="5">
        <v>6976.5</v>
      </c>
      <c r="CR357" s="5">
        <v>8120.6</v>
      </c>
      <c r="CS357" s="5">
        <v>8542.7999999999993</v>
      </c>
      <c r="CT357" s="5">
        <v>8542.7999999999993</v>
      </c>
    </row>
    <row r="358" spans="1:98">
      <c r="A358" s="2" t="s">
        <v>454</v>
      </c>
      <c r="B358" s="3">
        <v>100</v>
      </c>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v>350</v>
      </c>
      <c r="AR358" s="3">
        <v>350</v>
      </c>
      <c r="AS358" s="3">
        <v>350</v>
      </c>
      <c r="AT358" s="3">
        <v>350</v>
      </c>
      <c r="AU358" s="3">
        <v>350</v>
      </c>
      <c r="AV358" s="3">
        <v>350</v>
      </c>
      <c r="AW358" s="3">
        <v>350</v>
      </c>
      <c r="AX358" s="3">
        <v>350</v>
      </c>
      <c r="AY358" s="3">
        <v>350</v>
      </c>
      <c r="AZ358" s="3">
        <v>350</v>
      </c>
      <c r="BA358" s="3">
        <v>350</v>
      </c>
      <c r="BB358" s="3">
        <v>350</v>
      </c>
      <c r="BC358" s="3">
        <v>350</v>
      </c>
      <c r="BD358" s="3">
        <v>350</v>
      </c>
      <c r="BE358" s="3">
        <v>350</v>
      </c>
      <c r="BF358" s="3">
        <v>350</v>
      </c>
      <c r="BG358" s="3">
        <v>350</v>
      </c>
      <c r="BH358" s="3">
        <v>350</v>
      </c>
      <c r="BI358" s="3">
        <v>350</v>
      </c>
      <c r="BJ358" s="3">
        <v>350</v>
      </c>
      <c r="BK358" s="3">
        <v>351</v>
      </c>
      <c r="BL358" s="3">
        <v>354</v>
      </c>
      <c r="BM358" s="3">
        <v>352</v>
      </c>
      <c r="BN358" s="3">
        <v>355</v>
      </c>
      <c r="BO358" s="3">
        <v>353</v>
      </c>
      <c r="BP358" s="3">
        <v>354</v>
      </c>
      <c r="BQ358" s="3">
        <v>356</v>
      </c>
      <c r="BR358" s="3">
        <v>357</v>
      </c>
      <c r="BS358" s="3">
        <v>358</v>
      </c>
      <c r="BT358" s="3">
        <v>359</v>
      </c>
      <c r="BU358" s="3">
        <v>360</v>
      </c>
      <c r="BV358" s="3">
        <v>365</v>
      </c>
      <c r="BW358" s="3">
        <v>361</v>
      </c>
      <c r="BX358" s="3">
        <v>366</v>
      </c>
      <c r="BY358" s="3">
        <v>362</v>
      </c>
      <c r="BZ358" s="3">
        <v>364</v>
      </c>
      <c r="CA358" s="3">
        <v>367</v>
      </c>
      <c r="CB358" s="3">
        <v>368</v>
      </c>
      <c r="CC358" s="3">
        <v>369</v>
      </c>
      <c r="CD358" s="3">
        <v>370</v>
      </c>
      <c r="CE358" s="3">
        <v>371</v>
      </c>
      <c r="CF358" s="3">
        <v>372</v>
      </c>
      <c r="CG358" s="3">
        <v>373</v>
      </c>
      <c r="CH358" s="3">
        <v>374</v>
      </c>
      <c r="CI358" s="3">
        <v>374</v>
      </c>
      <c r="CJ358" s="3">
        <v>374</v>
      </c>
      <c r="CK358" s="3">
        <v>375</v>
      </c>
      <c r="CL358" s="3">
        <v>376</v>
      </c>
      <c r="CM358" s="3">
        <v>377</v>
      </c>
      <c r="CN358" s="3">
        <v>378</v>
      </c>
      <c r="CO358" s="3">
        <v>379</v>
      </c>
      <c r="CP358" s="3">
        <v>380</v>
      </c>
      <c r="CQ358" s="3">
        <v>381</v>
      </c>
      <c r="CR358" s="3">
        <v>382</v>
      </c>
      <c r="CS358" s="3">
        <v>382</v>
      </c>
      <c r="CT358" s="3">
        <v>382</v>
      </c>
    </row>
    <row r="359" spans="1:98">
      <c r="A359" s="4" t="s">
        <v>455</v>
      </c>
      <c r="B359" s="5">
        <v>100</v>
      </c>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v>455.8</v>
      </c>
      <c r="AR359" s="5">
        <v>455.8</v>
      </c>
      <c r="AS359" s="5">
        <v>455.8</v>
      </c>
      <c r="AT359" s="5">
        <v>455.8</v>
      </c>
      <c r="AU359" s="5">
        <v>560.6</v>
      </c>
      <c r="AV359" s="5">
        <v>560.6</v>
      </c>
      <c r="AW359" s="5">
        <v>592.5</v>
      </c>
      <c r="AX359" s="5">
        <v>592.5</v>
      </c>
      <c r="AY359" s="5">
        <v>632.79999999999995</v>
      </c>
      <c r="AZ359" s="5">
        <v>632.79999999999995</v>
      </c>
      <c r="BA359" s="5">
        <v>592.5</v>
      </c>
      <c r="BB359" s="5">
        <v>592.5</v>
      </c>
      <c r="BC359" s="5">
        <v>614.5</v>
      </c>
      <c r="BD359" s="5">
        <v>628.70000000000005</v>
      </c>
      <c r="BE359" s="5">
        <v>734.7</v>
      </c>
      <c r="BF359" s="5">
        <v>734.7</v>
      </c>
      <c r="BG359" s="5">
        <v>743.6</v>
      </c>
      <c r="BH359" s="5">
        <v>768.5</v>
      </c>
      <c r="BI359" s="5">
        <v>815.6</v>
      </c>
      <c r="BJ359" s="5">
        <v>852.3</v>
      </c>
      <c r="BK359" s="5">
        <v>937.5</v>
      </c>
      <c r="BL359" s="5">
        <v>1406.3</v>
      </c>
      <c r="BM359" s="5">
        <v>1005.7</v>
      </c>
      <c r="BN359" s="5">
        <v>1406.3</v>
      </c>
      <c r="BO359" s="5">
        <v>1201.8</v>
      </c>
      <c r="BP359" s="5">
        <v>1414.8</v>
      </c>
      <c r="BQ359" s="5">
        <v>1624.3</v>
      </c>
      <c r="BR359" s="5">
        <v>1575.1</v>
      </c>
      <c r="BS359" s="5">
        <v>1617.3</v>
      </c>
      <c r="BT359" s="5">
        <v>1645.4</v>
      </c>
      <c r="BU359" s="5">
        <v>1809.9</v>
      </c>
      <c r="BV359" s="5">
        <v>3192</v>
      </c>
      <c r="BW359" s="5">
        <v>1975.5</v>
      </c>
      <c r="BX359" s="5">
        <v>3586.9</v>
      </c>
      <c r="BY359" s="5">
        <v>2139</v>
      </c>
      <c r="BZ359" s="5">
        <v>2468.1</v>
      </c>
      <c r="CA359" s="5">
        <v>3838</v>
      </c>
      <c r="CB359" s="5">
        <v>4125</v>
      </c>
      <c r="CC359" s="5">
        <v>4411.8999999999996</v>
      </c>
      <c r="CD359" s="5">
        <v>4591.3</v>
      </c>
      <c r="CE359" s="5">
        <v>4912.7</v>
      </c>
      <c r="CF359" s="5">
        <v>4475.1000000000004</v>
      </c>
      <c r="CG359" s="5">
        <v>4554.6000000000004</v>
      </c>
      <c r="CH359" s="5">
        <v>4967.8</v>
      </c>
      <c r="CI359" s="5">
        <v>4926.3999999999996</v>
      </c>
      <c r="CJ359" s="5">
        <v>4797.8999999999996</v>
      </c>
      <c r="CK359" s="5">
        <v>4740.3</v>
      </c>
      <c r="CL359" s="5">
        <v>4889.1000000000004</v>
      </c>
      <c r="CM359" s="5">
        <v>4975.3999999999996</v>
      </c>
      <c r="CN359" s="5">
        <v>4975.3999999999996</v>
      </c>
      <c r="CO359" s="5">
        <v>5333.7</v>
      </c>
      <c r="CP359" s="5">
        <v>5333.7</v>
      </c>
      <c r="CQ359" s="5">
        <v>5522.7</v>
      </c>
      <c r="CR359" s="5">
        <v>6423.3</v>
      </c>
      <c r="CS359" s="5">
        <v>6607.4</v>
      </c>
      <c r="CT359" s="5">
        <v>7239.2</v>
      </c>
    </row>
    <row r="360" spans="1:98">
      <c r="A360" s="2" t="s">
        <v>456</v>
      </c>
      <c r="B360" s="3">
        <v>100</v>
      </c>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v>540</v>
      </c>
      <c r="AR360" s="3">
        <v>540</v>
      </c>
      <c r="AS360" s="3">
        <v>544.5</v>
      </c>
      <c r="AT360" s="3">
        <v>544.5</v>
      </c>
      <c r="AU360" s="3">
        <v>588.1</v>
      </c>
      <c r="AV360" s="3">
        <v>588.1</v>
      </c>
      <c r="AW360" s="3">
        <v>604.4</v>
      </c>
      <c r="AX360" s="3">
        <v>604.4</v>
      </c>
      <c r="AY360" s="3">
        <v>604.4</v>
      </c>
      <c r="AZ360" s="3">
        <v>604.4</v>
      </c>
      <c r="BA360" s="3">
        <v>610.4</v>
      </c>
      <c r="BB360" s="3">
        <v>610.4</v>
      </c>
      <c r="BC360" s="3">
        <v>616.5</v>
      </c>
      <c r="BD360" s="3">
        <v>616.5</v>
      </c>
      <c r="BE360" s="3">
        <v>598.20000000000005</v>
      </c>
      <c r="BF360" s="3">
        <v>598.20000000000005</v>
      </c>
      <c r="BG360" s="3">
        <v>616.20000000000005</v>
      </c>
      <c r="BH360" s="3">
        <v>616.20000000000005</v>
      </c>
      <c r="BI360" s="3">
        <v>640.1</v>
      </c>
      <c r="BJ360" s="3">
        <v>699.9</v>
      </c>
      <c r="BK360" s="3">
        <v>839.9</v>
      </c>
      <c r="BL360" s="3">
        <v>1364.9</v>
      </c>
      <c r="BM360" s="3">
        <v>1049.9000000000001</v>
      </c>
      <c r="BN360" s="3">
        <v>1364.9</v>
      </c>
      <c r="BO360" s="3">
        <v>1399.9</v>
      </c>
      <c r="BP360" s="3">
        <v>1399.9</v>
      </c>
      <c r="BQ360" s="3">
        <v>1719.7</v>
      </c>
      <c r="BR360" s="3">
        <v>1678.8</v>
      </c>
      <c r="BS360" s="3">
        <v>1774.3</v>
      </c>
      <c r="BT360" s="3">
        <v>1842.6</v>
      </c>
      <c r="BU360" s="3">
        <v>2211.1</v>
      </c>
      <c r="BV360" s="3">
        <v>3242.9</v>
      </c>
      <c r="BW360" s="3">
        <v>3040.2</v>
      </c>
      <c r="BX360" s="3">
        <v>3242.9</v>
      </c>
      <c r="BY360" s="3">
        <v>3040.2</v>
      </c>
      <c r="BZ360" s="3">
        <v>3132.4</v>
      </c>
      <c r="CA360" s="3">
        <v>4118.5</v>
      </c>
      <c r="CB360" s="3">
        <v>4118.5</v>
      </c>
      <c r="CC360" s="3">
        <v>4215.8</v>
      </c>
      <c r="CD360" s="3">
        <v>4442.8</v>
      </c>
      <c r="CE360" s="3">
        <v>4887.1000000000004</v>
      </c>
      <c r="CF360" s="3">
        <v>5553.5</v>
      </c>
      <c r="CG360" s="3">
        <v>5775.6</v>
      </c>
      <c r="CH360" s="3">
        <v>6255.4</v>
      </c>
      <c r="CI360" s="3">
        <v>6513.1</v>
      </c>
      <c r="CJ360" s="3">
        <v>6753</v>
      </c>
      <c r="CK360" s="3">
        <v>6415.4</v>
      </c>
      <c r="CL360" s="3">
        <v>6442.4</v>
      </c>
      <c r="CM360" s="3">
        <v>6442.4</v>
      </c>
      <c r="CN360" s="3">
        <v>6604.5</v>
      </c>
      <c r="CO360" s="3">
        <v>7892.3</v>
      </c>
      <c r="CP360" s="3">
        <v>8916</v>
      </c>
      <c r="CQ360" s="3">
        <v>7496.1</v>
      </c>
      <c r="CR360" s="3">
        <v>7496.1</v>
      </c>
      <c r="CS360" s="3">
        <v>7496.1</v>
      </c>
      <c r="CT360" s="3">
        <v>7496.1</v>
      </c>
    </row>
    <row r="361" spans="1:98">
      <c r="A361" s="4" t="s">
        <v>457</v>
      </c>
      <c r="B361" s="5">
        <v>100</v>
      </c>
      <c r="C361" s="5">
        <v>108.4</v>
      </c>
      <c r="D361" s="5">
        <v>112.5</v>
      </c>
      <c r="E361" s="5">
        <v>115</v>
      </c>
      <c r="F361" s="5">
        <v>117.5</v>
      </c>
      <c r="G361" s="5">
        <v>136.9</v>
      </c>
      <c r="H361" s="5">
        <v>141.30000000000001</v>
      </c>
      <c r="I361" s="5">
        <v>143.69999999999999</v>
      </c>
      <c r="J361" s="5">
        <v>143.69999999999999</v>
      </c>
      <c r="K361" s="5">
        <v>151.4</v>
      </c>
      <c r="L361" s="5">
        <v>153.9</v>
      </c>
      <c r="M361" s="5">
        <v>158</v>
      </c>
      <c r="N361" s="5">
        <v>159.19999999999999</v>
      </c>
      <c r="O361" s="5">
        <v>169.6</v>
      </c>
      <c r="P361" s="5">
        <v>171.2</v>
      </c>
      <c r="Q361" s="5">
        <v>172</v>
      </c>
      <c r="R361" s="5">
        <v>172.2</v>
      </c>
      <c r="S361" s="5">
        <v>188.7</v>
      </c>
      <c r="T361" s="5">
        <v>191.2</v>
      </c>
      <c r="U361" s="5">
        <v>198.3</v>
      </c>
      <c r="V361" s="5">
        <v>204.4</v>
      </c>
      <c r="W361" s="5">
        <v>223.2</v>
      </c>
      <c r="X361" s="5">
        <v>225.9</v>
      </c>
      <c r="Y361" s="5">
        <v>227.4</v>
      </c>
      <c r="Z361" s="5">
        <v>227.8</v>
      </c>
      <c r="AA361" s="5">
        <v>239.5</v>
      </c>
      <c r="AB361" s="5">
        <v>243.3</v>
      </c>
      <c r="AC361" s="5">
        <v>245.6</v>
      </c>
      <c r="AD361" s="5">
        <v>247.5</v>
      </c>
      <c r="AE361" s="5">
        <v>263</v>
      </c>
      <c r="AF361" s="5">
        <v>264.7</v>
      </c>
      <c r="AG361" s="5">
        <v>267</v>
      </c>
      <c r="AH361" s="5">
        <v>316.5</v>
      </c>
      <c r="AI361" s="5">
        <v>328.3</v>
      </c>
      <c r="AJ361" s="5">
        <v>340.8</v>
      </c>
      <c r="AK361" s="5">
        <v>355.3</v>
      </c>
      <c r="AL361" s="5">
        <v>370.5</v>
      </c>
      <c r="AM361" s="5">
        <v>406</v>
      </c>
      <c r="AN361" s="5">
        <v>428</v>
      </c>
      <c r="AO361" s="5">
        <v>467.8</v>
      </c>
      <c r="AP361" s="5">
        <v>487.3</v>
      </c>
      <c r="AQ361" s="5">
        <v>536.9</v>
      </c>
      <c r="AR361" s="5">
        <v>550.1</v>
      </c>
      <c r="AS361" s="5">
        <v>561.29999999999995</v>
      </c>
      <c r="AT361" s="5">
        <v>572.29999999999995</v>
      </c>
      <c r="AU361" s="5">
        <v>643.4</v>
      </c>
      <c r="AV361" s="5">
        <v>656.5</v>
      </c>
      <c r="AW361" s="5">
        <v>664.8</v>
      </c>
      <c r="AX361" s="5">
        <v>670.9</v>
      </c>
      <c r="AY361" s="5">
        <v>720</v>
      </c>
      <c r="AZ361" s="5">
        <v>725.8</v>
      </c>
      <c r="BA361" s="5">
        <v>730.8</v>
      </c>
      <c r="BB361" s="5">
        <v>732.9</v>
      </c>
      <c r="BC361" s="5">
        <v>776</v>
      </c>
      <c r="BD361" s="5">
        <v>784.1</v>
      </c>
      <c r="BE361" s="5">
        <v>790.6</v>
      </c>
      <c r="BF361" s="5">
        <v>797.1</v>
      </c>
      <c r="BG361" s="5">
        <v>852.4</v>
      </c>
      <c r="BH361" s="5">
        <v>857</v>
      </c>
      <c r="BI361" s="5">
        <v>875.3</v>
      </c>
      <c r="BJ361" s="5">
        <v>883.3</v>
      </c>
      <c r="BK361" s="5">
        <v>995.4</v>
      </c>
      <c r="BL361" s="5">
        <v>1193.3</v>
      </c>
      <c r="BM361" s="5">
        <v>1089.3</v>
      </c>
      <c r="BN361" s="5">
        <v>1254.0999999999999</v>
      </c>
      <c r="BO361" s="5">
        <v>1136</v>
      </c>
      <c r="BP361" s="5">
        <v>1171.5999999999999</v>
      </c>
      <c r="BQ361" s="5">
        <v>1474</v>
      </c>
      <c r="BR361" s="5">
        <v>1558.1</v>
      </c>
      <c r="BS361" s="5">
        <v>1641.3</v>
      </c>
      <c r="BT361" s="5">
        <v>1715.7</v>
      </c>
      <c r="BU361" s="5">
        <v>2068.4</v>
      </c>
      <c r="BV361" s="5">
        <v>2860.3</v>
      </c>
      <c r="BW361" s="5">
        <v>2376.5</v>
      </c>
      <c r="BX361" s="5">
        <v>3010.6</v>
      </c>
      <c r="BY361" s="5">
        <v>2449.1</v>
      </c>
      <c r="BZ361" s="5">
        <v>2608.3000000000002</v>
      </c>
      <c r="CA361" s="5">
        <v>3882.2</v>
      </c>
      <c r="CB361" s="5">
        <v>4190.3</v>
      </c>
      <c r="CC361" s="5">
        <v>4238</v>
      </c>
      <c r="CD361" s="5">
        <v>4365.3</v>
      </c>
      <c r="CE361" s="5">
        <v>5465.6</v>
      </c>
      <c r="CF361" s="5">
        <v>5630.3</v>
      </c>
      <c r="CG361" s="5">
        <v>6033.9</v>
      </c>
      <c r="CH361" s="5">
        <v>6367.9</v>
      </c>
      <c r="CI361" s="5">
        <v>6371.8</v>
      </c>
      <c r="CJ361" s="5">
        <v>6375.1</v>
      </c>
      <c r="CK361" s="5">
        <v>7704.4</v>
      </c>
      <c r="CL361" s="5">
        <v>8075.9</v>
      </c>
      <c r="CM361" s="5">
        <v>8251.2999999999993</v>
      </c>
      <c r="CN361" s="5">
        <v>4843.8</v>
      </c>
      <c r="CO361" s="5">
        <v>10310.700000000001</v>
      </c>
      <c r="CP361" s="5">
        <v>10810.7</v>
      </c>
      <c r="CQ361" s="5">
        <v>10854.5</v>
      </c>
      <c r="CR361" s="5">
        <v>11469.3</v>
      </c>
      <c r="CS361" s="5">
        <v>11642.5</v>
      </c>
      <c r="CT361" s="5">
        <v>11810.8</v>
      </c>
    </row>
    <row r="362" spans="1:98">
      <c r="A362" s="2" t="s">
        <v>458</v>
      </c>
      <c r="B362" s="3">
        <v>100</v>
      </c>
      <c r="C362" s="3">
        <v>108.3</v>
      </c>
      <c r="D362" s="3">
        <v>112</v>
      </c>
      <c r="E362" s="3">
        <v>114.3</v>
      </c>
      <c r="F362" s="3">
        <v>116.8</v>
      </c>
      <c r="G362" s="3">
        <v>136</v>
      </c>
      <c r="H362" s="3">
        <v>140</v>
      </c>
      <c r="I362" s="3">
        <v>143.69999999999999</v>
      </c>
      <c r="J362" s="3">
        <v>143.69999999999999</v>
      </c>
      <c r="K362" s="3">
        <v>151.5</v>
      </c>
      <c r="L362" s="3">
        <v>153.9</v>
      </c>
      <c r="M362" s="3">
        <v>157.5</v>
      </c>
      <c r="N362" s="3">
        <v>158.6</v>
      </c>
      <c r="O362" s="3">
        <v>168.5</v>
      </c>
      <c r="P362" s="3">
        <v>169.6</v>
      </c>
      <c r="Q362" s="3">
        <v>170.5</v>
      </c>
      <c r="R362" s="3">
        <v>170.7</v>
      </c>
      <c r="S362" s="3">
        <v>186.9</v>
      </c>
      <c r="T362" s="3">
        <v>188.9</v>
      </c>
      <c r="U362" s="3">
        <v>196.8</v>
      </c>
      <c r="V362" s="3">
        <v>202.9</v>
      </c>
      <c r="W362" s="3">
        <v>222.1</v>
      </c>
      <c r="X362" s="3">
        <v>226</v>
      </c>
      <c r="Y362" s="3">
        <v>227.8</v>
      </c>
      <c r="Z362" s="3">
        <v>227.4</v>
      </c>
      <c r="AA362" s="3">
        <v>238.6</v>
      </c>
      <c r="AB362" s="3">
        <v>242.6</v>
      </c>
      <c r="AC362" s="3">
        <v>244.6</v>
      </c>
      <c r="AD362" s="3">
        <v>246.2</v>
      </c>
      <c r="AE362" s="3">
        <v>262.89999999999998</v>
      </c>
      <c r="AF362" s="3">
        <v>264.3</v>
      </c>
      <c r="AG362" s="3">
        <v>266.39999999999998</v>
      </c>
      <c r="AH362" s="3">
        <v>319.89999999999998</v>
      </c>
      <c r="AI362" s="3">
        <v>329.6</v>
      </c>
      <c r="AJ362" s="3">
        <v>341.9</v>
      </c>
      <c r="AK362" s="3">
        <v>357.6</v>
      </c>
      <c r="AL362" s="3">
        <v>372.2</v>
      </c>
      <c r="AM362" s="3">
        <v>404.8</v>
      </c>
      <c r="AN362" s="3">
        <v>429.1</v>
      </c>
      <c r="AO362" s="3">
        <v>470.5</v>
      </c>
      <c r="AP362" s="3">
        <v>490</v>
      </c>
      <c r="AQ362" s="3">
        <v>536.1</v>
      </c>
      <c r="AR362" s="3">
        <v>548.9</v>
      </c>
      <c r="AS362" s="3">
        <v>559.1</v>
      </c>
      <c r="AT362" s="3">
        <v>569.5</v>
      </c>
      <c r="AU362" s="3">
        <v>636.4</v>
      </c>
      <c r="AV362" s="3">
        <v>648.70000000000005</v>
      </c>
      <c r="AW362" s="3">
        <v>655</v>
      </c>
      <c r="AX362" s="3">
        <v>661.8</v>
      </c>
      <c r="AY362" s="3">
        <v>711.3</v>
      </c>
      <c r="AZ362" s="3">
        <v>715.8</v>
      </c>
      <c r="BA362" s="3">
        <v>718.2</v>
      </c>
      <c r="BB362" s="3">
        <v>720.1</v>
      </c>
      <c r="BC362" s="3">
        <v>762</v>
      </c>
      <c r="BD362" s="3">
        <v>769.2</v>
      </c>
      <c r="BE362" s="3">
        <v>776</v>
      </c>
      <c r="BF362" s="3">
        <v>782.8</v>
      </c>
      <c r="BG362" s="3">
        <v>838.5</v>
      </c>
      <c r="BH362" s="3">
        <v>840.3</v>
      </c>
      <c r="BI362" s="3">
        <v>859.3</v>
      </c>
      <c r="BJ362" s="3">
        <v>866.9</v>
      </c>
      <c r="BK362" s="3">
        <v>973</v>
      </c>
      <c r="BL362" s="3">
        <v>1175.3</v>
      </c>
      <c r="BM362" s="3">
        <v>1067.9000000000001</v>
      </c>
      <c r="BN362" s="3">
        <v>1234.2</v>
      </c>
      <c r="BO362" s="3">
        <v>1110.4000000000001</v>
      </c>
      <c r="BP362" s="3">
        <v>1149.5</v>
      </c>
      <c r="BQ362" s="3">
        <v>1448.1</v>
      </c>
      <c r="BR362" s="3">
        <v>1533.2</v>
      </c>
      <c r="BS362" s="3">
        <v>1601.9</v>
      </c>
      <c r="BT362" s="3">
        <v>1678.5</v>
      </c>
      <c r="BU362" s="3">
        <v>2006.7</v>
      </c>
      <c r="BV362" s="3">
        <v>2801.1</v>
      </c>
      <c r="BW362" s="3">
        <v>2296.1</v>
      </c>
      <c r="BX362" s="3">
        <v>2953.3</v>
      </c>
      <c r="BY362" s="3">
        <v>2370.6</v>
      </c>
      <c r="BZ362" s="3">
        <v>2535</v>
      </c>
      <c r="CA362" s="3">
        <v>3816.6</v>
      </c>
      <c r="CB362" s="3">
        <v>4107.1000000000004</v>
      </c>
      <c r="CC362" s="3">
        <v>4143.3999999999996</v>
      </c>
      <c r="CD362" s="3">
        <v>4256.6000000000004</v>
      </c>
      <c r="CE362" s="3">
        <v>5317.5</v>
      </c>
      <c r="CF362" s="3">
        <v>5469.5</v>
      </c>
      <c r="CG362" s="3">
        <v>5847.9</v>
      </c>
      <c r="CH362" s="3">
        <v>6181.7</v>
      </c>
      <c r="CI362" s="3">
        <v>6182.6</v>
      </c>
      <c r="CJ362" s="3">
        <v>6183.3</v>
      </c>
      <c r="CK362" s="3">
        <v>7467.4</v>
      </c>
      <c r="CL362" s="3">
        <v>7807</v>
      </c>
      <c r="CM362" s="3">
        <v>7952.1</v>
      </c>
      <c r="CN362" s="3">
        <v>8197.2999999999993</v>
      </c>
      <c r="CO362" s="3">
        <v>9943.2000000000007</v>
      </c>
      <c r="CP362" s="3">
        <v>10424.700000000001</v>
      </c>
      <c r="CQ362" s="3">
        <v>10440.700000000001</v>
      </c>
      <c r="CR362" s="3">
        <v>11095.6</v>
      </c>
      <c r="CS362" s="3">
        <v>11236.6</v>
      </c>
      <c r="CT362" s="3">
        <v>11403</v>
      </c>
    </row>
    <row r="363" spans="1:98">
      <c r="A363" s="4" t="s">
        <v>459</v>
      </c>
      <c r="B363" s="5">
        <v>100</v>
      </c>
      <c r="C363" s="5">
        <v>108.4</v>
      </c>
      <c r="D363" s="5">
        <v>112.3</v>
      </c>
      <c r="E363" s="5">
        <v>114.9</v>
      </c>
      <c r="F363" s="5">
        <v>117.5</v>
      </c>
      <c r="G363" s="5">
        <v>136.69999999999999</v>
      </c>
      <c r="H363" s="5">
        <v>141.1</v>
      </c>
      <c r="I363" s="5">
        <v>143.5</v>
      </c>
      <c r="J363" s="5">
        <v>143.5</v>
      </c>
      <c r="K363" s="5">
        <v>152</v>
      </c>
      <c r="L363" s="5">
        <v>154.6</v>
      </c>
      <c r="M363" s="5">
        <v>158.30000000000001</v>
      </c>
      <c r="N363" s="5">
        <v>159.6</v>
      </c>
      <c r="O363" s="5">
        <v>170.5</v>
      </c>
      <c r="P363" s="5">
        <v>171.8</v>
      </c>
      <c r="Q363" s="5">
        <v>172.7</v>
      </c>
      <c r="R363" s="5">
        <v>172.9</v>
      </c>
      <c r="S363" s="5">
        <v>188.5</v>
      </c>
      <c r="T363" s="5">
        <v>190.8</v>
      </c>
      <c r="U363" s="5">
        <v>198.4</v>
      </c>
      <c r="V363" s="5">
        <v>205</v>
      </c>
      <c r="W363" s="5">
        <v>224.5</v>
      </c>
      <c r="X363" s="5">
        <v>227.1</v>
      </c>
      <c r="Y363" s="5">
        <v>229.3</v>
      </c>
      <c r="Z363" s="5">
        <v>229.7</v>
      </c>
      <c r="AA363" s="5">
        <v>242.3</v>
      </c>
      <c r="AB363" s="5">
        <v>246.5</v>
      </c>
      <c r="AC363" s="5">
        <v>248.8</v>
      </c>
      <c r="AD363" s="5">
        <v>250.6</v>
      </c>
      <c r="AE363" s="5">
        <v>266.10000000000002</v>
      </c>
      <c r="AF363" s="5">
        <v>267.60000000000002</v>
      </c>
      <c r="AG363" s="5">
        <v>270.10000000000002</v>
      </c>
      <c r="AH363" s="5">
        <v>325.5</v>
      </c>
      <c r="AI363" s="5">
        <v>336.5</v>
      </c>
      <c r="AJ363" s="5">
        <v>349.5</v>
      </c>
      <c r="AK363" s="5">
        <v>365.9</v>
      </c>
      <c r="AL363" s="5">
        <v>381.2</v>
      </c>
      <c r="AM363" s="5">
        <v>416.4</v>
      </c>
      <c r="AN363" s="5">
        <v>440.4</v>
      </c>
      <c r="AO363" s="5">
        <v>484.2</v>
      </c>
      <c r="AP363" s="5">
        <v>504.7</v>
      </c>
      <c r="AQ363" s="5">
        <v>554.79999999999995</v>
      </c>
      <c r="AR363" s="5">
        <v>568.4</v>
      </c>
      <c r="AS363" s="5">
        <v>579.29999999999995</v>
      </c>
      <c r="AT363" s="5">
        <v>590.5</v>
      </c>
      <c r="AU363" s="5">
        <v>663.5</v>
      </c>
      <c r="AV363" s="5">
        <v>676.6</v>
      </c>
      <c r="AW363" s="5">
        <v>683.5</v>
      </c>
      <c r="AX363" s="5">
        <v>691</v>
      </c>
      <c r="AY363" s="5">
        <v>745.5</v>
      </c>
      <c r="AZ363" s="5">
        <v>750.3</v>
      </c>
      <c r="BA363" s="5">
        <v>752.9</v>
      </c>
      <c r="BB363" s="5">
        <v>755.1</v>
      </c>
      <c r="BC363" s="5">
        <v>801.2</v>
      </c>
      <c r="BD363" s="5">
        <v>808.9</v>
      </c>
      <c r="BE363" s="5">
        <v>816.3</v>
      </c>
      <c r="BF363" s="5">
        <v>823.7</v>
      </c>
      <c r="BG363" s="5">
        <v>882.6</v>
      </c>
      <c r="BH363" s="5">
        <v>884.5</v>
      </c>
      <c r="BI363" s="5">
        <v>904.7</v>
      </c>
      <c r="BJ363" s="5">
        <v>913</v>
      </c>
      <c r="BK363" s="5">
        <v>1029</v>
      </c>
      <c r="BL363" s="5">
        <v>1232.0999999999999</v>
      </c>
      <c r="BM363" s="5">
        <v>1128.5</v>
      </c>
      <c r="BN363" s="5">
        <v>1291.4000000000001</v>
      </c>
      <c r="BO363" s="5">
        <v>1172.0999999999999</v>
      </c>
      <c r="BP363" s="5">
        <v>1212.7</v>
      </c>
      <c r="BQ363" s="5">
        <v>1525.1</v>
      </c>
      <c r="BR363" s="5">
        <v>1615.5</v>
      </c>
      <c r="BS363" s="5">
        <v>1685.7</v>
      </c>
      <c r="BT363" s="5">
        <v>1766.1</v>
      </c>
      <c r="BU363" s="5">
        <v>2117.5</v>
      </c>
      <c r="BV363" s="5">
        <v>2927.4</v>
      </c>
      <c r="BW363" s="5">
        <v>2419.1999999999998</v>
      </c>
      <c r="BX363" s="5">
        <v>3086.1</v>
      </c>
      <c r="BY363" s="5">
        <v>2496.1</v>
      </c>
      <c r="BZ363" s="5">
        <v>2658.5</v>
      </c>
      <c r="CA363" s="5">
        <v>4004.2</v>
      </c>
      <c r="CB363" s="5">
        <v>4296.8999999999996</v>
      </c>
      <c r="CC363" s="5">
        <v>4331.6000000000004</v>
      </c>
      <c r="CD363" s="5">
        <v>4447.7</v>
      </c>
      <c r="CE363" s="5">
        <v>5580.9</v>
      </c>
      <c r="CF363" s="5">
        <v>5737.7</v>
      </c>
      <c r="CG363" s="5">
        <v>6137</v>
      </c>
      <c r="CH363" s="5">
        <v>6488.6</v>
      </c>
      <c r="CI363" s="5">
        <v>6489.3</v>
      </c>
      <c r="CJ363" s="5">
        <v>6489.8</v>
      </c>
      <c r="CK363" s="5">
        <v>7858.2</v>
      </c>
      <c r="CL363" s="5">
        <v>8213.7999999999993</v>
      </c>
      <c r="CM363" s="5">
        <v>8343.6</v>
      </c>
      <c r="CN363" s="5">
        <v>8598</v>
      </c>
      <c r="CO363" s="5">
        <v>10450.4</v>
      </c>
      <c r="CP363" s="5">
        <v>10952.1</v>
      </c>
      <c r="CQ363" s="5">
        <v>10963.8</v>
      </c>
      <c r="CR363" s="5">
        <v>11649.6</v>
      </c>
      <c r="CS363" s="5">
        <v>11793.9</v>
      </c>
      <c r="CT363" s="5">
        <v>11965.7</v>
      </c>
    </row>
    <row r="364" spans="1:98">
      <c r="A364" s="2" t="s">
        <v>460</v>
      </c>
      <c r="B364" s="3">
        <v>100</v>
      </c>
      <c r="C364" s="3">
        <v>107.3</v>
      </c>
      <c r="D364" s="3">
        <v>110.4</v>
      </c>
      <c r="E364" s="3">
        <v>111.7</v>
      </c>
      <c r="F364" s="3">
        <v>114.6</v>
      </c>
      <c r="G364" s="3">
        <v>133.30000000000001</v>
      </c>
      <c r="H364" s="3">
        <v>137.6</v>
      </c>
      <c r="I364" s="3">
        <v>141.69999999999999</v>
      </c>
      <c r="J364" s="3">
        <v>141.5</v>
      </c>
      <c r="K364" s="3">
        <v>147.30000000000001</v>
      </c>
      <c r="L364" s="3">
        <v>148</v>
      </c>
      <c r="M364" s="3">
        <v>150.1</v>
      </c>
      <c r="N364" s="3">
        <v>151.4</v>
      </c>
      <c r="O364" s="3">
        <v>162.1</v>
      </c>
      <c r="P364" s="3">
        <v>167.4</v>
      </c>
      <c r="Q364" s="3">
        <v>172.1</v>
      </c>
      <c r="R364" s="3">
        <v>173.3</v>
      </c>
      <c r="S364" s="3">
        <v>191</v>
      </c>
      <c r="T364" s="3">
        <v>193.7</v>
      </c>
      <c r="U364" s="3">
        <v>202.7</v>
      </c>
      <c r="V364" s="3">
        <v>208.4</v>
      </c>
      <c r="W364" s="3">
        <v>233.3</v>
      </c>
      <c r="X364" s="3">
        <v>243.4</v>
      </c>
      <c r="Y364" s="3">
        <v>239.8</v>
      </c>
      <c r="Z364" s="3">
        <v>228.8</v>
      </c>
      <c r="AA364" s="3">
        <v>239.3</v>
      </c>
      <c r="AB364" s="3">
        <v>243.9</v>
      </c>
      <c r="AC364" s="3">
        <v>244.2</v>
      </c>
      <c r="AD364" s="3">
        <v>246.5</v>
      </c>
      <c r="AE364" s="3">
        <v>262.3</v>
      </c>
      <c r="AF364" s="3">
        <v>267.10000000000002</v>
      </c>
      <c r="AG364" s="3">
        <v>274.7</v>
      </c>
      <c r="AH364" s="3">
        <v>298</v>
      </c>
      <c r="AI364" s="3">
        <v>312.3</v>
      </c>
      <c r="AJ364" s="3">
        <v>322.60000000000002</v>
      </c>
      <c r="AK364" s="3">
        <v>334.4</v>
      </c>
      <c r="AL364" s="3">
        <v>349.9</v>
      </c>
      <c r="AM364" s="3">
        <v>390.9</v>
      </c>
      <c r="AN364" s="3">
        <v>418.4</v>
      </c>
      <c r="AO364" s="3">
        <v>456.4</v>
      </c>
      <c r="AP364" s="3">
        <v>472.3</v>
      </c>
      <c r="AQ364" s="3">
        <v>521.79999999999995</v>
      </c>
      <c r="AR364" s="3">
        <v>533</v>
      </c>
      <c r="AS364" s="3">
        <v>542.1</v>
      </c>
      <c r="AT364" s="3">
        <v>548</v>
      </c>
      <c r="AU364" s="3">
        <v>616.70000000000005</v>
      </c>
      <c r="AV364" s="3">
        <v>625.4</v>
      </c>
      <c r="AW364" s="3">
        <v>633.4</v>
      </c>
      <c r="AX364" s="3">
        <v>637.5</v>
      </c>
      <c r="AY364" s="3">
        <v>677.8</v>
      </c>
      <c r="AZ364" s="3">
        <v>680.6</v>
      </c>
      <c r="BA364" s="3">
        <v>681.5</v>
      </c>
      <c r="BB364" s="3">
        <v>680.7</v>
      </c>
      <c r="BC364" s="3">
        <v>727.1</v>
      </c>
      <c r="BD364" s="3">
        <v>735</v>
      </c>
      <c r="BE364" s="3">
        <v>743.7</v>
      </c>
      <c r="BF364" s="3">
        <v>752.4</v>
      </c>
      <c r="BG364" s="3">
        <v>806.2</v>
      </c>
      <c r="BH364" s="3">
        <v>824.9</v>
      </c>
      <c r="BI364" s="3">
        <v>846.9</v>
      </c>
      <c r="BJ364" s="3">
        <v>854.8</v>
      </c>
      <c r="BK364" s="3">
        <v>978.1</v>
      </c>
      <c r="BL364" s="3">
        <v>1178.7</v>
      </c>
      <c r="BM364" s="3">
        <v>1054.9000000000001</v>
      </c>
      <c r="BN364" s="3">
        <v>1215.3</v>
      </c>
      <c r="BO364" s="3">
        <v>1128.7</v>
      </c>
      <c r="BP364" s="3">
        <v>1154.0999999999999</v>
      </c>
      <c r="BQ364" s="3">
        <v>1442.9</v>
      </c>
      <c r="BR364" s="3">
        <v>1499.3</v>
      </c>
      <c r="BS364" s="3">
        <v>1546.6</v>
      </c>
      <c r="BT364" s="3">
        <v>1635.7</v>
      </c>
      <c r="BU364" s="3">
        <v>1965</v>
      </c>
      <c r="BV364" s="3">
        <v>2720.1</v>
      </c>
      <c r="BW364" s="3">
        <v>2302</v>
      </c>
      <c r="BX364" s="3">
        <v>2872.2</v>
      </c>
      <c r="BY364" s="3">
        <v>2402.3000000000002</v>
      </c>
      <c r="BZ364" s="3">
        <v>2502.1</v>
      </c>
      <c r="CA364" s="3">
        <v>3629.9</v>
      </c>
      <c r="CB364" s="3">
        <v>3885.7</v>
      </c>
      <c r="CC364" s="3">
        <v>3905.8</v>
      </c>
      <c r="CD364" s="3">
        <v>3971.1</v>
      </c>
      <c r="CE364" s="3">
        <v>4929</v>
      </c>
      <c r="CF364" s="3">
        <v>4992.3</v>
      </c>
      <c r="CG364" s="3">
        <v>5282.1</v>
      </c>
      <c r="CH364" s="3">
        <v>5656.6</v>
      </c>
      <c r="CI364" s="3">
        <v>5764.2</v>
      </c>
      <c r="CJ364" s="3">
        <v>5944.9</v>
      </c>
      <c r="CK364" s="3">
        <v>6984.2</v>
      </c>
      <c r="CL364" s="3">
        <v>7169.9</v>
      </c>
      <c r="CM364" s="3">
        <v>7261.9</v>
      </c>
      <c r="CN364" s="3">
        <v>7481.8</v>
      </c>
      <c r="CO364" s="3">
        <v>9004.7000000000007</v>
      </c>
      <c r="CP364" s="3">
        <v>9360</v>
      </c>
      <c r="CQ364" s="3">
        <v>9424.9</v>
      </c>
      <c r="CR364" s="3">
        <v>9890.1</v>
      </c>
      <c r="CS364" s="3">
        <v>10117.200000000001</v>
      </c>
      <c r="CT364" s="3">
        <v>10357.200000000001</v>
      </c>
    </row>
    <row r="365" spans="1:98">
      <c r="A365" s="4" t="s">
        <v>461</v>
      </c>
      <c r="B365" s="5">
        <v>100</v>
      </c>
      <c r="C365" s="5">
        <v>109.2</v>
      </c>
      <c r="D365" s="5">
        <v>112.8</v>
      </c>
      <c r="E365" s="5">
        <v>115</v>
      </c>
      <c r="F365" s="5">
        <v>117.5</v>
      </c>
      <c r="G365" s="5">
        <v>135.80000000000001</v>
      </c>
      <c r="H365" s="5">
        <v>139.9</v>
      </c>
      <c r="I365" s="5">
        <v>143</v>
      </c>
      <c r="J365" s="5">
        <v>142.80000000000001</v>
      </c>
      <c r="K365" s="5">
        <v>151.4</v>
      </c>
      <c r="L365" s="5">
        <v>153.69999999999999</v>
      </c>
      <c r="M365" s="5">
        <v>157.1</v>
      </c>
      <c r="N365" s="5">
        <v>158.1</v>
      </c>
      <c r="O365" s="5">
        <v>170.9</v>
      </c>
      <c r="P365" s="5">
        <v>172.6</v>
      </c>
      <c r="Q365" s="5">
        <v>173.7</v>
      </c>
      <c r="R365" s="5">
        <v>174</v>
      </c>
      <c r="S365" s="5">
        <v>191.5</v>
      </c>
      <c r="T365" s="5">
        <v>193.9</v>
      </c>
      <c r="U365" s="5">
        <v>201.9</v>
      </c>
      <c r="V365" s="5">
        <v>207.4</v>
      </c>
      <c r="W365" s="5">
        <v>229.2</v>
      </c>
      <c r="X365" s="5">
        <v>232</v>
      </c>
      <c r="Y365" s="5">
        <v>234.8</v>
      </c>
      <c r="Z365" s="5">
        <v>235.3</v>
      </c>
      <c r="AA365" s="5">
        <v>252</v>
      </c>
      <c r="AB365" s="5">
        <v>255.4</v>
      </c>
      <c r="AC365" s="5">
        <v>258.60000000000002</v>
      </c>
      <c r="AD365" s="5">
        <v>261.3</v>
      </c>
      <c r="AE365" s="5">
        <v>278.3</v>
      </c>
      <c r="AF365" s="5">
        <v>279.89999999999998</v>
      </c>
      <c r="AG365" s="5">
        <v>285.39999999999998</v>
      </c>
      <c r="AH365" s="5">
        <v>317.39999999999998</v>
      </c>
      <c r="AI365" s="5">
        <v>334.7</v>
      </c>
      <c r="AJ365" s="5">
        <v>345.3</v>
      </c>
      <c r="AK365" s="5">
        <v>356.1</v>
      </c>
      <c r="AL365" s="5">
        <v>366.2</v>
      </c>
      <c r="AM365" s="5">
        <v>404.1</v>
      </c>
      <c r="AN365" s="5">
        <v>425</v>
      </c>
      <c r="AO365" s="5">
        <v>458.4</v>
      </c>
      <c r="AP365" s="5">
        <v>472.9</v>
      </c>
      <c r="AQ365" s="5">
        <v>528.4</v>
      </c>
      <c r="AR365" s="5">
        <v>539.1</v>
      </c>
      <c r="AS365" s="5">
        <v>542.79999999999995</v>
      </c>
      <c r="AT365" s="5">
        <v>553.29999999999995</v>
      </c>
      <c r="AU365" s="5">
        <v>621.9</v>
      </c>
      <c r="AV365" s="5">
        <v>634.1</v>
      </c>
      <c r="AW365" s="5">
        <v>640.20000000000005</v>
      </c>
      <c r="AX365" s="5">
        <v>647.4</v>
      </c>
      <c r="AY365" s="5">
        <v>698.5</v>
      </c>
      <c r="AZ365" s="5">
        <v>703.1</v>
      </c>
      <c r="BA365" s="5">
        <v>705.7</v>
      </c>
      <c r="BB365" s="5">
        <v>707</v>
      </c>
      <c r="BC365" s="5">
        <v>750.1</v>
      </c>
      <c r="BD365" s="5">
        <v>757.2</v>
      </c>
      <c r="BE365" s="5">
        <v>764.3</v>
      </c>
      <c r="BF365" s="5">
        <v>771.3</v>
      </c>
      <c r="BG365" s="5">
        <v>826.8</v>
      </c>
      <c r="BH365" s="5">
        <v>828.4</v>
      </c>
      <c r="BI365" s="5">
        <v>846.9</v>
      </c>
      <c r="BJ365" s="5">
        <v>854.6</v>
      </c>
      <c r="BK365" s="5">
        <v>963.1</v>
      </c>
      <c r="BL365" s="5">
        <v>1153.7</v>
      </c>
      <c r="BM365" s="5">
        <v>1056.3</v>
      </c>
      <c r="BN365" s="5">
        <v>1208.4000000000001</v>
      </c>
      <c r="BO365" s="5">
        <v>1097.3</v>
      </c>
      <c r="BP365" s="5">
        <v>1134.9000000000001</v>
      </c>
      <c r="BQ365" s="5">
        <v>1427.1</v>
      </c>
      <c r="BR365" s="5">
        <v>1511.7</v>
      </c>
      <c r="BS365" s="5">
        <v>1577</v>
      </c>
      <c r="BT365" s="5">
        <v>1653.1</v>
      </c>
      <c r="BU365" s="5">
        <v>1982.1</v>
      </c>
      <c r="BV365" s="5">
        <v>2740.8</v>
      </c>
      <c r="BW365" s="5">
        <v>2264.6999999999998</v>
      </c>
      <c r="BX365" s="5">
        <v>2888</v>
      </c>
      <c r="BY365" s="5">
        <v>2335.8000000000002</v>
      </c>
      <c r="BZ365" s="5">
        <v>2487.9</v>
      </c>
      <c r="CA365" s="5">
        <v>3745.7</v>
      </c>
      <c r="CB365" s="5">
        <v>4020.1</v>
      </c>
      <c r="CC365" s="5">
        <v>4066</v>
      </c>
      <c r="CD365" s="5">
        <v>4173.2</v>
      </c>
      <c r="CE365" s="5">
        <v>5237.3999999999996</v>
      </c>
      <c r="CF365" s="5">
        <v>5383.4</v>
      </c>
      <c r="CG365" s="5">
        <v>5759</v>
      </c>
      <c r="CH365" s="5">
        <v>6088.7</v>
      </c>
      <c r="CI365" s="5">
        <v>6088.7</v>
      </c>
      <c r="CJ365" s="5">
        <v>6088.7</v>
      </c>
      <c r="CK365" s="5">
        <v>7373.4</v>
      </c>
      <c r="CL365" s="5">
        <v>7708.3</v>
      </c>
      <c r="CM365" s="5">
        <v>7830.1</v>
      </c>
      <c r="CN365" s="5">
        <v>8067.5</v>
      </c>
      <c r="CO365" s="5">
        <v>9785.9</v>
      </c>
      <c r="CP365" s="5">
        <v>10213.5</v>
      </c>
      <c r="CQ365" s="5">
        <v>10286.1</v>
      </c>
      <c r="CR365" s="5">
        <v>10931.5</v>
      </c>
      <c r="CS365" s="5">
        <v>11068.6</v>
      </c>
      <c r="CT365" s="5">
        <v>11230</v>
      </c>
    </row>
    <row r="366" spans="1:98">
      <c r="A366" s="2" t="s">
        <v>462</v>
      </c>
      <c r="B366" s="3">
        <v>100</v>
      </c>
      <c r="C366" s="3">
        <v>109.2</v>
      </c>
      <c r="D366" s="3">
        <v>110.9</v>
      </c>
      <c r="E366" s="3">
        <v>115.2</v>
      </c>
      <c r="F366" s="3">
        <v>121.8</v>
      </c>
      <c r="G366" s="3">
        <v>138.6</v>
      </c>
      <c r="H366" s="3">
        <v>142.5</v>
      </c>
      <c r="I366" s="3">
        <v>145.9</v>
      </c>
      <c r="J366" s="3">
        <v>145.1</v>
      </c>
      <c r="K366" s="3">
        <v>150.69999999999999</v>
      </c>
      <c r="L366" s="3">
        <v>152.9</v>
      </c>
      <c r="M366" s="3">
        <v>154.5</v>
      </c>
      <c r="N366" s="3">
        <v>154.6</v>
      </c>
      <c r="O366" s="3">
        <v>162.80000000000001</v>
      </c>
      <c r="P366" s="3">
        <v>165.1</v>
      </c>
      <c r="Q366" s="3">
        <v>168.9</v>
      </c>
      <c r="R366" s="3">
        <v>170.2</v>
      </c>
      <c r="S366" s="3">
        <v>188.7</v>
      </c>
      <c r="T366" s="3">
        <v>191.3</v>
      </c>
      <c r="U366" s="3">
        <v>199.7</v>
      </c>
      <c r="V366" s="3">
        <v>205.1</v>
      </c>
      <c r="W366" s="3">
        <v>228.1</v>
      </c>
      <c r="X366" s="3">
        <v>240.6</v>
      </c>
      <c r="Y366" s="3">
        <v>236.4</v>
      </c>
      <c r="Z366" s="3">
        <v>229.5</v>
      </c>
      <c r="AA366" s="3">
        <v>236.8</v>
      </c>
      <c r="AB366" s="3">
        <v>240.6</v>
      </c>
      <c r="AC366" s="3">
        <v>242.3</v>
      </c>
      <c r="AD366" s="3">
        <v>244.5</v>
      </c>
      <c r="AE366" s="3">
        <v>257.89999999999998</v>
      </c>
      <c r="AF366" s="3">
        <v>260.10000000000002</v>
      </c>
      <c r="AG366" s="3">
        <v>265.3</v>
      </c>
      <c r="AH366" s="3">
        <v>289.39999999999998</v>
      </c>
      <c r="AI366" s="3">
        <v>302.3</v>
      </c>
      <c r="AJ366" s="3">
        <v>315</v>
      </c>
      <c r="AK366" s="3">
        <v>324.7</v>
      </c>
      <c r="AL366" s="3">
        <v>339.4</v>
      </c>
      <c r="AM366" s="3">
        <v>365.1</v>
      </c>
      <c r="AN366" s="3">
        <v>389.7</v>
      </c>
      <c r="AO366" s="3">
        <v>433</v>
      </c>
      <c r="AP366" s="3">
        <v>446.6</v>
      </c>
      <c r="AQ366" s="3">
        <v>486.4</v>
      </c>
      <c r="AR366" s="3">
        <v>498.3</v>
      </c>
      <c r="AS366" s="3">
        <v>510.9</v>
      </c>
      <c r="AT366" s="3">
        <v>517.4</v>
      </c>
      <c r="AU366" s="3">
        <v>569.5</v>
      </c>
      <c r="AV366" s="3">
        <v>590.20000000000005</v>
      </c>
      <c r="AW366" s="3">
        <v>594.20000000000005</v>
      </c>
      <c r="AX366" s="3">
        <v>593.4</v>
      </c>
      <c r="AY366" s="3">
        <v>621.29999999999995</v>
      </c>
      <c r="AZ366" s="3">
        <v>623.9</v>
      </c>
      <c r="BA366" s="3">
        <v>619.70000000000005</v>
      </c>
      <c r="BB366" s="3">
        <v>618.4</v>
      </c>
      <c r="BC366" s="3">
        <v>658.9</v>
      </c>
      <c r="BD366" s="3">
        <v>664.8</v>
      </c>
      <c r="BE366" s="3">
        <v>682</v>
      </c>
      <c r="BF366" s="3">
        <v>689.5</v>
      </c>
      <c r="BG366" s="3">
        <v>737.3</v>
      </c>
      <c r="BH366" s="3">
        <v>752.1</v>
      </c>
      <c r="BI366" s="3">
        <v>769.1</v>
      </c>
      <c r="BJ366" s="3">
        <v>780.2</v>
      </c>
      <c r="BK366" s="3">
        <v>877</v>
      </c>
      <c r="BL366" s="3">
        <v>1064.0999999999999</v>
      </c>
      <c r="BM366" s="3">
        <v>945.7</v>
      </c>
      <c r="BN366" s="3">
        <v>1087.3</v>
      </c>
      <c r="BO366" s="3">
        <v>1004.5</v>
      </c>
      <c r="BP366" s="3">
        <v>1026.4000000000001</v>
      </c>
      <c r="BQ366" s="3">
        <v>1269.5</v>
      </c>
      <c r="BR366" s="3">
        <v>1339.6</v>
      </c>
      <c r="BS366" s="3">
        <v>1390.2</v>
      </c>
      <c r="BT366" s="3">
        <v>1482.4</v>
      </c>
      <c r="BU366" s="3">
        <v>1769.7</v>
      </c>
      <c r="BV366" s="3">
        <v>2593.6</v>
      </c>
      <c r="BW366" s="3">
        <v>2085.5</v>
      </c>
      <c r="BX366" s="3">
        <v>2725.1</v>
      </c>
      <c r="BY366" s="3">
        <v>2189.4</v>
      </c>
      <c r="BZ366" s="3">
        <v>2305</v>
      </c>
      <c r="CA366" s="3">
        <v>3400</v>
      </c>
      <c r="CB366" s="3">
        <v>3756.2</v>
      </c>
      <c r="CC366" s="3">
        <v>3795.8</v>
      </c>
      <c r="CD366" s="3">
        <v>3827</v>
      </c>
      <c r="CE366" s="3">
        <v>4638.3</v>
      </c>
      <c r="CF366" s="3">
        <v>4673.3</v>
      </c>
      <c r="CG366" s="3">
        <v>4977</v>
      </c>
      <c r="CH366" s="3">
        <v>5380.4</v>
      </c>
      <c r="CI366" s="3">
        <v>5472.4</v>
      </c>
      <c r="CJ366" s="3">
        <v>5742.4</v>
      </c>
      <c r="CK366" s="3">
        <v>6682.3</v>
      </c>
      <c r="CL366" s="3">
        <v>6775</v>
      </c>
      <c r="CM366" s="3">
        <v>6969.4</v>
      </c>
      <c r="CN366" s="3">
        <v>7175.5</v>
      </c>
      <c r="CO366" s="3">
        <v>8421.7000000000007</v>
      </c>
      <c r="CP366" s="3">
        <v>8874.5</v>
      </c>
      <c r="CQ366" s="3">
        <v>8974.1</v>
      </c>
      <c r="CR366" s="3">
        <v>9459.2999999999993</v>
      </c>
      <c r="CS366" s="3">
        <v>9803.2000000000007</v>
      </c>
      <c r="CT366" s="3">
        <v>10231.700000000001</v>
      </c>
    </row>
    <row r="367" spans="1:98">
      <c r="A367" s="4" t="s">
        <v>463</v>
      </c>
      <c r="B367" s="5">
        <v>100</v>
      </c>
      <c r="C367" s="5">
        <v>110.2</v>
      </c>
      <c r="D367" s="5">
        <v>114.2</v>
      </c>
      <c r="E367" s="5">
        <v>116</v>
      </c>
      <c r="F367" s="5">
        <v>118</v>
      </c>
      <c r="G367" s="5">
        <v>138.6</v>
      </c>
      <c r="H367" s="5">
        <v>142.80000000000001</v>
      </c>
      <c r="I367" s="5">
        <v>145.80000000000001</v>
      </c>
      <c r="J367" s="5">
        <v>145.80000000000001</v>
      </c>
      <c r="K367" s="5">
        <v>153.80000000000001</v>
      </c>
      <c r="L367" s="5">
        <v>156.1</v>
      </c>
      <c r="M367" s="5">
        <v>159.5</v>
      </c>
      <c r="N367" s="5">
        <v>160.6</v>
      </c>
      <c r="O367" s="5">
        <v>171.5</v>
      </c>
      <c r="P367" s="5">
        <v>173.5</v>
      </c>
      <c r="Q367" s="5">
        <v>174.6</v>
      </c>
      <c r="R367" s="5">
        <v>174.9</v>
      </c>
      <c r="S367" s="5">
        <v>191.5</v>
      </c>
      <c r="T367" s="5">
        <v>195.1</v>
      </c>
      <c r="U367" s="5">
        <v>202.3</v>
      </c>
      <c r="V367" s="5">
        <v>207.8</v>
      </c>
      <c r="W367" s="5">
        <v>231.9</v>
      </c>
      <c r="X367" s="5">
        <v>236</v>
      </c>
      <c r="Y367" s="5">
        <v>238.1</v>
      </c>
      <c r="Z367" s="5">
        <v>238.6</v>
      </c>
      <c r="AA367" s="5">
        <v>251.2</v>
      </c>
      <c r="AB367" s="5">
        <v>254.7</v>
      </c>
      <c r="AC367" s="5">
        <v>257.7</v>
      </c>
      <c r="AD367" s="5">
        <v>259.89999999999998</v>
      </c>
      <c r="AE367" s="5">
        <v>276.3</v>
      </c>
      <c r="AF367" s="5">
        <v>278</v>
      </c>
      <c r="AG367" s="5">
        <v>281</v>
      </c>
      <c r="AH367" s="5">
        <v>323.8</v>
      </c>
      <c r="AI367" s="5">
        <v>337.2</v>
      </c>
      <c r="AJ367" s="5">
        <v>347.9</v>
      </c>
      <c r="AK367" s="5">
        <v>361.4</v>
      </c>
      <c r="AL367" s="5">
        <v>376.7</v>
      </c>
      <c r="AM367" s="5">
        <v>412.4</v>
      </c>
      <c r="AN367" s="5">
        <v>434.9</v>
      </c>
      <c r="AO367" s="5">
        <v>470.1</v>
      </c>
      <c r="AP367" s="5">
        <v>490.3</v>
      </c>
      <c r="AQ367" s="5">
        <v>538.29999999999995</v>
      </c>
      <c r="AR367" s="5">
        <v>549</v>
      </c>
      <c r="AS367" s="5">
        <v>559</v>
      </c>
      <c r="AT367" s="5">
        <v>571.6</v>
      </c>
      <c r="AU367" s="5">
        <v>646.70000000000005</v>
      </c>
      <c r="AV367" s="5">
        <v>660.2</v>
      </c>
      <c r="AW367" s="5">
        <v>669.7</v>
      </c>
      <c r="AX367" s="5">
        <v>676.4</v>
      </c>
      <c r="AY367" s="5">
        <v>726.8</v>
      </c>
      <c r="AZ367" s="5">
        <v>732</v>
      </c>
      <c r="BA367" s="5">
        <v>736.1</v>
      </c>
      <c r="BB367" s="5">
        <v>737.5</v>
      </c>
      <c r="BC367" s="5">
        <v>783</v>
      </c>
      <c r="BD367" s="5">
        <v>790.7</v>
      </c>
      <c r="BE367" s="5">
        <v>797.7</v>
      </c>
      <c r="BF367" s="5">
        <v>804.7</v>
      </c>
      <c r="BG367" s="5">
        <v>863.8</v>
      </c>
      <c r="BH367" s="5">
        <v>867.6</v>
      </c>
      <c r="BI367" s="5">
        <v>885.1</v>
      </c>
      <c r="BJ367" s="5">
        <v>894.5</v>
      </c>
      <c r="BK367" s="5">
        <v>1013.3</v>
      </c>
      <c r="BL367" s="5">
        <v>1188.7</v>
      </c>
      <c r="BM367" s="5">
        <v>1098.4000000000001</v>
      </c>
      <c r="BN367" s="5">
        <v>1220</v>
      </c>
      <c r="BO367" s="5">
        <v>1137.5</v>
      </c>
      <c r="BP367" s="5">
        <v>1170.4000000000001</v>
      </c>
      <c r="BQ367" s="5">
        <v>1450.6</v>
      </c>
      <c r="BR367" s="5">
        <v>1530</v>
      </c>
      <c r="BS367" s="5">
        <v>1602.1</v>
      </c>
      <c r="BT367" s="5">
        <v>1669.2</v>
      </c>
      <c r="BU367" s="5">
        <v>2035.3</v>
      </c>
      <c r="BV367" s="5">
        <v>2741.9</v>
      </c>
      <c r="BW367" s="5">
        <v>2309.3000000000002</v>
      </c>
      <c r="BX367" s="5">
        <v>2880.1</v>
      </c>
      <c r="BY367" s="5">
        <v>2387.8000000000002</v>
      </c>
      <c r="BZ367" s="5">
        <v>2522.5</v>
      </c>
      <c r="CA367" s="5">
        <v>3729.5</v>
      </c>
      <c r="CB367" s="5">
        <v>3983.6</v>
      </c>
      <c r="CC367" s="5">
        <v>4049</v>
      </c>
      <c r="CD367" s="5">
        <v>4142</v>
      </c>
      <c r="CE367" s="5">
        <v>5168</v>
      </c>
      <c r="CF367" s="5">
        <v>5315.9</v>
      </c>
      <c r="CG367" s="5">
        <v>5726.2</v>
      </c>
      <c r="CH367" s="5">
        <v>6055</v>
      </c>
      <c r="CI367" s="5">
        <v>6059.5</v>
      </c>
      <c r="CJ367" s="5">
        <v>6090.4</v>
      </c>
      <c r="CK367" s="5">
        <v>7339.7</v>
      </c>
      <c r="CL367" s="5">
        <v>7672.3</v>
      </c>
      <c r="CM367" s="5">
        <v>7861.3</v>
      </c>
      <c r="CN367" s="5">
        <v>8073.1</v>
      </c>
      <c r="CO367" s="5">
        <v>9794</v>
      </c>
      <c r="CP367" s="5">
        <v>10243.1</v>
      </c>
      <c r="CQ367" s="5">
        <v>10321.299999999999</v>
      </c>
      <c r="CR367" s="5">
        <v>10933.3</v>
      </c>
      <c r="CS367" s="5">
        <v>11100.9</v>
      </c>
      <c r="CT367" s="5">
        <v>11270.2</v>
      </c>
    </row>
    <row r="368" spans="1:98">
      <c r="A368" s="2" t="s">
        <v>464</v>
      </c>
      <c r="B368" s="3">
        <v>100</v>
      </c>
      <c r="C368" s="3">
        <v>100.3</v>
      </c>
      <c r="D368" s="3">
        <v>99.4</v>
      </c>
      <c r="E368" s="3">
        <v>100.1</v>
      </c>
      <c r="F368" s="3">
        <v>118.5</v>
      </c>
      <c r="G368" s="3">
        <v>144.6</v>
      </c>
      <c r="H368" s="3">
        <v>148.30000000000001</v>
      </c>
      <c r="I368" s="3">
        <v>150.19999999999999</v>
      </c>
      <c r="J368" s="3">
        <v>143.80000000000001</v>
      </c>
      <c r="K368" s="3">
        <v>140.6</v>
      </c>
      <c r="L368" s="3">
        <v>133.4</v>
      </c>
      <c r="M368" s="3">
        <v>132.69999999999999</v>
      </c>
      <c r="N368" s="3">
        <v>133.80000000000001</v>
      </c>
      <c r="O368" s="3">
        <v>155.5</v>
      </c>
      <c r="P368" s="3">
        <v>177.7</v>
      </c>
      <c r="Q368" s="3">
        <v>201.7</v>
      </c>
      <c r="R368" s="3">
        <v>205.3</v>
      </c>
      <c r="S368" s="3">
        <v>222.2</v>
      </c>
      <c r="T368" s="3">
        <v>211.8</v>
      </c>
      <c r="U368" s="3">
        <v>273.3</v>
      </c>
      <c r="V368" s="3">
        <v>291.5</v>
      </c>
      <c r="W368" s="3">
        <v>341.2</v>
      </c>
      <c r="X368" s="3">
        <v>374.4</v>
      </c>
      <c r="Y368" s="3">
        <v>273.5</v>
      </c>
      <c r="Z368" s="3">
        <v>245.4</v>
      </c>
      <c r="AA368" s="3">
        <v>238.1</v>
      </c>
      <c r="AB368" s="3">
        <v>243.4</v>
      </c>
      <c r="AC368" s="3">
        <v>246.5</v>
      </c>
      <c r="AD368" s="3">
        <v>271.10000000000002</v>
      </c>
      <c r="AE368" s="3">
        <v>289.89999999999998</v>
      </c>
      <c r="AF368" s="3">
        <v>295.8</v>
      </c>
      <c r="AG368" s="3">
        <v>311.5</v>
      </c>
      <c r="AH368" s="3">
        <v>309.10000000000002</v>
      </c>
      <c r="AI368" s="3">
        <v>314.89999999999998</v>
      </c>
      <c r="AJ368" s="3">
        <v>327.2</v>
      </c>
      <c r="AK368" s="3">
        <v>354.7</v>
      </c>
      <c r="AL368" s="3">
        <v>401.9</v>
      </c>
      <c r="AM368" s="3">
        <v>443.4</v>
      </c>
      <c r="AN368" s="3">
        <v>524.5</v>
      </c>
      <c r="AO368" s="3">
        <v>624.9</v>
      </c>
      <c r="AP368" s="3">
        <v>637.4</v>
      </c>
      <c r="AQ368" s="3">
        <v>643.6</v>
      </c>
      <c r="AR368" s="3">
        <v>643.9</v>
      </c>
      <c r="AS368" s="3">
        <v>637.29999999999995</v>
      </c>
      <c r="AT368" s="3">
        <v>611.5</v>
      </c>
      <c r="AU368" s="3">
        <v>676.7</v>
      </c>
      <c r="AV368" s="3">
        <v>666.6</v>
      </c>
      <c r="AW368" s="3">
        <v>665.3</v>
      </c>
      <c r="AX368" s="3">
        <v>633.4</v>
      </c>
      <c r="AY368" s="3">
        <v>617</v>
      </c>
      <c r="AZ368" s="3">
        <v>606.9</v>
      </c>
      <c r="BA368" s="3">
        <v>565.20000000000005</v>
      </c>
      <c r="BB368" s="3">
        <v>540.70000000000005</v>
      </c>
      <c r="BC368" s="3">
        <v>604</v>
      </c>
      <c r="BD368" s="3">
        <v>603.9</v>
      </c>
      <c r="BE368" s="3">
        <v>624.9</v>
      </c>
      <c r="BF368" s="3">
        <v>617.29999999999995</v>
      </c>
      <c r="BG368" s="3">
        <v>631.5</v>
      </c>
      <c r="BH368" s="3">
        <v>722.1</v>
      </c>
      <c r="BI368" s="3">
        <v>756.9</v>
      </c>
      <c r="BJ368" s="3">
        <v>787.1</v>
      </c>
      <c r="BK368" s="3">
        <v>951.1</v>
      </c>
      <c r="BL368" s="3">
        <v>1312.7</v>
      </c>
      <c r="BM368" s="3">
        <v>1072.9000000000001</v>
      </c>
      <c r="BN368" s="3">
        <v>1335.1</v>
      </c>
      <c r="BO368" s="3">
        <v>1264.4000000000001</v>
      </c>
      <c r="BP368" s="3">
        <v>1392.5</v>
      </c>
      <c r="BQ368" s="3">
        <v>1545</v>
      </c>
      <c r="BR368" s="3">
        <v>1432</v>
      </c>
      <c r="BS368" s="3">
        <v>1478.8</v>
      </c>
      <c r="BT368" s="3">
        <v>1738.3</v>
      </c>
      <c r="BU368" s="3">
        <v>2036.8</v>
      </c>
      <c r="BV368" s="3">
        <v>3524.9</v>
      </c>
      <c r="BW368" s="3">
        <v>2867.9</v>
      </c>
      <c r="BX368" s="3">
        <v>3691.1</v>
      </c>
      <c r="BY368" s="3">
        <v>3080.6</v>
      </c>
      <c r="BZ368" s="3">
        <v>3257.8</v>
      </c>
      <c r="CA368" s="3">
        <v>4075.3</v>
      </c>
      <c r="CB368" s="3">
        <v>4648.8999999999996</v>
      </c>
      <c r="CC368" s="3">
        <v>4626.8</v>
      </c>
      <c r="CD368" s="3">
        <v>4601.8</v>
      </c>
      <c r="CE368" s="3">
        <v>5404.3</v>
      </c>
      <c r="CF368" s="3">
        <v>5103.3999999999996</v>
      </c>
      <c r="CG368" s="3">
        <v>5121.5</v>
      </c>
      <c r="CH368" s="3">
        <v>5867.4</v>
      </c>
      <c r="CI368" s="3">
        <v>6584.9</v>
      </c>
      <c r="CJ368" s="3">
        <v>7669.6</v>
      </c>
      <c r="CK368" s="3">
        <v>7780.9</v>
      </c>
      <c r="CL368" s="3">
        <v>7493.4</v>
      </c>
      <c r="CM368" s="3">
        <v>7147.6</v>
      </c>
      <c r="CN368" s="3">
        <v>7562.2</v>
      </c>
      <c r="CO368" s="3">
        <v>8331.2000000000007</v>
      </c>
      <c r="CP368" s="3">
        <v>8716</v>
      </c>
      <c r="CQ368" s="3">
        <v>9272.2999999999993</v>
      </c>
      <c r="CR368" s="3">
        <v>9785.2999999999993</v>
      </c>
      <c r="CS368" s="3">
        <v>10241.4</v>
      </c>
      <c r="CT368" s="3">
        <v>10935.6</v>
      </c>
    </row>
    <row r="369" spans="1:98">
      <c r="A369" s="4" t="s">
        <v>465</v>
      </c>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c r="CH369" s="5"/>
      <c r="CI369" s="5"/>
      <c r="CJ369" s="5"/>
      <c r="CK369" s="5"/>
      <c r="CL369" s="5"/>
      <c r="CM369" s="5"/>
      <c r="CN369" s="5">
        <v>7000</v>
      </c>
      <c r="CO369" s="5"/>
      <c r="CP369" s="5"/>
      <c r="CQ369" s="5">
        <v>9282</v>
      </c>
      <c r="CR369" s="5">
        <v>9439.4</v>
      </c>
      <c r="CS369" s="5">
        <v>9527.5</v>
      </c>
      <c r="CT369" s="5">
        <v>9630.2000000000007</v>
      </c>
    </row>
    <row r="370" spans="1:98" ht="25.5">
      <c r="A370" s="2" t="s">
        <v>466</v>
      </c>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c r="CE370" s="3"/>
      <c r="CF370" s="3"/>
      <c r="CG370" s="3"/>
      <c r="CH370" s="3"/>
      <c r="CI370" s="3"/>
      <c r="CJ370" s="3"/>
      <c r="CK370" s="3"/>
      <c r="CL370" s="3"/>
      <c r="CM370" s="3"/>
      <c r="CN370" s="3">
        <v>7000</v>
      </c>
      <c r="CO370" s="3"/>
      <c r="CP370" s="3"/>
      <c r="CQ370" s="3">
        <v>9345</v>
      </c>
      <c r="CR370" s="3">
        <v>9405.2999999999993</v>
      </c>
      <c r="CS370" s="3">
        <v>9439.5</v>
      </c>
      <c r="CT370" s="3">
        <v>9477.7000000000007</v>
      </c>
    </row>
    <row r="371" spans="1:98" ht="25.5">
      <c r="A371" s="4" t="s">
        <v>467</v>
      </c>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c r="CH371" s="5"/>
      <c r="CI371" s="5"/>
      <c r="CJ371" s="5"/>
      <c r="CK371" s="5"/>
      <c r="CL371" s="5"/>
      <c r="CM371" s="5"/>
      <c r="CN371" s="5">
        <v>7000</v>
      </c>
      <c r="CO371" s="5"/>
      <c r="CP371" s="5"/>
      <c r="CQ371" s="5">
        <v>9275</v>
      </c>
      <c r="CR371" s="5">
        <v>9351.2000000000007</v>
      </c>
      <c r="CS371" s="5">
        <v>9670.7999999999993</v>
      </c>
      <c r="CT371" s="5">
        <v>9850.4</v>
      </c>
    </row>
    <row r="372" spans="1:98" ht="25.5">
      <c r="A372" s="2" t="s">
        <v>468</v>
      </c>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c r="CE372" s="3"/>
      <c r="CF372" s="3"/>
      <c r="CG372" s="3"/>
      <c r="CH372" s="3"/>
      <c r="CI372" s="3"/>
      <c r="CJ372" s="3"/>
      <c r="CK372" s="3"/>
      <c r="CL372" s="3"/>
      <c r="CM372" s="3"/>
      <c r="CN372" s="3">
        <v>7000</v>
      </c>
      <c r="CO372" s="3"/>
      <c r="CP372" s="3"/>
      <c r="CQ372" s="3">
        <v>9080.7000000000007</v>
      </c>
      <c r="CR372" s="3">
        <v>9526.5</v>
      </c>
      <c r="CS372" s="3">
        <v>9698.1</v>
      </c>
      <c r="CT372" s="3">
        <v>10032.299999999999</v>
      </c>
    </row>
    <row r="373" spans="1:98" ht="25.5">
      <c r="A373" s="4" t="s">
        <v>469</v>
      </c>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c r="CH373" s="5"/>
      <c r="CI373" s="5"/>
      <c r="CJ373" s="5"/>
      <c r="CK373" s="5"/>
      <c r="CL373" s="5"/>
      <c r="CM373" s="5"/>
      <c r="CN373" s="5">
        <v>7000</v>
      </c>
      <c r="CO373" s="5"/>
      <c r="CP373" s="5"/>
      <c r="CQ373" s="5">
        <v>9259.7000000000007</v>
      </c>
      <c r="CR373" s="5">
        <v>9681</v>
      </c>
      <c r="CS373" s="5">
        <v>9817.1</v>
      </c>
      <c r="CT373" s="5">
        <v>10169</v>
      </c>
    </row>
    <row r="374" spans="1:98" ht="25.5">
      <c r="A374" s="2" t="s">
        <v>470</v>
      </c>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c r="CE374" s="3"/>
      <c r="CF374" s="3"/>
      <c r="CG374" s="3"/>
      <c r="CH374" s="3"/>
      <c r="CI374" s="3"/>
      <c r="CJ374" s="3"/>
      <c r="CK374" s="3"/>
      <c r="CL374" s="3"/>
      <c r="CM374" s="3"/>
      <c r="CN374" s="3">
        <v>7000</v>
      </c>
      <c r="CO374" s="3"/>
      <c r="CP374" s="3"/>
      <c r="CQ374" s="3">
        <v>9065</v>
      </c>
      <c r="CR374" s="3">
        <v>9180.9</v>
      </c>
      <c r="CS374" s="3">
        <v>9291.4</v>
      </c>
      <c r="CT374" s="3">
        <v>9366.4</v>
      </c>
    </row>
    <row r="375" spans="1:98" ht="25.5">
      <c r="A375" s="4" t="s">
        <v>471</v>
      </c>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c r="CH375" s="5"/>
      <c r="CI375" s="5"/>
      <c r="CJ375" s="5"/>
      <c r="CK375" s="5"/>
      <c r="CL375" s="5"/>
      <c r="CM375" s="5"/>
      <c r="CN375" s="5">
        <v>7000</v>
      </c>
      <c r="CO375" s="5"/>
      <c r="CP375" s="5"/>
      <c r="CQ375" s="5">
        <v>9135</v>
      </c>
      <c r="CR375" s="5">
        <v>9415</v>
      </c>
      <c r="CS375" s="5">
        <v>9536.5</v>
      </c>
      <c r="CT375" s="5">
        <v>9714</v>
      </c>
    </row>
    <row r="376" spans="1:98" ht="25.5">
      <c r="A376" s="2" t="s">
        <v>472</v>
      </c>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c r="CE376" s="3"/>
      <c r="CF376" s="3"/>
      <c r="CG376" s="3"/>
      <c r="CH376" s="3"/>
      <c r="CI376" s="3"/>
      <c r="CJ376" s="3"/>
      <c r="CK376" s="3"/>
      <c r="CL376" s="3"/>
      <c r="CM376" s="3"/>
      <c r="CN376" s="3">
        <v>7000</v>
      </c>
      <c r="CO376" s="3"/>
      <c r="CP376" s="3"/>
      <c r="CQ376" s="3">
        <v>9135</v>
      </c>
      <c r="CR376" s="3">
        <v>9151.4</v>
      </c>
      <c r="CS376" s="3">
        <v>9369.9</v>
      </c>
      <c r="CT376" s="3">
        <v>10116.1</v>
      </c>
    </row>
    <row r="377" spans="1:98" ht="25.5">
      <c r="A377" s="4" t="s">
        <v>473</v>
      </c>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c r="CH377" s="5"/>
      <c r="CI377" s="5"/>
      <c r="CJ377" s="5"/>
      <c r="CK377" s="5"/>
      <c r="CL377" s="5"/>
      <c r="CM377" s="5"/>
      <c r="CN377" s="5">
        <v>7000</v>
      </c>
      <c r="CO377" s="5"/>
      <c r="CP377" s="5"/>
      <c r="CQ377" s="5">
        <v>9335.2000000000007</v>
      </c>
      <c r="CR377" s="5">
        <v>9596.2999999999993</v>
      </c>
      <c r="CS377" s="5">
        <v>9763.9</v>
      </c>
      <c r="CT377" s="5">
        <v>10672.7</v>
      </c>
    </row>
    <row r="378" spans="1:98" ht="25.5">
      <c r="A378" s="2" t="s">
        <v>474</v>
      </c>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c r="CE378" s="3"/>
      <c r="CF378" s="3"/>
      <c r="CG378" s="3"/>
      <c r="CH378" s="3"/>
      <c r="CI378" s="3"/>
      <c r="CJ378" s="3"/>
      <c r="CK378" s="3"/>
      <c r="CL378" s="3"/>
      <c r="CM378" s="3"/>
      <c r="CN378" s="3">
        <v>7000</v>
      </c>
      <c r="CO378" s="3"/>
      <c r="CP378" s="3"/>
      <c r="CQ378" s="3">
        <v>9310</v>
      </c>
      <c r="CR378" s="3">
        <v>9429</v>
      </c>
      <c r="CS378" s="3">
        <v>9516.7999999999993</v>
      </c>
      <c r="CT378" s="3">
        <v>9616</v>
      </c>
    </row>
    <row r="379" spans="1:98" ht="25.5">
      <c r="A379" s="4" t="s">
        <v>475</v>
      </c>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c r="CH379" s="5"/>
      <c r="CI379" s="5"/>
      <c r="CJ379" s="5"/>
      <c r="CK379" s="5"/>
      <c r="CL379" s="5"/>
      <c r="CM379" s="5"/>
      <c r="CN379" s="5"/>
      <c r="CO379" s="5"/>
      <c r="CP379" s="5"/>
      <c r="CQ379" s="5">
        <v>9065</v>
      </c>
      <c r="CR379" s="5">
        <v>9481.7000000000007</v>
      </c>
      <c r="CS379" s="5">
        <v>9596.2999999999993</v>
      </c>
      <c r="CT379" s="5">
        <v>9752.7000000000007</v>
      </c>
    </row>
    <row r="380" spans="1:98">
      <c r="A380" s="2" t="s">
        <v>476</v>
      </c>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c r="CH380" s="3"/>
      <c r="CI380" s="3"/>
      <c r="CJ380" s="3"/>
      <c r="CK380" s="3"/>
      <c r="CL380" s="3"/>
      <c r="CM380" s="3"/>
      <c r="CN380" s="3">
        <v>7000</v>
      </c>
      <c r="CO380" s="3"/>
      <c r="CP380" s="3"/>
      <c r="CQ380" s="3">
        <v>9345</v>
      </c>
      <c r="CR380" s="3">
        <v>9417</v>
      </c>
      <c r="CS380" s="3">
        <v>9493.7000000000007</v>
      </c>
      <c r="CT380" s="3">
        <v>9577.7999999999993</v>
      </c>
    </row>
    <row r="381" spans="1:98" ht="25.5">
      <c r="A381" s="4" t="s">
        <v>477</v>
      </c>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c r="CH381" s="5"/>
      <c r="CI381" s="5"/>
      <c r="CJ381" s="5"/>
      <c r="CK381" s="5"/>
      <c r="CL381" s="5"/>
      <c r="CM381" s="5"/>
      <c r="CN381" s="5">
        <v>7000</v>
      </c>
      <c r="CO381" s="5"/>
      <c r="CP381" s="5"/>
      <c r="CQ381" s="5">
        <v>9240</v>
      </c>
      <c r="CR381" s="5">
        <v>9471</v>
      </c>
      <c r="CS381" s="5">
        <v>9541</v>
      </c>
      <c r="CT381" s="5">
        <v>9611</v>
      </c>
    </row>
    <row r="382" spans="1:98">
      <c r="A382" s="2" t="s">
        <v>478</v>
      </c>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c r="CH382" s="3"/>
      <c r="CI382" s="3"/>
      <c r="CJ382" s="3"/>
      <c r="CK382" s="3"/>
      <c r="CL382" s="3"/>
      <c r="CM382" s="3"/>
      <c r="CN382" s="3">
        <v>7000</v>
      </c>
      <c r="CO382" s="3"/>
      <c r="CP382" s="3"/>
      <c r="CQ382" s="3">
        <v>9135</v>
      </c>
      <c r="CR382" s="3">
        <v>9415</v>
      </c>
      <c r="CS382" s="3">
        <v>9536.5</v>
      </c>
      <c r="CT382" s="3">
        <v>9714</v>
      </c>
    </row>
    <row r="383" spans="1:98">
      <c r="A383" s="4" t="s">
        <v>479</v>
      </c>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c r="CH383" s="5"/>
      <c r="CI383" s="5"/>
      <c r="CJ383" s="5"/>
      <c r="CK383" s="5"/>
      <c r="CL383" s="5"/>
      <c r="CM383" s="5"/>
      <c r="CN383" s="5">
        <v>7000</v>
      </c>
      <c r="CO383" s="5"/>
      <c r="CP383" s="5"/>
      <c r="CQ383" s="5"/>
      <c r="CR383" s="5"/>
      <c r="CS383" s="5"/>
      <c r="CT383" s="5"/>
    </row>
    <row r="384" spans="1:98">
      <c r="A384" s="2" t="s">
        <v>480</v>
      </c>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c r="CN384" s="3">
        <v>7000</v>
      </c>
      <c r="CO384" s="3"/>
      <c r="CP384" s="3"/>
      <c r="CQ384" s="3">
        <v>9450</v>
      </c>
      <c r="CR384" s="3">
        <v>9520</v>
      </c>
      <c r="CS384" s="3">
        <v>9590</v>
      </c>
      <c r="CT384" s="3">
        <v>9660</v>
      </c>
    </row>
    <row r="385" spans="1:98">
      <c r="A385" s="4" t="s">
        <v>481</v>
      </c>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c r="CH385" s="5"/>
      <c r="CI385" s="5"/>
      <c r="CJ385" s="5"/>
      <c r="CK385" s="5"/>
      <c r="CL385" s="5"/>
      <c r="CM385" s="5"/>
      <c r="CN385" s="5">
        <v>7000</v>
      </c>
      <c r="CO385" s="5"/>
      <c r="CP385" s="5"/>
      <c r="CQ385" s="5">
        <v>9135</v>
      </c>
      <c r="CR385" s="5">
        <v>9454.6</v>
      </c>
      <c r="CS385" s="5">
        <v>9560.7000000000007</v>
      </c>
      <c r="CT385" s="5">
        <v>9683.5</v>
      </c>
    </row>
    <row r="386" spans="1:98">
      <c r="A386" s="2" t="s">
        <v>482</v>
      </c>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c r="CK386" s="3"/>
      <c r="CL386" s="3"/>
      <c r="CM386" s="3"/>
      <c r="CN386" s="3">
        <v>7000</v>
      </c>
      <c r="CO386" s="3"/>
      <c r="CP386" s="3"/>
      <c r="CQ386" s="3">
        <v>9345</v>
      </c>
      <c r="CR386" s="3">
        <v>9430.5</v>
      </c>
      <c r="CS386" s="3">
        <v>9502.7999999999993</v>
      </c>
      <c r="CT386" s="3">
        <v>9601.7000000000007</v>
      </c>
    </row>
    <row r="387" spans="1:98">
      <c r="A387" s="4" t="s">
        <v>483</v>
      </c>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c r="CH387" s="5"/>
      <c r="CI387" s="5"/>
      <c r="CJ387" s="5"/>
      <c r="CK387" s="5"/>
      <c r="CL387" s="5"/>
      <c r="CM387" s="5"/>
      <c r="CN387" s="5">
        <v>7000</v>
      </c>
      <c r="CO387" s="5"/>
      <c r="CP387" s="5"/>
      <c r="CQ387" s="5">
        <v>9205</v>
      </c>
      <c r="CR387" s="5">
        <v>9457.2999999999993</v>
      </c>
      <c r="CS387" s="5">
        <v>9561.5</v>
      </c>
      <c r="CT387" s="5">
        <v>9683.6</v>
      </c>
    </row>
    <row r="388" spans="1:98">
      <c r="A388" s="2" t="s">
        <v>484</v>
      </c>
      <c r="B388" s="3"/>
      <c r="C388" s="3"/>
      <c r="D388" s="3"/>
      <c r="E388" s="3"/>
      <c r="F388" s="3"/>
      <c r="G388" s="3"/>
      <c r="H388" s="3"/>
      <c r="I388" s="3"/>
      <c r="J388" s="3"/>
      <c r="K388" s="3"/>
      <c r="L388" s="3"/>
      <c r="M388" s="3"/>
      <c r="N388" s="3"/>
      <c r="O388" s="3"/>
      <c r="P388" s="3"/>
      <c r="Q388" s="3"/>
      <c r="R388" s="3"/>
      <c r="S388" s="3"/>
      <c r="T388" s="3"/>
      <c r="U388" s="3"/>
      <c r="V388" s="3"/>
      <c r="W388" s="3"/>
      <c r="X388" s="3">
        <v>238.7</v>
      </c>
      <c r="Y388" s="3">
        <v>243.2</v>
      </c>
      <c r="Z388" s="3">
        <v>243.5</v>
      </c>
      <c r="AA388" s="3">
        <v>267.2</v>
      </c>
      <c r="AB388" s="3">
        <v>269.60000000000002</v>
      </c>
      <c r="AC388" s="3">
        <v>273.7</v>
      </c>
      <c r="AD388" s="3">
        <v>277.5</v>
      </c>
      <c r="AE388" s="3">
        <v>296</v>
      </c>
      <c r="AF388" s="3">
        <v>297.60000000000002</v>
      </c>
      <c r="AG388" s="3">
        <v>307.60000000000002</v>
      </c>
      <c r="AH388" s="3">
        <v>313.89999999999998</v>
      </c>
      <c r="AI388" s="3">
        <v>338.9</v>
      </c>
      <c r="AJ388" s="3">
        <v>347.5</v>
      </c>
      <c r="AK388" s="3">
        <v>351.3</v>
      </c>
      <c r="AL388" s="3">
        <v>354.5</v>
      </c>
      <c r="AM388" s="3">
        <v>398</v>
      </c>
      <c r="AN388" s="3">
        <v>415.4</v>
      </c>
      <c r="AO388" s="3">
        <v>432.3</v>
      </c>
      <c r="AP388" s="3">
        <v>439.5</v>
      </c>
      <c r="AQ388" s="3">
        <v>504.4</v>
      </c>
      <c r="AR388" s="3">
        <v>513.20000000000005</v>
      </c>
      <c r="AS388" s="3">
        <v>524.20000000000005</v>
      </c>
      <c r="AT388" s="3">
        <v>534.20000000000005</v>
      </c>
      <c r="AU388" s="3">
        <v>633.4</v>
      </c>
      <c r="AV388" s="3">
        <v>644.1</v>
      </c>
      <c r="AW388" s="3">
        <v>654.79999999999995</v>
      </c>
      <c r="AX388" s="3">
        <v>665.4</v>
      </c>
      <c r="AY388" s="3">
        <v>738.4</v>
      </c>
      <c r="AZ388" s="3">
        <v>745</v>
      </c>
      <c r="BA388" s="3">
        <v>751.6</v>
      </c>
      <c r="BB388" s="3">
        <v>758.2</v>
      </c>
      <c r="BC388" s="3">
        <v>819.7</v>
      </c>
      <c r="BD388" s="3">
        <v>827.3</v>
      </c>
      <c r="BE388" s="3">
        <v>834.8</v>
      </c>
      <c r="BF388" s="3">
        <v>842.4</v>
      </c>
      <c r="BG388" s="3">
        <v>925.4</v>
      </c>
      <c r="BH388" s="3">
        <v>926.4</v>
      </c>
      <c r="BI388" s="3">
        <v>942.3</v>
      </c>
      <c r="BJ388" s="3">
        <v>950.7</v>
      </c>
      <c r="BK388" s="3">
        <v>1097.8</v>
      </c>
      <c r="BL388" s="3">
        <v>1151.5999999999999</v>
      </c>
      <c r="BM388" s="3">
        <v>1131.8</v>
      </c>
      <c r="BN388" s="3">
        <v>1179.4000000000001</v>
      </c>
      <c r="BO388" s="3">
        <v>1132.2</v>
      </c>
      <c r="BP388" s="3">
        <v>1132.5999999999999</v>
      </c>
      <c r="BQ388" s="3">
        <v>1467.9</v>
      </c>
      <c r="BR388" s="3">
        <v>1528.4</v>
      </c>
      <c r="BS388" s="3">
        <v>1551</v>
      </c>
      <c r="BT388" s="3">
        <v>1585.5</v>
      </c>
      <c r="BU388" s="3">
        <v>1987.6</v>
      </c>
      <c r="BV388" s="3">
        <v>2368.4</v>
      </c>
      <c r="BW388" s="3">
        <v>2159.4</v>
      </c>
      <c r="BX388" s="3">
        <v>2479.6999999999998</v>
      </c>
      <c r="BY388" s="3">
        <v>2160.1999999999998</v>
      </c>
      <c r="BZ388" s="3">
        <v>2161.8000000000002</v>
      </c>
      <c r="CA388" s="3">
        <v>3291.7</v>
      </c>
      <c r="CB388" s="3">
        <v>3397.9</v>
      </c>
      <c r="CC388" s="3">
        <v>3398.2</v>
      </c>
      <c r="CD388" s="3">
        <v>3399.4</v>
      </c>
      <c r="CE388" s="3">
        <v>4305.8999999999996</v>
      </c>
      <c r="CF388" s="3">
        <v>4364.3999999999996</v>
      </c>
      <c r="CG388" s="3">
        <v>4884.1000000000004</v>
      </c>
      <c r="CH388" s="3">
        <v>5035.8999999999996</v>
      </c>
      <c r="CI388" s="3">
        <v>5035.8999999999996</v>
      </c>
      <c r="CJ388" s="3">
        <v>5035.8999999999996</v>
      </c>
      <c r="CK388" s="3">
        <v>6253.1</v>
      </c>
      <c r="CL388" s="3">
        <v>6433.8</v>
      </c>
      <c r="CM388" s="3">
        <v>6572.3</v>
      </c>
      <c r="CN388" s="3">
        <v>6717.8</v>
      </c>
      <c r="CO388" s="3">
        <v>8465</v>
      </c>
      <c r="CP388" s="3">
        <v>8754.4</v>
      </c>
      <c r="CQ388" s="3">
        <v>8778</v>
      </c>
      <c r="CR388" s="3">
        <v>9129.2000000000007</v>
      </c>
      <c r="CS388" s="3">
        <v>9202.7999999999993</v>
      </c>
      <c r="CT388" s="3">
        <v>9288.6</v>
      </c>
    </row>
    <row r="389" spans="1:98">
      <c r="A389" s="4" t="s">
        <v>485</v>
      </c>
      <c r="B389" s="5"/>
      <c r="C389" s="5"/>
      <c r="D389" s="5"/>
      <c r="E389" s="5"/>
      <c r="F389" s="5"/>
      <c r="G389" s="5"/>
      <c r="H389" s="5"/>
      <c r="I389" s="5"/>
      <c r="J389" s="5"/>
      <c r="K389" s="5"/>
      <c r="L389" s="5"/>
      <c r="M389" s="5"/>
      <c r="N389" s="5"/>
      <c r="O389" s="5"/>
      <c r="P389" s="5"/>
      <c r="Q389" s="5"/>
      <c r="R389" s="5"/>
      <c r="S389" s="5"/>
      <c r="T389" s="5"/>
      <c r="U389" s="5"/>
      <c r="V389" s="5"/>
      <c r="W389" s="5"/>
      <c r="X389" s="5">
        <v>226.6</v>
      </c>
      <c r="Y389" s="5">
        <v>230.5</v>
      </c>
      <c r="Z389" s="5">
        <v>231.8</v>
      </c>
      <c r="AA389" s="5">
        <v>246.1</v>
      </c>
      <c r="AB389" s="5">
        <v>249.6</v>
      </c>
      <c r="AC389" s="5">
        <v>254.1</v>
      </c>
      <c r="AD389" s="5">
        <v>257.2</v>
      </c>
      <c r="AE389" s="5">
        <v>275.3</v>
      </c>
      <c r="AF389" s="5">
        <v>277.3</v>
      </c>
      <c r="AG389" s="5">
        <v>279.7</v>
      </c>
      <c r="AH389" s="5">
        <v>318.7</v>
      </c>
      <c r="AI389" s="5">
        <v>334.3</v>
      </c>
      <c r="AJ389" s="5">
        <v>343.2</v>
      </c>
      <c r="AK389" s="5">
        <v>356.6</v>
      </c>
      <c r="AL389" s="5">
        <v>367.6</v>
      </c>
      <c r="AM389" s="5">
        <v>403</v>
      </c>
      <c r="AN389" s="5">
        <v>423.4</v>
      </c>
      <c r="AO389" s="5">
        <v>460</v>
      </c>
      <c r="AP389" s="5">
        <v>475.9</v>
      </c>
      <c r="AQ389" s="5">
        <v>527.29999999999995</v>
      </c>
      <c r="AR389" s="5">
        <v>539.20000000000005</v>
      </c>
      <c r="AS389" s="5">
        <v>549.9</v>
      </c>
      <c r="AT389" s="5">
        <v>561.9</v>
      </c>
      <c r="AU389" s="5">
        <v>635.79999999999995</v>
      </c>
      <c r="AV389" s="5">
        <v>647.79999999999995</v>
      </c>
      <c r="AW389" s="5">
        <v>655.6</v>
      </c>
      <c r="AX389" s="5">
        <v>664.2</v>
      </c>
      <c r="AY389" s="5">
        <v>723.8</v>
      </c>
      <c r="AZ389" s="5">
        <v>729</v>
      </c>
      <c r="BA389" s="5">
        <v>732.3</v>
      </c>
      <c r="BB389" s="5">
        <v>735.9</v>
      </c>
      <c r="BC389" s="5">
        <v>789.1</v>
      </c>
      <c r="BD389" s="5">
        <v>796.5</v>
      </c>
      <c r="BE389" s="5">
        <v>803.8</v>
      </c>
      <c r="BF389" s="5">
        <v>811.2</v>
      </c>
      <c r="BG389" s="5">
        <v>873.6</v>
      </c>
      <c r="BH389" s="5">
        <v>878.2</v>
      </c>
      <c r="BI389" s="5">
        <v>893.4</v>
      </c>
      <c r="BJ389" s="5">
        <v>901.5</v>
      </c>
      <c r="BK389" s="5">
        <v>1023.1</v>
      </c>
      <c r="BL389" s="5">
        <v>1171.9000000000001</v>
      </c>
      <c r="BM389" s="5">
        <v>1099</v>
      </c>
      <c r="BN389" s="5">
        <v>1220.8</v>
      </c>
      <c r="BO389" s="5">
        <v>1126.8</v>
      </c>
      <c r="BP389" s="5">
        <v>1153.9000000000001</v>
      </c>
      <c r="BQ389" s="5">
        <v>1448.3</v>
      </c>
      <c r="BR389" s="5">
        <v>1527</v>
      </c>
      <c r="BS389" s="5">
        <v>1574.4</v>
      </c>
      <c r="BT389" s="5">
        <v>1634.1</v>
      </c>
      <c r="BU389" s="5">
        <v>1952.9</v>
      </c>
      <c r="BV389" s="5">
        <v>2587.8000000000002</v>
      </c>
      <c r="BW389" s="5">
        <v>2189.1</v>
      </c>
      <c r="BX389" s="5">
        <v>2726.5</v>
      </c>
      <c r="BY389" s="5">
        <v>2240.1</v>
      </c>
      <c r="BZ389" s="5">
        <v>2347.1</v>
      </c>
      <c r="CA389" s="5">
        <v>3541.9</v>
      </c>
      <c r="CB389" s="5">
        <v>3780.1</v>
      </c>
      <c r="CC389" s="5">
        <v>3800.9</v>
      </c>
      <c r="CD389" s="5">
        <v>3875.5</v>
      </c>
      <c r="CE389" s="5">
        <v>4978</v>
      </c>
      <c r="CF389" s="5">
        <v>5107.7</v>
      </c>
      <c r="CG389" s="5">
        <v>5305.5</v>
      </c>
      <c r="CH389" s="5">
        <v>5629.6</v>
      </c>
      <c r="CI389" s="5">
        <v>5629.6</v>
      </c>
      <c r="CJ389" s="5">
        <v>5629.6</v>
      </c>
      <c r="CK389" s="5">
        <v>6860.9</v>
      </c>
      <c r="CL389" s="5">
        <v>7152.1</v>
      </c>
      <c r="CM389" s="5">
        <v>7297.1</v>
      </c>
      <c r="CN389" s="5">
        <v>7519.6</v>
      </c>
      <c r="CO389" s="5">
        <v>9185.9</v>
      </c>
      <c r="CP389" s="5">
        <v>9616.2999999999993</v>
      </c>
      <c r="CQ389" s="5">
        <v>9616.2999999999993</v>
      </c>
      <c r="CR389" s="5">
        <v>10149</v>
      </c>
      <c r="CS389" s="5">
        <v>10257.700000000001</v>
      </c>
      <c r="CT389" s="5">
        <v>10387.299999999999</v>
      </c>
    </row>
    <row r="390" spans="1:98">
      <c r="A390" s="2" t="s">
        <v>486</v>
      </c>
      <c r="B390" s="3"/>
      <c r="C390" s="3"/>
      <c r="D390" s="3"/>
      <c r="E390" s="3"/>
      <c r="F390" s="3"/>
      <c r="G390" s="3"/>
      <c r="H390" s="3"/>
      <c r="I390" s="3"/>
      <c r="J390" s="3"/>
      <c r="K390" s="3"/>
      <c r="L390" s="3"/>
      <c r="M390" s="3"/>
      <c r="N390" s="3"/>
      <c r="O390" s="3"/>
      <c r="P390" s="3"/>
      <c r="Q390" s="3"/>
      <c r="R390" s="3"/>
      <c r="S390" s="3"/>
      <c r="T390" s="3"/>
      <c r="U390" s="3"/>
      <c r="V390" s="3"/>
      <c r="W390" s="3"/>
      <c r="X390" s="3">
        <v>217</v>
      </c>
      <c r="Y390" s="3">
        <v>215.1</v>
      </c>
      <c r="Z390" s="3">
        <v>215.1</v>
      </c>
      <c r="AA390" s="3">
        <v>216.8</v>
      </c>
      <c r="AB390" s="3">
        <v>217.2</v>
      </c>
      <c r="AC390" s="3">
        <v>230.2</v>
      </c>
      <c r="AD390" s="3">
        <v>231.3</v>
      </c>
      <c r="AE390" s="3">
        <v>252.1</v>
      </c>
      <c r="AF390" s="3">
        <v>252.1</v>
      </c>
      <c r="AG390" s="3">
        <v>252.1</v>
      </c>
      <c r="AH390" s="3">
        <v>290</v>
      </c>
      <c r="AI390" s="3">
        <v>295.8</v>
      </c>
      <c r="AJ390" s="3">
        <v>304.39999999999998</v>
      </c>
      <c r="AK390" s="3">
        <v>321.89999999999998</v>
      </c>
      <c r="AL390" s="3">
        <v>342.2</v>
      </c>
      <c r="AM390" s="3">
        <v>376.3</v>
      </c>
      <c r="AN390" s="3">
        <v>393.5</v>
      </c>
      <c r="AO390" s="3">
        <v>410.6</v>
      </c>
      <c r="AP390" s="3">
        <v>427.7</v>
      </c>
      <c r="AQ390" s="3">
        <v>492.3</v>
      </c>
      <c r="AR390" s="3">
        <v>518.29999999999995</v>
      </c>
      <c r="AS390" s="3">
        <v>519.70000000000005</v>
      </c>
      <c r="AT390" s="3">
        <v>519.70000000000005</v>
      </c>
      <c r="AU390" s="3">
        <v>564.5</v>
      </c>
      <c r="AV390" s="3">
        <v>577.4</v>
      </c>
      <c r="AW390" s="3">
        <v>578.5</v>
      </c>
      <c r="AX390" s="3">
        <v>579.1</v>
      </c>
      <c r="AY390" s="3">
        <v>596.4</v>
      </c>
      <c r="AZ390" s="3">
        <v>610.9</v>
      </c>
      <c r="BA390" s="3">
        <v>623.1</v>
      </c>
      <c r="BB390" s="3">
        <v>623.1</v>
      </c>
      <c r="BC390" s="3">
        <v>623.1</v>
      </c>
      <c r="BD390" s="3">
        <v>657.6</v>
      </c>
      <c r="BE390" s="3">
        <v>680.4</v>
      </c>
      <c r="BF390" s="3">
        <v>686.7</v>
      </c>
      <c r="BG390" s="3">
        <v>720.9</v>
      </c>
      <c r="BH390" s="3">
        <v>741.6</v>
      </c>
      <c r="BI390" s="3">
        <v>748.5</v>
      </c>
      <c r="BJ390" s="3">
        <v>755.3</v>
      </c>
      <c r="BK390" s="3">
        <v>838.4</v>
      </c>
      <c r="BL390" s="3">
        <v>1102.8</v>
      </c>
      <c r="BM390" s="3">
        <v>921.5</v>
      </c>
      <c r="BN390" s="3">
        <v>1219.8</v>
      </c>
      <c r="BO390" s="3">
        <v>1019.7</v>
      </c>
      <c r="BP390" s="3">
        <v>1046.2</v>
      </c>
      <c r="BQ390" s="3">
        <v>1396.7</v>
      </c>
      <c r="BR390" s="3">
        <v>1500.5</v>
      </c>
      <c r="BS390" s="3">
        <v>1762</v>
      </c>
      <c r="BT390" s="3">
        <v>1866.3</v>
      </c>
      <c r="BU390" s="3">
        <v>2357.1</v>
      </c>
      <c r="BV390" s="3">
        <v>3359.3</v>
      </c>
      <c r="BW390" s="3">
        <v>2874.1</v>
      </c>
      <c r="BX390" s="3">
        <v>3517.9</v>
      </c>
      <c r="BY390" s="3">
        <v>2948.8</v>
      </c>
      <c r="BZ390" s="3">
        <v>3172.7</v>
      </c>
      <c r="CA390" s="3">
        <v>4626</v>
      </c>
      <c r="CB390" s="3">
        <v>4872.2</v>
      </c>
      <c r="CC390" s="3">
        <v>4960.3</v>
      </c>
      <c r="CD390" s="3">
        <v>5065.7</v>
      </c>
      <c r="CE390" s="3">
        <v>6306.8</v>
      </c>
      <c r="CF390" s="3">
        <v>6524.7</v>
      </c>
      <c r="CG390" s="3">
        <v>6990.6</v>
      </c>
      <c r="CH390" s="3">
        <v>7380.7</v>
      </c>
      <c r="CI390" s="3">
        <v>7502.3</v>
      </c>
      <c r="CJ390" s="3">
        <v>7623.9</v>
      </c>
      <c r="CK390" s="3">
        <v>9049.5</v>
      </c>
      <c r="CL390" s="3">
        <v>9613.7999999999993</v>
      </c>
      <c r="CM390" s="3">
        <v>10155</v>
      </c>
      <c r="CN390" s="3">
        <v>10330.299999999999</v>
      </c>
      <c r="CO390" s="3">
        <v>12727</v>
      </c>
      <c r="CP390" s="3">
        <v>13326.1</v>
      </c>
      <c r="CQ390" s="3">
        <v>13481</v>
      </c>
      <c r="CR390" s="3">
        <v>13945.6</v>
      </c>
      <c r="CS390" s="3">
        <v>14193.5</v>
      </c>
      <c r="CT390" s="3">
        <v>14462.4</v>
      </c>
    </row>
    <row r="391" spans="1:98">
      <c r="A391" s="4" t="s">
        <v>487</v>
      </c>
      <c r="B391" s="5"/>
      <c r="C391" s="5"/>
      <c r="D391" s="5"/>
      <c r="E391" s="5"/>
      <c r="F391" s="5"/>
      <c r="G391" s="5"/>
      <c r="H391" s="5"/>
      <c r="I391" s="5"/>
      <c r="J391" s="5"/>
      <c r="K391" s="5"/>
      <c r="L391" s="5"/>
      <c r="M391" s="5"/>
      <c r="N391" s="5"/>
      <c r="O391" s="5"/>
      <c r="P391" s="5"/>
      <c r="Q391" s="5"/>
      <c r="R391" s="5"/>
      <c r="S391" s="5"/>
      <c r="T391" s="5"/>
      <c r="U391" s="5"/>
      <c r="V391" s="5"/>
      <c r="W391" s="5"/>
      <c r="X391" s="5">
        <v>223</v>
      </c>
      <c r="Y391" s="5">
        <v>233.1</v>
      </c>
      <c r="Z391" s="5">
        <v>234.3</v>
      </c>
      <c r="AA391" s="5">
        <v>251.6</v>
      </c>
      <c r="AB391" s="5">
        <v>255.7</v>
      </c>
      <c r="AC391" s="5">
        <v>259.39999999999998</v>
      </c>
      <c r="AD391" s="5">
        <v>264.5</v>
      </c>
      <c r="AE391" s="5">
        <v>283.5</v>
      </c>
      <c r="AF391" s="5">
        <v>285.5</v>
      </c>
      <c r="AG391" s="5">
        <v>290.89999999999998</v>
      </c>
      <c r="AH391" s="5">
        <v>302.10000000000002</v>
      </c>
      <c r="AI391" s="5">
        <v>323.10000000000002</v>
      </c>
      <c r="AJ391" s="5">
        <v>329.7</v>
      </c>
      <c r="AK391" s="5">
        <v>337.1</v>
      </c>
      <c r="AL391" s="5">
        <v>342.6</v>
      </c>
      <c r="AM391" s="5">
        <v>380.3</v>
      </c>
      <c r="AN391" s="5">
        <v>399.9</v>
      </c>
      <c r="AO391" s="5">
        <v>420.3</v>
      </c>
      <c r="AP391" s="5">
        <v>429.7</v>
      </c>
      <c r="AQ391" s="5">
        <v>486.1</v>
      </c>
      <c r="AR391" s="5">
        <v>495.3</v>
      </c>
      <c r="AS391" s="5">
        <v>505.7</v>
      </c>
      <c r="AT391" s="5">
        <v>517</v>
      </c>
      <c r="AU391" s="5">
        <v>599.70000000000005</v>
      </c>
      <c r="AV391" s="5">
        <v>610.20000000000005</v>
      </c>
      <c r="AW391" s="5">
        <v>619.6</v>
      </c>
      <c r="AX391" s="5">
        <v>629.20000000000005</v>
      </c>
      <c r="AY391" s="5">
        <v>694.3</v>
      </c>
      <c r="AZ391" s="5">
        <v>700.2</v>
      </c>
      <c r="BA391" s="5">
        <v>705.3</v>
      </c>
      <c r="BB391" s="5">
        <v>710.7</v>
      </c>
      <c r="BC391" s="5">
        <v>768.3</v>
      </c>
      <c r="BD391" s="5">
        <v>775.4</v>
      </c>
      <c r="BE391" s="5">
        <v>782.5</v>
      </c>
      <c r="BF391" s="5">
        <v>789.6</v>
      </c>
      <c r="BG391" s="5">
        <v>859.5</v>
      </c>
      <c r="BH391" s="5">
        <v>863.8</v>
      </c>
      <c r="BI391" s="5">
        <v>876.4</v>
      </c>
      <c r="BJ391" s="5">
        <v>884.3</v>
      </c>
      <c r="BK391" s="5">
        <v>1015.2</v>
      </c>
      <c r="BL391" s="5">
        <v>1097.3</v>
      </c>
      <c r="BM391" s="5">
        <v>1061.2</v>
      </c>
      <c r="BN391" s="5">
        <v>1125.5999999999999</v>
      </c>
      <c r="BO391" s="5">
        <v>1080.2</v>
      </c>
      <c r="BP391" s="5">
        <v>1080.2</v>
      </c>
      <c r="BQ391" s="5">
        <v>1371.5</v>
      </c>
      <c r="BR391" s="5">
        <v>1432.8</v>
      </c>
      <c r="BS391" s="5">
        <v>1459.2</v>
      </c>
      <c r="BT391" s="5">
        <v>1493.5</v>
      </c>
      <c r="BU391" s="5">
        <v>1823.6</v>
      </c>
      <c r="BV391" s="5">
        <v>2235.8000000000002</v>
      </c>
      <c r="BW391" s="5">
        <v>1992.3</v>
      </c>
      <c r="BX391" s="5">
        <v>2347.8000000000002</v>
      </c>
      <c r="BY391" s="5">
        <v>2005.8</v>
      </c>
      <c r="BZ391" s="5">
        <v>2035.6</v>
      </c>
      <c r="CA391" s="5">
        <v>3082.7</v>
      </c>
      <c r="CB391" s="5">
        <v>3228.2</v>
      </c>
      <c r="CC391" s="5">
        <v>3235.3</v>
      </c>
      <c r="CD391" s="5">
        <v>3251.7</v>
      </c>
      <c r="CE391" s="5">
        <v>4227.2</v>
      </c>
      <c r="CF391" s="5">
        <v>4305.5</v>
      </c>
      <c r="CG391" s="5">
        <v>4578.3999999999996</v>
      </c>
      <c r="CH391" s="5">
        <v>4747.5</v>
      </c>
      <c r="CI391" s="5">
        <v>4747.5</v>
      </c>
      <c r="CJ391" s="5">
        <v>4747.5</v>
      </c>
      <c r="CK391" s="5">
        <v>5867.9</v>
      </c>
      <c r="CL391" s="5">
        <v>6067.3</v>
      </c>
      <c r="CM391" s="5">
        <v>6224</v>
      </c>
      <c r="CN391" s="5">
        <v>6385.4</v>
      </c>
      <c r="CO391" s="5">
        <v>7949.8</v>
      </c>
      <c r="CP391" s="5">
        <v>8262.7000000000007</v>
      </c>
      <c r="CQ391" s="5">
        <v>8275.5</v>
      </c>
      <c r="CR391" s="5">
        <v>8620.2999999999993</v>
      </c>
      <c r="CS391" s="5">
        <v>8696.9</v>
      </c>
      <c r="CT391" s="5">
        <v>8773.5</v>
      </c>
    </row>
    <row r="392" spans="1:98">
      <c r="A392" s="2" t="s">
        <v>488</v>
      </c>
      <c r="B392" s="3"/>
      <c r="C392" s="3"/>
      <c r="D392" s="3"/>
      <c r="E392" s="3"/>
      <c r="F392" s="3"/>
      <c r="G392" s="3"/>
      <c r="H392" s="3"/>
      <c r="I392" s="3"/>
      <c r="J392" s="3"/>
      <c r="K392" s="3"/>
      <c r="L392" s="3"/>
      <c r="M392" s="3"/>
      <c r="N392" s="3"/>
      <c r="O392" s="3"/>
      <c r="P392" s="3"/>
      <c r="Q392" s="3"/>
      <c r="R392" s="3"/>
      <c r="S392" s="3"/>
      <c r="T392" s="3"/>
      <c r="U392" s="3"/>
      <c r="V392" s="3"/>
      <c r="W392" s="3"/>
      <c r="X392" s="3">
        <v>224.3</v>
      </c>
      <c r="Y392" s="3">
        <v>229.6</v>
      </c>
      <c r="Z392" s="3">
        <v>231</v>
      </c>
      <c r="AA392" s="3">
        <v>249.9</v>
      </c>
      <c r="AB392" s="3">
        <v>252.3</v>
      </c>
      <c r="AC392" s="3">
        <v>258.2</v>
      </c>
      <c r="AD392" s="3">
        <v>262.3</v>
      </c>
      <c r="AE392" s="3">
        <v>282.39999999999998</v>
      </c>
      <c r="AF392" s="3">
        <v>284.8</v>
      </c>
      <c r="AG392" s="3">
        <v>289.60000000000002</v>
      </c>
      <c r="AH392" s="3">
        <v>298</v>
      </c>
      <c r="AI392" s="3">
        <v>321</v>
      </c>
      <c r="AJ392" s="3">
        <v>325.3</v>
      </c>
      <c r="AK392" s="3">
        <v>331.4</v>
      </c>
      <c r="AL392" s="3">
        <v>335.2</v>
      </c>
      <c r="AM392" s="3">
        <v>372.3</v>
      </c>
      <c r="AN392" s="3">
        <v>386.4</v>
      </c>
      <c r="AO392" s="3">
        <v>407.2</v>
      </c>
      <c r="AP392" s="3">
        <v>414.7</v>
      </c>
      <c r="AQ392" s="3">
        <v>470.4</v>
      </c>
      <c r="AR392" s="3">
        <v>478.9</v>
      </c>
      <c r="AS392" s="3">
        <v>489.2</v>
      </c>
      <c r="AT392" s="3">
        <v>501</v>
      </c>
      <c r="AU392" s="3">
        <v>581.9</v>
      </c>
      <c r="AV392" s="3">
        <v>592.1</v>
      </c>
      <c r="AW392" s="3">
        <v>602</v>
      </c>
      <c r="AX392" s="3">
        <v>611.79999999999995</v>
      </c>
      <c r="AY392" s="3">
        <v>677.8</v>
      </c>
      <c r="AZ392" s="3">
        <v>683.8</v>
      </c>
      <c r="BA392" s="3">
        <v>689.6</v>
      </c>
      <c r="BB392" s="3">
        <v>695.5</v>
      </c>
      <c r="BC392" s="3">
        <v>755.8</v>
      </c>
      <c r="BD392" s="3">
        <v>762.7</v>
      </c>
      <c r="BE392" s="3">
        <v>769.7</v>
      </c>
      <c r="BF392" s="3">
        <v>776.6</v>
      </c>
      <c r="BG392" s="3">
        <v>846.7</v>
      </c>
      <c r="BH392" s="3">
        <v>853</v>
      </c>
      <c r="BI392" s="3">
        <v>862.6</v>
      </c>
      <c r="BJ392" s="3">
        <v>870.4</v>
      </c>
      <c r="BK392" s="3">
        <v>1003.7</v>
      </c>
      <c r="BL392" s="3">
        <v>1060</v>
      </c>
      <c r="BM392" s="3">
        <v>1037.9000000000001</v>
      </c>
      <c r="BN392" s="3">
        <v>1081.3</v>
      </c>
      <c r="BO392" s="3">
        <v>1040.3</v>
      </c>
      <c r="BP392" s="3">
        <v>1042.5</v>
      </c>
      <c r="BQ392" s="3">
        <v>1320.2</v>
      </c>
      <c r="BR392" s="3">
        <v>1376.2</v>
      </c>
      <c r="BS392" s="3">
        <v>1391.7</v>
      </c>
      <c r="BT392" s="3">
        <v>1418</v>
      </c>
      <c r="BU392" s="3">
        <v>1724.8</v>
      </c>
      <c r="BV392" s="3">
        <v>2065.5</v>
      </c>
      <c r="BW392" s="3">
        <v>1864.3</v>
      </c>
      <c r="BX392" s="3">
        <v>2166.9</v>
      </c>
      <c r="BY392" s="3">
        <v>1868.6</v>
      </c>
      <c r="BZ392" s="3">
        <v>1877.8</v>
      </c>
      <c r="CA392" s="3">
        <v>2842.5</v>
      </c>
      <c r="CB392" s="3">
        <v>2972.5</v>
      </c>
      <c r="CC392" s="3">
        <v>2974.6</v>
      </c>
      <c r="CD392" s="3">
        <v>2981</v>
      </c>
      <c r="CE392" s="3">
        <v>3931</v>
      </c>
      <c r="CF392" s="3">
        <v>4004.5</v>
      </c>
      <c r="CG392" s="3">
        <v>4117.8999999999996</v>
      </c>
      <c r="CH392" s="3">
        <v>4334.7</v>
      </c>
      <c r="CI392" s="3">
        <v>4334.7</v>
      </c>
      <c r="CJ392" s="3">
        <v>4335.3999999999996</v>
      </c>
      <c r="CK392" s="3">
        <v>5375.9</v>
      </c>
      <c r="CL392" s="3">
        <v>5553.9</v>
      </c>
      <c r="CM392" s="3">
        <v>5714.7</v>
      </c>
      <c r="CN392" s="3">
        <v>5863.2</v>
      </c>
      <c r="CO392" s="3">
        <v>7322</v>
      </c>
      <c r="CP392" s="3">
        <v>7611.9</v>
      </c>
      <c r="CQ392" s="3">
        <v>7615.8</v>
      </c>
      <c r="CR392" s="3">
        <v>7895.3</v>
      </c>
      <c r="CS392" s="3">
        <v>7958.2</v>
      </c>
      <c r="CT392" s="3">
        <v>8024.4</v>
      </c>
    </row>
    <row r="393" spans="1:98">
      <c r="A393" s="4" t="s">
        <v>489</v>
      </c>
      <c r="B393" s="5"/>
      <c r="C393" s="5"/>
      <c r="D393" s="5"/>
      <c r="E393" s="5"/>
      <c r="F393" s="5"/>
      <c r="G393" s="5"/>
      <c r="H393" s="5"/>
      <c r="I393" s="5"/>
      <c r="J393" s="5"/>
      <c r="K393" s="5"/>
      <c r="L393" s="5"/>
      <c r="M393" s="5"/>
      <c r="N393" s="5"/>
      <c r="O393" s="5"/>
      <c r="P393" s="5"/>
      <c r="Q393" s="5"/>
      <c r="R393" s="5"/>
      <c r="S393" s="5"/>
      <c r="T393" s="5"/>
      <c r="U393" s="5"/>
      <c r="V393" s="5"/>
      <c r="W393" s="5"/>
      <c r="X393" s="5">
        <v>248.2</v>
      </c>
      <c r="Y393" s="5">
        <v>250.2</v>
      </c>
      <c r="Z393" s="5">
        <v>250.5</v>
      </c>
      <c r="AA393" s="5">
        <v>262</v>
      </c>
      <c r="AB393" s="5">
        <v>267.2</v>
      </c>
      <c r="AC393" s="5">
        <v>269</v>
      </c>
      <c r="AD393" s="5">
        <v>270.5</v>
      </c>
      <c r="AE393" s="5">
        <v>286.3</v>
      </c>
      <c r="AF393" s="5">
        <v>287.8</v>
      </c>
      <c r="AG393" s="5">
        <v>289.39999999999998</v>
      </c>
      <c r="AH393" s="5">
        <v>366.5</v>
      </c>
      <c r="AI393" s="5">
        <v>374.6</v>
      </c>
      <c r="AJ393" s="5">
        <v>391.1</v>
      </c>
      <c r="AK393" s="5">
        <v>413.3</v>
      </c>
      <c r="AL393" s="5">
        <v>433.6</v>
      </c>
      <c r="AM393" s="5">
        <v>471</v>
      </c>
      <c r="AN393" s="5">
        <v>500.9</v>
      </c>
      <c r="AO393" s="5">
        <v>557.70000000000005</v>
      </c>
      <c r="AP393" s="5">
        <v>584.5</v>
      </c>
      <c r="AQ393" s="5">
        <v>636.79999999999995</v>
      </c>
      <c r="AR393" s="5">
        <v>653.5</v>
      </c>
      <c r="AS393" s="5">
        <v>665.6</v>
      </c>
      <c r="AT393" s="5">
        <v>677.8</v>
      </c>
      <c r="AU393" s="5">
        <v>753.7</v>
      </c>
      <c r="AV393" s="5">
        <v>768.9</v>
      </c>
      <c r="AW393" s="5">
        <v>775</v>
      </c>
      <c r="AX393" s="5">
        <v>782.9</v>
      </c>
      <c r="AY393" s="5">
        <v>840.3</v>
      </c>
      <c r="AZ393" s="5">
        <v>844.9</v>
      </c>
      <c r="BA393" s="5">
        <v>845.5</v>
      </c>
      <c r="BB393" s="5">
        <v>846.9</v>
      </c>
      <c r="BC393" s="5">
        <v>894.4</v>
      </c>
      <c r="BD393" s="5">
        <v>902.8</v>
      </c>
      <c r="BE393" s="5">
        <v>911.3</v>
      </c>
      <c r="BF393" s="5">
        <v>919.8</v>
      </c>
      <c r="BG393" s="5">
        <v>980.8</v>
      </c>
      <c r="BH393" s="5">
        <v>981.6</v>
      </c>
      <c r="BI393" s="5">
        <v>1006.8</v>
      </c>
      <c r="BJ393" s="5">
        <v>1016</v>
      </c>
      <c r="BK393" s="5">
        <v>1134.5</v>
      </c>
      <c r="BL393" s="5">
        <v>1403.3</v>
      </c>
      <c r="BM393" s="5">
        <v>1265.4000000000001</v>
      </c>
      <c r="BN393" s="5">
        <v>1491</v>
      </c>
      <c r="BO393" s="5">
        <v>1325</v>
      </c>
      <c r="BP393" s="5">
        <v>1383</v>
      </c>
      <c r="BQ393" s="5">
        <v>1734.5</v>
      </c>
      <c r="BR393" s="5">
        <v>1847</v>
      </c>
      <c r="BS393" s="5">
        <v>1938.7</v>
      </c>
      <c r="BT393" s="5">
        <v>2045.4</v>
      </c>
      <c r="BU393" s="5">
        <v>2431.3000000000002</v>
      </c>
      <c r="BV393" s="5">
        <v>3475.7</v>
      </c>
      <c r="BW393" s="5">
        <v>2810</v>
      </c>
      <c r="BX393" s="5">
        <v>3671</v>
      </c>
      <c r="BY393" s="5">
        <v>2919.5</v>
      </c>
      <c r="BZ393" s="5">
        <v>3149</v>
      </c>
      <c r="CA393" s="5">
        <v>4750.5</v>
      </c>
      <c r="CB393" s="5">
        <v>5125.3</v>
      </c>
      <c r="CC393" s="5">
        <v>5170</v>
      </c>
      <c r="CD393" s="5">
        <v>5330</v>
      </c>
      <c r="CE393" s="5">
        <v>6657.2</v>
      </c>
      <c r="CF393" s="5">
        <v>6857.4</v>
      </c>
      <c r="CG393" s="5">
        <v>7325.1</v>
      </c>
      <c r="CH393" s="5">
        <v>7773.6</v>
      </c>
      <c r="CI393" s="5">
        <v>7773.6</v>
      </c>
      <c r="CJ393" s="5">
        <v>7773.6</v>
      </c>
      <c r="CK393" s="5">
        <v>9368.7000000000007</v>
      </c>
      <c r="CL393" s="5">
        <v>9813.7999999999993</v>
      </c>
      <c r="CM393" s="5">
        <v>9940.1</v>
      </c>
      <c r="CN393" s="5">
        <v>10262.9</v>
      </c>
      <c r="CO393" s="5">
        <v>12379.2</v>
      </c>
      <c r="CP393" s="5">
        <v>13003.3</v>
      </c>
      <c r="CQ393" s="5">
        <v>13006.2</v>
      </c>
      <c r="CR393" s="5">
        <v>13904</v>
      </c>
      <c r="CS393" s="5">
        <v>14079.3</v>
      </c>
      <c r="CT393" s="5">
        <v>14300.9</v>
      </c>
    </row>
    <row r="394" spans="1:98">
      <c r="A394" s="2" t="s">
        <v>490</v>
      </c>
      <c r="B394" s="3"/>
      <c r="C394" s="3"/>
      <c r="D394" s="3"/>
      <c r="E394" s="3"/>
      <c r="F394" s="3"/>
      <c r="G394" s="3"/>
      <c r="H394" s="3"/>
      <c r="I394" s="3"/>
      <c r="J394" s="3"/>
      <c r="K394" s="3"/>
      <c r="L394" s="3"/>
      <c r="M394" s="3"/>
      <c r="N394" s="3"/>
      <c r="O394" s="3"/>
      <c r="P394" s="3"/>
      <c r="Q394" s="3"/>
      <c r="R394" s="3"/>
      <c r="S394" s="3"/>
      <c r="T394" s="3"/>
      <c r="U394" s="3"/>
      <c r="V394" s="3"/>
      <c r="W394" s="3"/>
      <c r="X394" s="3">
        <v>213.7</v>
      </c>
      <c r="Y394" s="3">
        <v>216.7</v>
      </c>
      <c r="Z394" s="3">
        <v>218.9</v>
      </c>
      <c r="AA394" s="3">
        <v>228.7</v>
      </c>
      <c r="AB394" s="3">
        <v>230.2</v>
      </c>
      <c r="AC394" s="3">
        <v>234.8</v>
      </c>
      <c r="AD394" s="3">
        <v>237.1</v>
      </c>
      <c r="AE394" s="3">
        <v>250.3</v>
      </c>
      <c r="AF394" s="3">
        <v>251.6</v>
      </c>
      <c r="AG394" s="3">
        <v>254.7</v>
      </c>
      <c r="AH394" s="3">
        <v>268.7</v>
      </c>
      <c r="AI394" s="3">
        <v>281.3</v>
      </c>
      <c r="AJ394" s="3">
        <v>294.5</v>
      </c>
      <c r="AK394" s="3">
        <v>301.2</v>
      </c>
      <c r="AL394" s="3">
        <v>306.10000000000002</v>
      </c>
      <c r="AM394" s="3">
        <v>334.3</v>
      </c>
      <c r="AN394" s="3">
        <v>345.2</v>
      </c>
      <c r="AO394" s="3">
        <v>375</v>
      </c>
      <c r="AP394" s="3">
        <v>382.4</v>
      </c>
      <c r="AQ394" s="3">
        <v>421.2</v>
      </c>
      <c r="AR394" s="3">
        <v>436.8</v>
      </c>
      <c r="AS394" s="3">
        <v>461</v>
      </c>
      <c r="AT394" s="3">
        <v>468.1</v>
      </c>
      <c r="AU394" s="3">
        <v>514.29999999999995</v>
      </c>
      <c r="AV394" s="3">
        <v>535.4</v>
      </c>
      <c r="AW394" s="3">
        <v>535.29999999999995</v>
      </c>
      <c r="AX394" s="3">
        <v>540.20000000000005</v>
      </c>
      <c r="AY394" s="3">
        <v>579.4</v>
      </c>
      <c r="AZ394" s="3">
        <v>581.4</v>
      </c>
      <c r="BA394" s="3">
        <v>583.20000000000005</v>
      </c>
      <c r="BB394" s="3">
        <v>585.79999999999995</v>
      </c>
      <c r="BC394" s="3">
        <v>634.9</v>
      </c>
      <c r="BD394" s="3">
        <v>642</v>
      </c>
      <c r="BE394" s="3">
        <v>657.4</v>
      </c>
      <c r="BF394" s="3">
        <v>664</v>
      </c>
      <c r="BG394" s="3">
        <v>716.3</v>
      </c>
      <c r="BH394" s="3">
        <v>719.1</v>
      </c>
      <c r="BI394" s="3">
        <v>727</v>
      </c>
      <c r="BJ394" s="3">
        <v>735.2</v>
      </c>
      <c r="BK394" s="3">
        <v>833.3</v>
      </c>
      <c r="BL394" s="3">
        <v>937</v>
      </c>
      <c r="BM394" s="3">
        <v>871.7</v>
      </c>
      <c r="BN394" s="3">
        <v>956.6</v>
      </c>
      <c r="BO394" s="3">
        <v>896.2</v>
      </c>
      <c r="BP394" s="3">
        <v>907.5</v>
      </c>
      <c r="BQ394" s="3">
        <v>1130.3</v>
      </c>
      <c r="BR394" s="3">
        <v>1215.5999999999999</v>
      </c>
      <c r="BS394" s="3">
        <v>1254.9000000000001</v>
      </c>
      <c r="BT394" s="3">
        <v>1283.2</v>
      </c>
      <c r="BU394" s="3">
        <v>1542.5</v>
      </c>
      <c r="BV394" s="3">
        <v>1940.6</v>
      </c>
      <c r="BW394" s="3">
        <v>1698.7</v>
      </c>
      <c r="BX394" s="3">
        <v>2069.3000000000002</v>
      </c>
      <c r="BY394" s="3">
        <v>1710.8</v>
      </c>
      <c r="BZ394" s="3">
        <v>1748.8</v>
      </c>
      <c r="CA394" s="3">
        <v>2687.6</v>
      </c>
      <c r="CB394" s="3">
        <v>3015.5</v>
      </c>
      <c r="CC394" s="3">
        <v>2947.9</v>
      </c>
      <c r="CD394" s="3">
        <v>3015.2</v>
      </c>
      <c r="CE394" s="3">
        <v>3743</v>
      </c>
      <c r="CF394" s="3">
        <v>3875.8</v>
      </c>
      <c r="CG394" s="3">
        <v>4102.7</v>
      </c>
      <c r="CH394" s="3">
        <v>4332.1000000000004</v>
      </c>
      <c r="CI394" s="3">
        <v>4341.8</v>
      </c>
      <c r="CJ394" s="3">
        <v>4544.1000000000004</v>
      </c>
      <c r="CK394" s="3">
        <v>5299.1</v>
      </c>
      <c r="CL394" s="3">
        <v>5562.8</v>
      </c>
      <c r="CM394" s="3">
        <v>5836.6</v>
      </c>
      <c r="CN394" s="3">
        <v>5943.8</v>
      </c>
      <c r="CO394" s="3">
        <v>7212.5</v>
      </c>
      <c r="CP394" s="3">
        <v>7527.9</v>
      </c>
      <c r="CQ394" s="3">
        <v>7803.3</v>
      </c>
      <c r="CR394" s="3">
        <v>8097.5</v>
      </c>
      <c r="CS394" s="3">
        <v>8323.1</v>
      </c>
      <c r="CT394" s="3">
        <v>8501</v>
      </c>
    </row>
    <row r="395" spans="1:98">
      <c r="A395" s="4" t="s">
        <v>491</v>
      </c>
      <c r="B395" s="5"/>
      <c r="C395" s="5"/>
      <c r="D395" s="5"/>
      <c r="E395" s="5"/>
      <c r="F395" s="5"/>
      <c r="G395" s="5"/>
      <c r="H395" s="5"/>
      <c r="I395" s="5"/>
      <c r="J395" s="5"/>
      <c r="K395" s="5"/>
      <c r="L395" s="5"/>
      <c r="M395" s="5"/>
      <c r="N395" s="5"/>
      <c r="O395" s="5"/>
      <c r="P395" s="5"/>
      <c r="Q395" s="5"/>
      <c r="R395" s="5"/>
      <c r="S395" s="5"/>
      <c r="T395" s="5"/>
      <c r="U395" s="5"/>
      <c r="V395" s="5"/>
      <c r="W395" s="5"/>
      <c r="X395" s="5">
        <v>231.5</v>
      </c>
      <c r="Y395" s="5">
        <v>223.6</v>
      </c>
      <c r="Z395" s="5">
        <v>209.3</v>
      </c>
      <c r="AA395" s="5">
        <v>214.3</v>
      </c>
      <c r="AB395" s="5">
        <v>218.7</v>
      </c>
      <c r="AC395" s="5">
        <v>219.8</v>
      </c>
      <c r="AD395" s="5">
        <v>222.3</v>
      </c>
      <c r="AE395" s="5">
        <v>241.1</v>
      </c>
      <c r="AF395" s="5">
        <v>243.8</v>
      </c>
      <c r="AG395" s="5">
        <v>250.7</v>
      </c>
      <c r="AH395" s="5">
        <v>255.9</v>
      </c>
      <c r="AI395" s="5">
        <v>273.2</v>
      </c>
      <c r="AJ395" s="5">
        <v>279.60000000000002</v>
      </c>
      <c r="AK395" s="5">
        <v>290.7</v>
      </c>
      <c r="AL395" s="5">
        <v>310.60000000000002</v>
      </c>
      <c r="AM395" s="5">
        <v>333.1</v>
      </c>
      <c r="AN395" s="5">
        <v>367.9</v>
      </c>
      <c r="AO395" s="5">
        <v>397.2</v>
      </c>
      <c r="AP395" s="5">
        <v>407.1</v>
      </c>
      <c r="AQ395" s="5">
        <v>438</v>
      </c>
      <c r="AR395" s="5">
        <v>441.2</v>
      </c>
      <c r="AS395" s="5">
        <v>446.4</v>
      </c>
      <c r="AT395" s="5">
        <v>449.3</v>
      </c>
      <c r="AU395" s="5">
        <v>499.2</v>
      </c>
      <c r="AV395" s="5">
        <v>499.9</v>
      </c>
      <c r="AW395" s="5">
        <v>504.3</v>
      </c>
      <c r="AX395" s="5">
        <v>497.6</v>
      </c>
      <c r="AY395" s="5">
        <v>514.9</v>
      </c>
      <c r="AZ395" s="5">
        <v>515.9</v>
      </c>
      <c r="BA395" s="5">
        <v>513.79999999999995</v>
      </c>
      <c r="BB395" s="5">
        <v>510.1</v>
      </c>
      <c r="BC395" s="5">
        <v>556.4</v>
      </c>
      <c r="BD395" s="5">
        <v>558.70000000000005</v>
      </c>
      <c r="BE395" s="5">
        <v>580</v>
      </c>
      <c r="BF395" s="5">
        <v>586</v>
      </c>
      <c r="BG395" s="5">
        <v>623.29999999999995</v>
      </c>
      <c r="BH395" s="5">
        <v>646.5</v>
      </c>
      <c r="BI395" s="5">
        <v>665.1</v>
      </c>
      <c r="BJ395" s="5">
        <v>681.6</v>
      </c>
      <c r="BK395" s="5">
        <v>773.3</v>
      </c>
      <c r="BL395" s="5">
        <v>1030.0999999999999</v>
      </c>
      <c r="BM395" s="5">
        <v>866.9</v>
      </c>
      <c r="BN395" s="5">
        <v>1032.8</v>
      </c>
      <c r="BO395" s="5">
        <v>962</v>
      </c>
      <c r="BP395" s="5">
        <v>999.7</v>
      </c>
      <c r="BQ395" s="5">
        <v>1186.3</v>
      </c>
      <c r="BR395" s="5">
        <v>1178.0999999999999</v>
      </c>
      <c r="BS395" s="5">
        <v>1197.5999999999999</v>
      </c>
      <c r="BT395" s="5">
        <v>1324.6</v>
      </c>
      <c r="BU395" s="5">
        <v>1620.8</v>
      </c>
      <c r="BV395" s="5">
        <v>2284.9</v>
      </c>
      <c r="BW395" s="5">
        <v>1937.9</v>
      </c>
      <c r="BX395" s="5">
        <v>2364.4</v>
      </c>
      <c r="BY395" s="5">
        <v>1982.9</v>
      </c>
      <c r="BZ395" s="5">
        <v>2067.6999999999998</v>
      </c>
      <c r="CA395" s="5">
        <v>2809.1</v>
      </c>
      <c r="CB395" s="5">
        <v>3143.1</v>
      </c>
      <c r="CC395" s="5">
        <v>3298.6</v>
      </c>
      <c r="CD395" s="5">
        <v>3294.7</v>
      </c>
      <c r="CE395" s="5">
        <v>4316.7</v>
      </c>
      <c r="CF395" s="5">
        <v>4244.6000000000004</v>
      </c>
      <c r="CG395" s="5">
        <v>4269.8999999999996</v>
      </c>
      <c r="CH395" s="5">
        <v>4569.7</v>
      </c>
      <c r="CI395" s="5">
        <v>4645.5</v>
      </c>
      <c r="CJ395" s="5">
        <v>4905.8</v>
      </c>
      <c r="CK395" s="5">
        <v>5592.6</v>
      </c>
      <c r="CL395" s="5">
        <v>5730</v>
      </c>
      <c r="CM395" s="5">
        <v>5912.1</v>
      </c>
      <c r="CN395" s="5">
        <v>6167.4</v>
      </c>
      <c r="CO395" s="5">
        <v>6953.9</v>
      </c>
      <c r="CP395" s="5">
        <v>7118</v>
      </c>
      <c r="CQ395" s="5">
        <v>7239.3</v>
      </c>
      <c r="CR395" s="5">
        <v>7700.2</v>
      </c>
      <c r="CS395" s="5">
        <v>8035</v>
      </c>
      <c r="CT395" s="5">
        <v>8391.7999999999993</v>
      </c>
    </row>
    <row r="396" spans="1:98">
      <c r="A396" s="2" t="s">
        <v>492</v>
      </c>
      <c r="B396" s="3"/>
      <c r="C396" s="3"/>
      <c r="D396" s="3"/>
      <c r="E396" s="3"/>
      <c r="F396" s="3"/>
      <c r="G396" s="3"/>
      <c r="H396" s="3"/>
      <c r="I396" s="3"/>
      <c r="J396" s="3"/>
      <c r="K396" s="3"/>
      <c r="L396" s="3"/>
      <c r="M396" s="3"/>
      <c r="N396" s="3"/>
      <c r="O396" s="3"/>
      <c r="P396" s="3"/>
      <c r="Q396" s="3"/>
      <c r="R396" s="3"/>
      <c r="S396" s="3"/>
      <c r="T396" s="3"/>
      <c r="U396" s="3"/>
      <c r="V396" s="3"/>
      <c r="W396" s="3"/>
      <c r="X396" s="3">
        <v>319.39999999999998</v>
      </c>
      <c r="Y396" s="3">
        <v>269.89999999999998</v>
      </c>
      <c r="Z396" s="3">
        <v>249.4</v>
      </c>
      <c r="AA396" s="3">
        <v>254.9</v>
      </c>
      <c r="AB396" s="3">
        <v>259.5</v>
      </c>
      <c r="AC396" s="3">
        <v>258.3</v>
      </c>
      <c r="AD396" s="3">
        <v>271.2</v>
      </c>
      <c r="AE396" s="3">
        <v>285.5</v>
      </c>
      <c r="AF396" s="3">
        <v>291.10000000000002</v>
      </c>
      <c r="AG396" s="3">
        <v>304.2</v>
      </c>
      <c r="AH396" s="3">
        <v>311.39999999999998</v>
      </c>
      <c r="AI396" s="3">
        <v>325.60000000000002</v>
      </c>
      <c r="AJ396" s="3">
        <v>341.3</v>
      </c>
      <c r="AK396" s="3">
        <v>346.9</v>
      </c>
      <c r="AL396" s="3">
        <v>366.7</v>
      </c>
      <c r="AM396" s="3">
        <v>409.2</v>
      </c>
      <c r="AN396" s="3">
        <v>455.9</v>
      </c>
      <c r="AO396" s="3">
        <v>502</v>
      </c>
      <c r="AP396" s="3">
        <v>510.5</v>
      </c>
      <c r="AQ396" s="3">
        <v>544.20000000000005</v>
      </c>
      <c r="AR396" s="3">
        <v>550.9</v>
      </c>
      <c r="AS396" s="3">
        <v>556.70000000000005</v>
      </c>
      <c r="AT396" s="3">
        <v>550.6</v>
      </c>
      <c r="AU396" s="3">
        <v>614</v>
      </c>
      <c r="AV396" s="3">
        <v>626</v>
      </c>
      <c r="AW396" s="3">
        <v>626.5</v>
      </c>
      <c r="AX396" s="3">
        <v>613.9</v>
      </c>
      <c r="AY396" s="3">
        <v>637.20000000000005</v>
      </c>
      <c r="AZ396" s="3">
        <v>632.1</v>
      </c>
      <c r="BA396" s="3">
        <v>616.9</v>
      </c>
      <c r="BB396" s="3">
        <v>614.20000000000005</v>
      </c>
      <c r="BC396" s="3">
        <v>681.8</v>
      </c>
      <c r="BD396" s="3">
        <v>682</v>
      </c>
      <c r="BE396" s="3">
        <v>701.1</v>
      </c>
      <c r="BF396" s="3">
        <v>703.1</v>
      </c>
      <c r="BG396" s="3">
        <v>756.4</v>
      </c>
      <c r="BH396" s="3">
        <v>807.3</v>
      </c>
      <c r="BI396" s="3">
        <v>821.3</v>
      </c>
      <c r="BJ396" s="3">
        <v>838.2</v>
      </c>
      <c r="BK396" s="3">
        <v>983.7</v>
      </c>
      <c r="BL396" s="3">
        <v>1203.4000000000001</v>
      </c>
      <c r="BM396" s="3">
        <v>1077.5</v>
      </c>
      <c r="BN396" s="3">
        <v>1216.7</v>
      </c>
      <c r="BO396" s="3">
        <v>1191.0999999999999</v>
      </c>
      <c r="BP396" s="3">
        <v>1205</v>
      </c>
      <c r="BQ396" s="3">
        <v>1432.5</v>
      </c>
      <c r="BR396" s="3">
        <v>1441.2</v>
      </c>
      <c r="BS396" s="3">
        <v>1501.8</v>
      </c>
      <c r="BT396" s="3">
        <v>1667.8</v>
      </c>
      <c r="BU396" s="3">
        <v>2012</v>
      </c>
      <c r="BV396" s="3">
        <v>2960.5</v>
      </c>
      <c r="BW396" s="3">
        <v>2516.4</v>
      </c>
      <c r="BX396" s="3">
        <v>3074.1</v>
      </c>
      <c r="BY396" s="3">
        <v>2602.8000000000002</v>
      </c>
      <c r="BZ396" s="3">
        <v>2715.2</v>
      </c>
      <c r="CA396" s="3">
        <v>3685.3</v>
      </c>
      <c r="CB396" s="3">
        <v>4147.1000000000004</v>
      </c>
      <c r="CC396" s="3">
        <v>4098.5</v>
      </c>
      <c r="CD396" s="3">
        <v>4097</v>
      </c>
      <c r="CE396" s="3">
        <v>4917.2</v>
      </c>
      <c r="CF396" s="3">
        <v>4881</v>
      </c>
      <c r="CG396" s="3">
        <v>5083.7</v>
      </c>
      <c r="CH396" s="3">
        <v>5561.8</v>
      </c>
      <c r="CI396" s="3">
        <v>5821.7</v>
      </c>
      <c r="CJ396" s="3">
        <v>6481.8</v>
      </c>
      <c r="CK396" s="3">
        <v>7132.2</v>
      </c>
      <c r="CL396" s="3">
        <v>7233</v>
      </c>
      <c r="CM396" s="3">
        <v>7367.2</v>
      </c>
      <c r="CN396" s="3">
        <v>7620.2</v>
      </c>
      <c r="CO396" s="3">
        <v>8920.2999999999993</v>
      </c>
      <c r="CP396" s="3">
        <v>9529.7999999999993</v>
      </c>
      <c r="CQ396" s="3">
        <v>9662.9</v>
      </c>
      <c r="CR396" s="3">
        <v>10049.799999999999</v>
      </c>
      <c r="CS396" s="3">
        <v>10346.9</v>
      </c>
      <c r="CT396" s="3">
        <v>10805.7</v>
      </c>
    </row>
    <row r="397" spans="1:98">
      <c r="A397" s="4" t="s">
        <v>493</v>
      </c>
      <c r="B397" s="5"/>
      <c r="C397" s="5"/>
      <c r="D397" s="5"/>
      <c r="E397" s="5"/>
      <c r="F397" s="5"/>
      <c r="G397" s="5"/>
      <c r="H397" s="5"/>
      <c r="I397" s="5"/>
      <c r="J397" s="5"/>
      <c r="K397" s="5"/>
      <c r="L397" s="5"/>
      <c r="M397" s="5"/>
      <c r="N397" s="5"/>
      <c r="O397" s="5"/>
      <c r="P397" s="5"/>
      <c r="Q397" s="5"/>
      <c r="R397" s="5"/>
      <c r="S397" s="5"/>
      <c r="T397" s="5"/>
      <c r="U397" s="5"/>
      <c r="V397" s="5"/>
      <c r="W397" s="5"/>
      <c r="X397" s="5">
        <v>427.3</v>
      </c>
      <c r="Y397" s="5">
        <v>372.4</v>
      </c>
      <c r="Z397" s="5">
        <v>275.60000000000002</v>
      </c>
      <c r="AA397" s="5">
        <v>277.3</v>
      </c>
      <c r="AB397" s="5">
        <v>276.89999999999998</v>
      </c>
      <c r="AC397" s="5">
        <v>277.7</v>
      </c>
      <c r="AD397" s="5">
        <v>278.2</v>
      </c>
      <c r="AE397" s="5">
        <v>295.2</v>
      </c>
      <c r="AF397" s="5">
        <v>325.3</v>
      </c>
      <c r="AG397" s="5">
        <v>360.7</v>
      </c>
      <c r="AH397" s="5">
        <v>342.5</v>
      </c>
      <c r="AI397" s="5">
        <v>349.2</v>
      </c>
      <c r="AJ397" s="5">
        <v>364</v>
      </c>
      <c r="AK397" s="5">
        <v>389.2</v>
      </c>
      <c r="AL397" s="5">
        <v>448.3</v>
      </c>
      <c r="AM397" s="5">
        <v>537.79999999999995</v>
      </c>
      <c r="AN397" s="5">
        <v>642.1</v>
      </c>
      <c r="AO397" s="5">
        <v>753.8</v>
      </c>
      <c r="AP397" s="5">
        <v>789.6</v>
      </c>
      <c r="AQ397" s="5">
        <v>816.6</v>
      </c>
      <c r="AR397" s="5">
        <v>830.9</v>
      </c>
      <c r="AS397" s="5">
        <v>825.8</v>
      </c>
      <c r="AT397" s="5">
        <v>795.7</v>
      </c>
      <c r="AU397" s="5">
        <v>822.3</v>
      </c>
      <c r="AV397" s="5">
        <v>809.7</v>
      </c>
      <c r="AW397" s="5">
        <v>815</v>
      </c>
      <c r="AX397" s="5">
        <v>793.4</v>
      </c>
      <c r="AY397" s="5">
        <v>724.2</v>
      </c>
      <c r="AZ397" s="5">
        <v>704.1</v>
      </c>
      <c r="BA397" s="5">
        <v>673.3</v>
      </c>
      <c r="BB397" s="5">
        <v>638.20000000000005</v>
      </c>
      <c r="BC397" s="5">
        <v>679.6</v>
      </c>
      <c r="BD397" s="5">
        <v>692</v>
      </c>
      <c r="BE397" s="5">
        <v>719.6</v>
      </c>
      <c r="BF397" s="5">
        <v>746.5</v>
      </c>
      <c r="BG397" s="5">
        <v>751.3</v>
      </c>
      <c r="BH397" s="5">
        <v>890.8</v>
      </c>
      <c r="BI397" s="5">
        <v>966.6</v>
      </c>
      <c r="BJ397" s="5">
        <v>977.6</v>
      </c>
      <c r="BK397" s="5">
        <v>1169</v>
      </c>
      <c r="BL397" s="5">
        <v>1909</v>
      </c>
      <c r="BM397" s="5">
        <v>1328.3</v>
      </c>
      <c r="BN397" s="5">
        <v>1865.2</v>
      </c>
      <c r="BO397" s="5">
        <v>1777</v>
      </c>
      <c r="BP397" s="5">
        <v>1837.4</v>
      </c>
      <c r="BQ397" s="5">
        <v>2136.9</v>
      </c>
      <c r="BR397" s="5">
        <v>2082.1</v>
      </c>
      <c r="BS397" s="5">
        <v>2069.5</v>
      </c>
      <c r="BT397" s="5">
        <v>2438.8000000000002</v>
      </c>
      <c r="BU397" s="5">
        <v>2740.2</v>
      </c>
      <c r="BV397" s="5">
        <v>4823.1000000000004</v>
      </c>
      <c r="BW397" s="5">
        <v>3906.2</v>
      </c>
      <c r="BX397" s="5">
        <v>5186.6000000000004</v>
      </c>
      <c r="BY397" s="5">
        <v>4464.6000000000004</v>
      </c>
      <c r="BZ397" s="5">
        <v>4608</v>
      </c>
      <c r="CA397" s="5">
        <v>5792.6</v>
      </c>
      <c r="CB397" s="5">
        <v>6339.2</v>
      </c>
      <c r="CC397" s="5">
        <v>6304.4</v>
      </c>
      <c r="CD397" s="5">
        <v>6291.2</v>
      </c>
      <c r="CE397" s="5">
        <v>7141.7</v>
      </c>
      <c r="CF397" s="5">
        <v>6759</v>
      </c>
      <c r="CG397" s="5">
        <v>6501.9</v>
      </c>
      <c r="CH397" s="5">
        <v>7803.7</v>
      </c>
      <c r="CI397" s="5">
        <v>8775.1</v>
      </c>
      <c r="CJ397" s="5">
        <v>10409.200000000001</v>
      </c>
      <c r="CK397" s="5">
        <v>10300.200000000001</v>
      </c>
      <c r="CL397" s="5">
        <v>9723.2000000000007</v>
      </c>
      <c r="CM397" s="5">
        <v>9307.6</v>
      </c>
      <c r="CN397" s="5">
        <v>9795.6</v>
      </c>
      <c r="CO397" s="5">
        <v>10392.700000000001</v>
      </c>
      <c r="CP397" s="5">
        <v>10780.5</v>
      </c>
      <c r="CQ397" s="5">
        <v>11135.5</v>
      </c>
      <c r="CR397" s="5">
        <v>11516.1</v>
      </c>
      <c r="CS397" s="5">
        <v>12050.6</v>
      </c>
      <c r="CT397" s="5">
        <v>13808.2</v>
      </c>
    </row>
    <row r="398" spans="1:98">
      <c r="A398" s="2" t="s">
        <v>494</v>
      </c>
      <c r="B398" s="3"/>
      <c r="C398" s="3"/>
      <c r="D398" s="3"/>
      <c r="E398" s="3"/>
      <c r="F398" s="3"/>
      <c r="G398" s="3"/>
      <c r="H398" s="3"/>
      <c r="I398" s="3"/>
      <c r="J398" s="3"/>
      <c r="K398" s="3"/>
      <c r="L398" s="3"/>
      <c r="M398" s="3"/>
      <c r="N398" s="3"/>
      <c r="O398" s="3"/>
      <c r="P398" s="3"/>
      <c r="Q398" s="3"/>
      <c r="R398" s="3"/>
      <c r="S398" s="3"/>
      <c r="T398" s="3"/>
      <c r="U398" s="3"/>
      <c r="V398" s="3"/>
      <c r="W398" s="3"/>
      <c r="X398" s="3">
        <v>231.5</v>
      </c>
      <c r="Y398" s="3">
        <v>234.2</v>
      </c>
      <c r="Z398" s="3">
        <v>234.7</v>
      </c>
      <c r="AA398" s="3">
        <v>251.3</v>
      </c>
      <c r="AB398" s="3">
        <v>254.8</v>
      </c>
      <c r="AC398" s="3">
        <v>257.8</v>
      </c>
      <c r="AD398" s="3">
        <v>260.5</v>
      </c>
      <c r="AE398" s="3">
        <v>277.2</v>
      </c>
      <c r="AF398" s="3">
        <v>278.8</v>
      </c>
      <c r="AG398" s="3">
        <v>284.2</v>
      </c>
      <c r="AH398" s="3">
        <v>318.39999999999998</v>
      </c>
      <c r="AI398" s="3">
        <v>334.9</v>
      </c>
      <c r="AJ398" s="3">
        <v>345.9</v>
      </c>
      <c r="AK398" s="3">
        <v>357.3</v>
      </c>
      <c r="AL398" s="3">
        <v>367.8</v>
      </c>
      <c r="AM398" s="3">
        <v>405.6</v>
      </c>
      <c r="AN398" s="3">
        <v>426.8</v>
      </c>
      <c r="AO398" s="3">
        <v>461.3</v>
      </c>
      <c r="AP398" s="3">
        <v>476.5</v>
      </c>
      <c r="AQ398" s="3">
        <v>531.6</v>
      </c>
      <c r="AR398" s="3">
        <v>542.6</v>
      </c>
      <c r="AS398" s="3">
        <v>553.4</v>
      </c>
      <c r="AT398" s="3">
        <v>564.20000000000005</v>
      </c>
      <c r="AU398" s="3">
        <v>646.5</v>
      </c>
      <c r="AV398" s="3">
        <v>658.4</v>
      </c>
      <c r="AW398" s="3">
        <v>666.5</v>
      </c>
      <c r="AX398" s="3">
        <v>675.3</v>
      </c>
      <c r="AY398" s="3">
        <v>736.8</v>
      </c>
      <c r="AZ398" s="3">
        <v>742.1</v>
      </c>
      <c r="BA398" s="3">
        <v>745.7</v>
      </c>
      <c r="BB398" s="3">
        <v>749.6</v>
      </c>
      <c r="BC398" s="3">
        <v>801.7</v>
      </c>
      <c r="BD398" s="3">
        <v>809</v>
      </c>
      <c r="BE398" s="3">
        <v>816.7</v>
      </c>
      <c r="BF398" s="3">
        <v>824.3</v>
      </c>
      <c r="BG398" s="3">
        <v>892.3</v>
      </c>
      <c r="BH398" s="3">
        <v>894.1</v>
      </c>
      <c r="BI398" s="3">
        <v>912.7</v>
      </c>
      <c r="BJ398" s="3">
        <v>921.4</v>
      </c>
      <c r="BK398" s="3">
        <v>1047.5</v>
      </c>
      <c r="BL398" s="3">
        <v>1190.0999999999999</v>
      </c>
      <c r="BM398" s="3">
        <v>1121</v>
      </c>
      <c r="BN398" s="3">
        <v>1234.5999999999999</v>
      </c>
      <c r="BO398" s="3">
        <v>1147.9000000000001</v>
      </c>
      <c r="BP398" s="3">
        <v>1173.2</v>
      </c>
      <c r="BQ398" s="3">
        <v>1483.3</v>
      </c>
      <c r="BR398" s="3">
        <v>1560.1</v>
      </c>
      <c r="BS398" s="3">
        <v>1610.7</v>
      </c>
      <c r="BT398" s="3">
        <v>1673.7</v>
      </c>
      <c r="BU398" s="3">
        <v>2037.5</v>
      </c>
      <c r="BV398" s="3">
        <v>2678.8</v>
      </c>
      <c r="BW398" s="3">
        <v>2286.6999999999998</v>
      </c>
      <c r="BX398" s="3">
        <v>2825.9</v>
      </c>
      <c r="BY398" s="3">
        <v>2333.6</v>
      </c>
      <c r="BZ398" s="3">
        <v>2429.6999999999998</v>
      </c>
      <c r="CA398" s="3">
        <v>3688.9</v>
      </c>
      <c r="CB398" s="3">
        <v>3906.9</v>
      </c>
      <c r="CC398" s="3">
        <v>3924.7</v>
      </c>
      <c r="CD398" s="3">
        <v>3992.8</v>
      </c>
      <c r="CE398" s="3">
        <v>5028.8999999999996</v>
      </c>
      <c r="CF398" s="3">
        <v>5143</v>
      </c>
      <c r="CG398" s="3">
        <v>5569.2</v>
      </c>
      <c r="CH398" s="3">
        <v>5848.7</v>
      </c>
      <c r="CI398" s="3">
        <v>5849.9</v>
      </c>
      <c r="CJ398" s="3">
        <v>5859.5</v>
      </c>
      <c r="CK398" s="3">
        <v>7134.2</v>
      </c>
      <c r="CL398" s="3">
        <v>7408.2</v>
      </c>
      <c r="CM398" s="3">
        <v>7537.1</v>
      </c>
      <c r="CN398" s="3">
        <v>7752.8</v>
      </c>
      <c r="CO398" s="3">
        <v>9515.5</v>
      </c>
      <c r="CP398" s="3">
        <v>9923</v>
      </c>
      <c r="CQ398" s="3">
        <v>9940.6</v>
      </c>
      <c r="CR398" s="3">
        <v>10493.7</v>
      </c>
      <c r="CS398" s="3">
        <v>10611.9</v>
      </c>
      <c r="CT398" s="3">
        <v>10753.8</v>
      </c>
    </row>
    <row r="399" spans="1:98">
      <c r="A399" s="4" t="s">
        <v>495</v>
      </c>
      <c r="B399" s="5"/>
      <c r="C399" s="5"/>
      <c r="D399" s="5"/>
      <c r="E399" s="5"/>
      <c r="F399" s="5"/>
      <c r="G399" s="5"/>
      <c r="H399" s="5"/>
      <c r="I399" s="5"/>
      <c r="J399" s="5"/>
      <c r="K399" s="5"/>
      <c r="L399" s="5"/>
      <c r="M399" s="5"/>
      <c r="N399" s="5"/>
      <c r="O399" s="5"/>
      <c r="P399" s="5"/>
      <c r="Q399" s="5"/>
      <c r="R399" s="5"/>
      <c r="S399" s="5"/>
      <c r="T399" s="5"/>
      <c r="U399" s="5"/>
      <c r="V399" s="5"/>
      <c r="W399" s="5"/>
      <c r="X399" s="5">
        <v>231.4</v>
      </c>
      <c r="Y399" s="5">
        <v>234</v>
      </c>
      <c r="Z399" s="5">
        <v>234.5</v>
      </c>
      <c r="AA399" s="5">
        <v>250.9</v>
      </c>
      <c r="AB399" s="5">
        <v>254.3</v>
      </c>
      <c r="AC399" s="5">
        <v>257.39999999999998</v>
      </c>
      <c r="AD399" s="5">
        <v>260.10000000000002</v>
      </c>
      <c r="AE399" s="5">
        <v>277</v>
      </c>
      <c r="AF399" s="5">
        <v>278.5</v>
      </c>
      <c r="AG399" s="5">
        <v>283.89999999999998</v>
      </c>
      <c r="AH399" s="5">
        <v>315.8</v>
      </c>
      <c r="AI399" s="5">
        <v>332.7</v>
      </c>
      <c r="AJ399" s="5">
        <v>343.5</v>
      </c>
      <c r="AK399" s="5">
        <v>354.3</v>
      </c>
      <c r="AL399" s="5">
        <v>364.7</v>
      </c>
      <c r="AM399" s="5">
        <v>402.4</v>
      </c>
      <c r="AN399" s="5">
        <v>423.1</v>
      </c>
      <c r="AO399" s="5">
        <v>456.8</v>
      </c>
      <c r="AP399" s="5">
        <v>471.6</v>
      </c>
      <c r="AQ399" s="5">
        <v>526.5</v>
      </c>
      <c r="AR399" s="5">
        <v>537.29999999999995</v>
      </c>
      <c r="AS399" s="5">
        <v>548</v>
      </c>
      <c r="AT399" s="5">
        <v>558.9</v>
      </c>
      <c r="AU399" s="5">
        <v>640.70000000000005</v>
      </c>
      <c r="AV399" s="5">
        <v>652.5</v>
      </c>
      <c r="AW399" s="5">
        <v>660.9</v>
      </c>
      <c r="AX399" s="5">
        <v>669.5</v>
      </c>
      <c r="AY399" s="5">
        <v>671</v>
      </c>
      <c r="AZ399" s="5">
        <v>672</v>
      </c>
      <c r="BA399" s="5">
        <v>673</v>
      </c>
      <c r="BB399" s="5">
        <v>674</v>
      </c>
      <c r="BC399" s="5">
        <v>675</v>
      </c>
      <c r="BD399" s="5">
        <v>675</v>
      </c>
      <c r="BE399" s="5">
        <v>676</v>
      </c>
      <c r="BF399" s="5">
        <v>677</v>
      </c>
      <c r="BG399" s="5">
        <v>678</v>
      </c>
      <c r="BH399" s="5">
        <v>679</v>
      </c>
      <c r="BI399" s="5">
        <v>680</v>
      </c>
      <c r="BJ399" s="5">
        <v>681</v>
      </c>
      <c r="BK399" s="5">
        <v>682</v>
      </c>
      <c r="BL399" s="5">
        <v>685</v>
      </c>
      <c r="BM399" s="5">
        <v>683</v>
      </c>
      <c r="BN399" s="5">
        <v>686</v>
      </c>
      <c r="BO399" s="5">
        <v>684</v>
      </c>
      <c r="BP399" s="5">
        <v>685</v>
      </c>
      <c r="BQ399" s="5">
        <v>687</v>
      </c>
      <c r="BR399" s="5">
        <v>688</v>
      </c>
      <c r="BS399" s="5">
        <v>689</v>
      </c>
      <c r="BT399" s="5">
        <v>690</v>
      </c>
      <c r="BU399" s="5">
        <v>691</v>
      </c>
      <c r="BV399" s="5">
        <v>695</v>
      </c>
      <c r="BW399" s="5">
        <v>692</v>
      </c>
      <c r="BX399" s="5">
        <v>696</v>
      </c>
      <c r="BY399" s="5">
        <v>693</v>
      </c>
      <c r="BZ399" s="5">
        <v>694</v>
      </c>
      <c r="CA399" s="5">
        <v>697</v>
      </c>
      <c r="CB399" s="5">
        <v>698</v>
      </c>
      <c r="CC399" s="5">
        <v>699</v>
      </c>
      <c r="CD399" s="5">
        <v>700</v>
      </c>
      <c r="CE399" s="5">
        <v>701</v>
      </c>
      <c r="CF399" s="5">
        <v>702</v>
      </c>
      <c r="CG399" s="5">
        <v>703</v>
      </c>
      <c r="CH399" s="5">
        <v>704</v>
      </c>
      <c r="CI399" s="5">
        <v>704</v>
      </c>
      <c r="CJ399" s="5">
        <v>704</v>
      </c>
      <c r="CK399" s="5">
        <v>705</v>
      </c>
      <c r="CL399" s="5">
        <v>706</v>
      </c>
      <c r="CM399" s="5">
        <v>707</v>
      </c>
      <c r="CN399" s="5">
        <v>708</v>
      </c>
      <c r="CO399" s="5">
        <v>709</v>
      </c>
      <c r="CP399" s="5">
        <v>710</v>
      </c>
      <c r="CQ399" s="5">
        <v>711</v>
      </c>
      <c r="CR399" s="5">
        <v>712</v>
      </c>
      <c r="CS399" s="5">
        <v>712</v>
      </c>
      <c r="CT399" s="5">
        <v>712</v>
      </c>
    </row>
    <row r="400" spans="1:98">
      <c r="A400" s="2" t="s">
        <v>496</v>
      </c>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c r="AV400" s="3"/>
      <c r="AW400" s="3"/>
      <c r="AX400" s="3"/>
      <c r="AY400" s="3"/>
      <c r="AZ400" s="3"/>
      <c r="BA400" s="3"/>
      <c r="BB400" s="3"/>
      <c r="BC400" s="3"/>
      <c r="BD400" s="3"/>
      <c r="BE400" s="3"/>
      <c r="BF400" s="3"/>
      <c r="BG400" s="3"/>
      <c r="BH400" s="3"/>
      <c r="BI400" s="3"/>
      <c r="BJ400" s="3"/>
      <c r="BK400" s="3"/>
      <c r="BL400" s="3"/>
      <c r="BM400" s="3"/>
      <c r="BN400" s="3">
        <v>1000</v>
      </c>
      <c r="BO400" s="3"/>
      <c r="BP400" s="3"/>
      <c r="BQ400" s="3">
        <v>1246</v>
      </c>
      <c r="BR400" s="3">
        <v>1299</v>
      </c>
      <c r="BS400" s="3">
        <v>1320</v>
      </c>
      <c r="BT400" s="3">
        <v>1352</v>
      </c>
      <c r="BU400" s="3">
        <v>1702.2</v>
      </c>
      <c r="BV400" s="3">
        <v>2038.8</v>
      </c>
      <c r="BW400" s="3">
        <v>1853.6</v>
      </c>
      <c r="BX400" s="3">
        <v>2134.8000000000002</v>
      </c>
      <c r="BY400" s="3">
        <v>1856.3</v>
      </c>
      <c r="BZ400" s="3">
        <v>1863.1</v>
      </c>
      <c r="CA400" s="3">
        <v>2837.1</v>
      </c>
      <c r="CB400" s="3">
        <v>2927.2</v>
      </c>
      <c r="CC400" s="3">
        <v>2928.9</v>
      </c>
      <c r="CD400" s="3">
        <v>2933.2</v>
      </c>
      <c r="CE400" s="3">
        <v>3687</v>
      </c>
      <c r="CF400" s="3">
        <v>3739.8</v>
      </c>
      <c r="CG400" s="3">
        <v>4232.6000000000004</v>
      </c>
      <c r="CH400" s="3">
        <v>4355.8</v>
      </c>
      <c r="CI400" s="3">
        <v>4355.8</v>
      </c>
      <c r="CJ400" s="3">
        <v>4355.8</v>
      </c>
      <c r="CK400" s="3">
        <v>5401.2</v>
      </c>
      <c r="CL400" s="3">
        <v>5558</v>
      </c>
      <c r="CM400" s="3">
        <v>5671.3</v>
      </c>
      <c r="CN400" s="3">
        <v>5797.6</v>
      </c>
      <c r="CO400" s="3">
        <v>7304.9</v>
      </c>
      <c r="CP400" s="3">
        <v>7554.2</v>
      </c>
      <c r="CQ400" s="3">
        <v>7577.4</v>
      </c>
      <c r="CR400" s="3">
        <v>7890.5</v>
      </c>
      <c r="CS400" s="3">
        <v>7954.3</v>
      </c>
      <c r="CT400" s="3">
        <v>8035.4</v>
      </c>
    </row>
    <row r="401" spans="1:98">
      <c r="A401" s="4" t="s">
        <v>497</v>
      </c>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v>1000</v>
      </c>
      <c r="BO401" s="5"/>
      <c r="BP401" s="5"/>
      <c r="BQ401" s="5">
        <v>1239</v>
      </c>
      <c r="BR401" s="5">
        <v>1339</v>
      </c>
      <c r="BS401" s="5">
        <v>1395</v>
      </c>
      <c r="BT401" s="5">
        <v>1467</v>
      </c>
      <c r="BU401" s="5">
        <v>1896.8</v>
      </c>
      <c r="BV401" s="5">
        <v>2237.1999999999998</v>
      </c>
      <c r="BW401" s="5">
        <v>2058.1999999999998</v>
      </c>
      <c r="BX401" s="5">
        <v>2345.6999999999998</v>
      </c>
      <c r="BY401" s="5">
        <v>2071.4</v>
      </c>
      <c r="BZ401" s="5">
        <v>2134.5</v>
      </c>
      <c r="CA401" s="5">
        <v>3030.4</v>
      </c>
      <c r="CB401" s="5">
        <v>3201.8</v>
      </c>
      <c r="CC401" s="5">
        <v>3211.3</v>
      </c>
      <c r="CD401" s="5">
        <v>3230</v>
      </c>
      <c r="CE401" s="5">
        <v>4134.3999999999996</v>
      </c>
      <c r="CF401" s="5">
        <v>4208.7</v>
      </c>
      <c r="CG401" s="5">
        <v>4541.3999999999996</v>
      </c>
      <c r="CH401" s="5">
        <v>4796.6000000000004</v>
      </c>
      <c r="CI401" s="5">
        <v>4796.6000000000004</v>
      </c>
      <c r="CJ401" s="5">
        <v>4819.2</v>
      </c>
      <c r="CK401" s="5">
        <v>5831.2</v>
      </c>
      <c r="CL401" s="5">
        <v>6014.3</v>
      </c>
      <c r="CM401" s="5">
        <v>6183</v>
      </c>
      <c r="CN401" s="5">
        <v>6313.1</v>
      </c>
      <c r="CO401" s="5">
        <v>7878.7</v>
      </c>
      <c r="CP401" s="5">
        <v>8087.1</v>
      </c>
      <c r="CQ401" s="5">
        <v>8106</v>
      </c>
      <c r="CR401" s="5">
        <v>8371.2000000000007</v>
      </c>
      <c r="CS401" s="5">
        <v>8440.6</v>
      </c>
      <c r="CT401" s="5">
        <v>8522.7000000000007</v>
      </c>
    </row>
    <row r="402" spans="1:98">
      <c r="A402" s="2" t="s">
        <v>498</v>
      </c>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v>1000</v>
      </c>
      <c r="BO402" s="3"/>
      <c r="BP402" s="3"/>
      <c r="BQ402" s="3">
        <v>1237</v>
      </c>
      <c r="BR402" s="3">
        <v>1292</v>
      </c>
      <c r="BS402" s="3">
        <v>1320</v>
      </c>
      <c r="BT402" s="3">
        <v>1354</v>
      </c>
      <c r="BU402" s="3">
        <v>1693.9</v>
      </c>
      <c r="BV402" s="3">
        <v>2070.3000000000002</v>
      </c>
      <c r="BW402" s="3">
        <v>1855</v>
      </c>
      <c r="BX402" s="3">
        <v>2167.8000000000002</v>
      </c>
      <c r="BY402" s="3">
        <v>1865.8</v>
      </c>
      <c r="BZ402" s="3">
        <v>1888.8</v>
      </c>
      <c r="CA402" s="3">
        <v>2872.7</v>
      </c>
      <c r="CB402" s="3">
        <v>2978.2</v>
      </c>
      <c r="CC402" s="3">
        <v>2985.1</v>
      </c>
      <c r="CD402" s="3">
        <v>3000.2</v>
      </c>
      <c r="CE402" s="3">
        <v>3768.3</v>
      </c>
      <c r="CF402" s="3">
        <v>3825.3</v>
      </c>
      <c r="CG402" s="3">
        <v>4200.3</v>
      </c>
      <c r="CH402" s="3">
        <v>4371.3</v>
      </c>
      <c r="CI402" s="3">
        <v>4392.3</v>
      </c>
      <c r="CJ402" s="3">
        <v>4410.3</v>
      </c>
      <c r="CK402" s="3">
        <v>5442.3</v>
      </c>
      <c r="CL402" s="3">
        <v>5618.7</v>
      </c>
      <c r="CM402" s="3">
        <v>5486.4</v>
      </c>
      <c r="CN402" s="3">
        <v>5764.3</v>
      </c>
      <c r="CO402" s="3">
        <v>7193.8</v>
      </c>
      <c r="CP402" s="3">
        <v>7470.5</v>
      </c>
      <c r="CQ402" s="3">
        <v>7487.8</v>
      </c>
      <c r="CR402" s="3">
        <v>7839.4</v>
      </c>
      <c r="CS402" s="3">
        <v>7908.6</v>
      </c>
      <c r="CT402" s="3">
        <v>7989.3</v>
      </c>
    </row>
    <row r="403" spans="1:98">
      <c r="A403" s="4" t="s">
        <v>499</v>
      </c>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v>1000</v>
      </c>
      <c r="BO403" s="5"/>
      <c r="BP403" s="5"/>
      <c r="BQ403" s="5">
        <v>1221</v>
      </c>
      <c r="BR403" s="5">
        <v>1270</v>
      </c>
      <c r="BS403" s="5">
        <v>1281</v>
      </c>
      <c r="BT403" s="5">
        <v>1301</v>
      </c>
      <c r="BU403" s="5">
        <v>1572.9</v>
      </c>
      <c r="BV403" s="5">
        <v>1860.4</v>
      </c>
      <c r="BW403" s="5">
        <v>1691.3</v>
      </c>
      <c r="BX403" s="5">
        <v>1951.5</v>
      </c>
      <c r="BY403" s="5">
        <v>1691.3</v>
      </c>
      <c r="BZ403" s="5">
        <v>1691.3</v>
      </c>
      <c r="CA403" s="5">
        <v>2556.4</v>
      </c>
      <c r="CB403" s="5">
        <v>2672.1</v>
      </c>
      <c r="CC403" s="5">
        <v>2671.6</v>
      </c>
      <c r="CD403" s="5">
        <v>2671.6</v>
      </c>
      <c r="CE403" s="5">
        <v>3574.6</v>
      </c>
      <c r="CF403" s="5">
        <v>3641.4</v>
      </c>
      <c r="CG403" s="5">
        <v>3734.9</v>
      </c>
      <c r="CH403" s="5">
        <v>3865.8</v>
      </c>
      <c r="CI403" s="5">
        <v>3865.8</v>
      </c>
      <c r="CJ403" s="5">
        <v>3865.8</v>
      </c>
      <c r="CK403" s="5">
        <v>4805.2</v>
      </c>
      <c r="CL403" s="5">
        <v>4963.7</v>
      </c>
      <c r="CM403" s="5">
        <v>5122.2</v>
      </c>
      <c r="CN403" s="5">
        <v>5253.6</v>
      </c>
      <c r="CO403" s="5">
        <v>6567</v>
      </c>
      <c r="CP403" s="5">
        <v>6829.7</v>
      </c>
      <c r="CQ403" s="5">
        <v>6829.7</v>
      </c>
      <c r="CR403" s="5">
        <v>7055.6</v>
      </c>
      <c r="CS403" s="5">
        <v>7113.4</v>
      </c>
      <c r="CT403" s="5">
        <v>7160.7</v>
      </c>
    </row>
    <row r="404" spans="1:98">
      <c r="A404" s="2" t="s">
        <v>500</v>
      </c>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c r="AR404" s="3"/>
      <c r="AS404" s="3"/>
      <c r="AT404" s="3"/>
      <c r="AU404" s="3"/>
      <c r="AV404" s="3"/>
      <c r="AW404" s="3"/>
      <c r="AX404" s="3"/>
      <c r="AY404" s="3"/>
      <c r="AZ404" s="3"/>
      <c r="BA404" s="3"/>
      <c r="BB404" s="3"/>
      <c r="BC404" s="3"/>
      <c r="BD404" s="3"/>
      <c r="BE404" s="3"/>
      <c r="BF404" s="3"/>
      <c r="BG404" s="3"/>
      <c r="BH404" s="3"/>
      <c r="BI404" s="3"/>
      <c r="BJ404" s="3"/>
      <c r="BK404" s="3"/>
      <c r="BL404" s="3"/>
      <c r="BM404" s="3"/>
      <c r="BN404" s="3"/>
      <c r="BO404" s="3"/>
      <c r="BP404" s="3"/>
      <c r="BQ404" s="3"/>
      <c r="BR404" s="3"/>
      <c r="BS404" s="3"/>
      <c r="BT404" s="3"/>
      <c r="BU404" s="3"/>
      <c r="BV404" s="3"/>
      <c r="BW404" s="3"/>
      <c r="BX404" s="3">
        <v>2200</v>
      </c>
      <c r="BY404" s="3"/>
      <c r="BZ404" s="3"/>
      <c r="CA404" s="3">
        <v>2868.8</v>
      </c>
      <c r="CB404" s="3">
        <v>3064.6</v>
      </c>
      <c r="CC404" s="3">
        <v>3077.8</v>
      </c>
      <c r="CD404" s="3">
        <v>3141.6</v>
      </c>
      <c r="CE404" s="3">
        <v>3923.9</v>
      </c>
      <c r="CF404" s="3">
        <v>4021.2</v>
      </c>
      <c r="CG404" s="3">
        <v>4376.2</v>
      </c>
      <c r="CH404" s="3">
        <v>4599.3</v>
      </c>
      <c r="CI404" s="3">
        <v>4599.3</v>
      </c>
      <c r="CJ404" s="3">
        <v>4605.6000000000004</v>
      </c>
      <c r="CK404" s="3">
        <v>5572.8</v>
      </c>
      <c r="CL404" s="3">
        <v>5798.4</v>
      </c>
      <c r="CM404" s="3">
        <v>5885.9</v>
      </c>
      <c r="CN404" s="3">
        <v>6051.7</v>
      </c>
      <c r="CO404" s="3">
        <v>7389.2</v>
      </c>
      <c r="CP404" s="3">
        <v>7722</v>
      </c>
      <c r="CQ404" s="3">
        <v>7831</v>
      </c>
      <c r="CR404" s="3">
        <v>8030.7</v>
      </c>
      <c r="CS404" s="3">
        <v>8085.1</v>
      </c>
      <c r="CT404" s="3">
        <v>8139.6</v>
      </c>
    </row>
    <row r="405" spans="1:98">
      <c r="A405" s="4" t="s">
        <v>501</v>
      </c>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c r="BP405" s="5"/>
      <c r="BQ405" s="5"/>
      <c r="BR405" s="5"/>
      <c r="BS405" s="5"/>
      <c r="BT405" s="5"/>
      <c r="BU405" s="5"/>
      <c r="BV405" s="5"/>
      <c r="BW405" s="5"/>
      <c r="BX405" s="5"/>
      <c r="BY405" s="5"/>
      <c r="BZ405" s="5"/>
      <c r="CA405" s="5"/>
      <c r="CB405" s="5"/>
      <c r="CC405" s="5"/>
      <c r="CD405" s="5">
        <v>3000</v>
      </c>
      <c r="CE405" s="5">
        <v>3360</v>
      </c>
      <c r="CF405" s="5">
        <v>3180</v>
      </c>
      <c r="CG405" s="5">
        <v>3315</v>
      </c>
      <c r="CH405" s="5">
        <v>3798</v>
      </c>
      <c r="CI405" s="5">
        <v>4263</v>
      </c>
      <c r="CJ405" s="5">
        <v>4773</v>
      </c>
      <c r="CK405" s="5">
        <v>4820.7</v>
      </c>
      <c r="CL405" s="5">
        <v>4620.3</v>
      </c>
      <c r="CM405" s="5">
        <v>4648.8999999999996</v>
      </c>
      <c r="CN405" s="5">
        <v>4911.3999999999996</v>
      </c>
      <c r="CO405" s="5">
        <v>5378</v>
      </c>
      <c r="CP405" s="5">
        <v>5515.5</v>
      </c>
      <c r="CQ405" s="5">
        <v>5933</v>
      </c>
      <c r="CR405" s="5">
        <v>6291.5</v>
      </c>
      <c r="CS405" s="5">
        <v>6443.8</v>
      </c>
      <c r="CT405" s="5">
        <v>6625.5</v>
      </c>
    </row>
    <row r="406" spans="1:98">
      <c r="A406" s="2" t="s">
        <v>502</v>
      </c>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v>1000</v>
      </c>
      <c r="BO406" s="3"/>
      <c r="BP406" s="3"/>
      <c r="BQ406" s="3">
        <v>1147</v>
      </c>
      <c r="BR406" s="3">
        <v>1219</v>
      </c>
      <c r="BS406" s="3">
        <v>1323</v>
      </c>
      <c r="BT406" s="3">
        <v>1386</v>
      </c>
      <c r="BU406" s="3">
        <v>1617.5</v>
      </c>
      <c r="BV406" s="3">
        <v>2321.6</v>
      </c>
      <c r="BW406" s="3">
        <v>1810.1</v>
      </c>
      <c r="BX406" s="3">
        <v>2565.5</v>
      </c>
      <c r="BY406" s="3">
        <v>1833.7</v>
      </c>
      <c r="BZ406" s="3">
        <v>1925.2</v>
      </c>
      <c r="CA406" s="3">
        <v>3220.1</v>
      </c>
      <c r="CB406" s="3">
        <v>3878.9</v>
      </c>
      <c r="CC406" s="3">
        <v>3889.3</v>
      </c>
      <c r="CD406" s="3">
        <v>3912.4</v>
      </c>
      <c r="CE406" s="3">
        <v>4691</v>
      </c>
      <c r="CF406" s="3">
        <v>4737.8999999999996</v>
      </c>
      <c r="CG406" s="3">
        <v>4847.5</v>
      </c>
      <c r="CH406" s="3">
        <v>5187.8</v>
      </c>
      <c r="CI406" s="3">
        <v>5187.8</v>
      </c>
      <c r="CJ406" s="3">
        <v>5430.4</v>
      </c>
      <c r="CK406" s="3">
        <v>5799.7</v>
      </c>
      <c r="CL406" s="3">
        <v>5978.9</v>
      </c>
      <c r="CM406" s="3">
        <v>5456.2</v>
      </c>
      <c r="CN406" s="3">
        <v>5772.5</v>
      </c>
      <c r="CO406" s="3">
        <v>6369</v>
      </c>
      <c r="CP406" s="3">
        <v>7042.5</v>
      </c>
      <c r="CQ406" s="3">
        <v>7198.3</v>
      </c>
      <c r="CR406" s="3">
        <v>7792.9</v>
      </c>
      <c r="CS406" s="3">
        <v>7960.3</v>
      </c>
      <c r="CT406" s="3">
        <v>8121.9</v>
      </c>
    </row>
    <row r="407" spans="1:98">
      <c r="A407" s="4" t="s">
        <v>503</v>
      </c>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v>1000</v>
      </c>
      <c r="BO407" s="5"/>
      <c r="BP407" s="5"/>
      <c r="BQ407" s="5">
        <v>1237</v>
      </c>
      <c r="BR407" s="5">
        <v>1294</v>
      </c>
      <c r="BS407" s="5">
        <v>1319</v>
      </c>
      <c r="BT407" s="5">
        <v>1353</v>
      </c>
      <c r="BU407" s="5">
        <v>1691.3</v>
      </c>
      <c r="BV407" s="5">
        <v>2039</v>
      </c>
      <c r="BW407" s="5">
        <v>1852.3</v>
      </c>
      <c r="BX407" s="5">
        <v>2135</v>
      </c>
      <c r="BY407" s="5">
        <v>1864.4</v>
      </c>
      <c r="BZ407" s="5">
        <v>1883.4</v>
      </c>
      <c r="CA407" s="5">
        <v>2835</v>
      </c>
      <c r="CB407" s="5">
        <v>2927</v>
      </c>
      <c r="CC407" s="5">
        <v>2931.4</v>
      </c>
      <c r="CD407" s="5">
        <v>2933.5</v>
      </c>
      <c r="CE407" s="5">
        <v>3690.3</v>
      </c>
      <c r="CF407" s="5">
        <v>3740.2</v>
      </c>
      <c r="CG407" s="5">
        <v>4236</v>
      </c>
      <c r="CH407" s="5">
        <v>4359.2</v>
      </c>
      <c r="CI407" s="5">
        <v>4359.2</v>
      </c>
      <c r="CJ407" s="5">
        <v>4359.2</v>
      </c>
      <c r="CK407" s="5">
        <v>5405.4</v>
      </c>
      <c r="CL407" s="5">
        <v>5562.3</v>
      </c>
      <c r="CM407" s="5">
        <v>5645.1</v>
      </c>
      <c r="CN407" s="5">
        <v>5789</v>
      </c>
      <c r="CO407" s="5">
        <v>7288.3</v>
      </c>
      <c r="CP407" s="5">
        <v>7537.3</v>
      </c>
      <c r="CQ407" s="5">
        <v>7560.4</v>
      </c>
      <c r="CR407" s="5">
        <v>7878.8</v>
      </c>
      <c r="CS407" s="5">
        <v>7948.3</v>
      </c>
      <c r="CT407" s="5">
        <v>8023.5</v>
      </c>
    </row>
    <row r="408" spans="1:98">
      <c r="A408" s="2" t="s">
        <v>504</v>
      </c>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3"/>
      <c r="AT408" s="3"/>
      <c r="AU408" s="3"/>
      <c r="AV408" s="3"/>
      <c r="AW408" s="3"/>
      <c r="AX408" s="3"/>
      <c r="AY408" s="3"/>
      <c r="AZ408" s="3"/>
      <c r="BA408" s="3"/>
      <c r="BB408" s="3"/>
      <c r="BC408" s="3"/>
      <c r="BD408" s="3"/>
      <c r="BE408" s="3"/>
      <c r="BF408" s="3"/>
      <c r="BG408" s="3"/>
      <c r="BH408" s="3"/>
      <c r="BI408" s="3"/>
      <c r="BJ408" s="3"/>
      <c r="BK408" s="3"/>
      <c r="BL408" s="3"/>
      <c r="BM408" s="3"/>
      <c r="BN408" s="3">
        <v>1000</v>
      </c>
      <c r="BO408" s="3"/>
      <c r="BP408" s="3"/>
      <c r="BQ408" s="3">
        <v>1207</v>
      </c>
      <c r="BR408" s="3">
        <v>1286</v>
      </c>
      <c r="BS408" s="3">
        <v>1382</v>
      </c>
      <c r="BT408" s="3">
        <v>1475</v>
      </c>
      <c r="BU408" s="3">
        <v>1904.2</v>
      </c>
      <c r="BV408" s="3">
        <v>2451.5</v>
      </c>
      <c r="BW408" s="3">
        <v>2237.6</v>
      </c>
      <c r="BX408" s="3">
        <v>2537</v>
      </c>
      <c r="BY408" s="3">
        <v>2240.5</v>
      </c>
      <c r="BZ408" s="3">
        <v>2404.3000000000002</v>
      </c>
      <c r="CA408" s="3">
        <v>3213</v>
      </c>
      <c r="CB408" s="3">
        <v>3459.9</v>
      </c>
      <c r="CC408" s="3">
        <v>3607.6</v>
      </c>
      <c r="CD408" s="3">
        <v>3711.6</v>
      </c>
      <c r="CE408" s="3">
        <v>4327.7</v>
      </c>
      <c r="CF408" s="3">
        <v>4465.1000000000004</v>
      </c>
      <c r="CG408" s="3">
        <v>4999.5</v>
      </c>
      <c r="CH408" s="3">
        <v>5170.3</v>
      </c>
      <c r="CI408" s="3">
        <v>5170.3</v>
      </c>
      <c r="CJ408" s="3">
        <v>5292.7</v>
      </c>
      <c r="CK408" s="3">
        <v>5853.8</v>
      </c>
      <c r="CL408" s="3">
        <v>6002</v>
      </c>
      <c r="CM408" s="3">
        <v>6356.6</v>
      </c>
      <c r="CN408" s="3">
        <v>6589.5</v>
      </c>
      <c r="CO408" s="3">
        <v>7432.9</v>
      </c>
      <c r="CP408" s="3">
        <v>7808.5</v>
      </c>
      <c r="CQ408" s="3">
        <v>8217.1</v>
      </c>
      <c r="CR408" s="3">
        <v>8500.4</v>
      </c>
      <c r="CS408" s="3">
        <v>8803.5</v>
      </c>
      <c r="CT408" s="3">
        <v>8843.1</v>
      </c>
    </row>
    <row r="409" spans="1:98">
      <c r="A409" s="4" t="s">
        <v>505</v>
      </c>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v>1000</v>
      </c>
      <c r="BO409" s="5"/>
      <c r="BP409" s="5"/>
      <c r="BQ409" s="5">
        <v>1205</v>
      </c>
      <c r="BR409" s="5">
        <v>1278</v>
      </c>
      <c r="BS409" s="5">
        <v>1325</v>
      </c>
      <c r="BT409" s="5">
        <v>1374</v>
      </c>
      <c r="BU409" s="5">
        <v>1739.5</v>
      </c>
      <c r="BV409" s="5">
        <v>2136.6</v>
      </c>
      <c r="BW409" s="5">
        <v>1941.5</v>
      </c>
      <c r="BX409" s="5">
        <v>2252</v>
      </c>
      <c r="BY409" s="5">
        <v>1955.2</v>
      </c>
      <c r="BZ409" s="5">
        <v>2063.6999999999998</v>
      </c>
      <c r="CA409" s="5">
        <v>2912.2</v>
      </c>
      <c r="CB409" s="5">
        <v>3056.9</v>
      </c>
      <c r="CC409" s="5">
        <v>3134.8</v>
      </c>
      <c r="CD409" s="5">
        <v>3184.3</v>
      </c>
      <c r="CE409" s="5">
        <v>4050.4</v>
      </c>
      <c r="CF409" s="5">
        <v>4114.1000000000004</v>
      </c>
      <c r="CG409" s="5">
        <v>4394.3</v>
      </c>
      <c r="CH409" s="5">
        <v>4645.8999999999996</v>
      </c>
      <c r="CI409" s="5">
        <v>4645.8999999999996</v>
      </c>
      <c r="CJ409" s="5">
        <v>4779.6000000000004</v>
      </c>
      <c r="CK409" s="5">
        <v>5649.5</v>
      </c>
      <c r="CL409" s="5">
        <v>5831.2</v>
      </c>
      <c r="CM409" s="5">
        <v>6012.8</v>
      </c>
      <c r="CN409" s="5">
        <v>6199.2</v>
      </c>
      <c r="CO409" s="5">
        <v>7532</v>
      </c>
      <c r="CP409" s="5">
        <v>7786.2</v>
      </c>
      <c r="CQ409" s="5">
        <v>7922.6</v>
      </c>
      <c r="CR409" s="5">
        <v>8257.2999999999993</v>
      </c>
      <c r="CS409" s="5">
        <v>8418.5</v>
      </c>
      <c r="CT409" s="5">
        <v>8492.9</v>
      </c>
    </row>
    <row r="410" spans="1:98">
      <c r="A410" s="2" t="s">
        <v>506</v>
      </c>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3"/>
      <c r="AT410" s="3"/>
      <c r="AU410" s="3"/>
      <c r="AV410" s="3"/>
      <c r="AW410" s="3"/>
      <c r="AX410" s="3"/>
      <c r="AY410" s="3"/>
      <c r="AZ410" s="3"/>
      <c r="BA410" s="3"/>
      <c r="BB410" s="3"/>
      <c r="BC410" s="3"/>
      <c r="BD410" s="3"/>
      <c r="BE410" s="3"/>
      <c r="BF410" s="3"/>
      <c r="BG410" s="3"/>
      <c r="BH410" s="3"/>
      <c r="BI410" s="3"/>
      <c r="BJ410" s="3"/>
      <c r="BK410" s="3"/>
      <c r="BL410" s="3"/>
      <c r="BM410" s="3"/>
      <c r="BN410" s="3">
        <v>1000</v>
      </c>
      <c r="BO410" s="3"/>
      <c r="BP410" s="3"/>
      <c r="BQ410" s="3">
        <v>1182</v>
      </c>
      <c r="BR410" s="3">
        <v>1267</v>
      </c>
      <c r="BS410" s="3">
        <v>1325</v>
      </c>
      <c r="BT410" s="3">
        <v>1356</v>
      </c>
      <c r="BU410" s="3">
        <v>1648.9</v>
      </c>
      <c r="BV410" s="3">
        <v>2204.9</v>
      </c>
      <c r="BW410" s="3">
        <v>1834.7</v>
      </c>
      <c r="BX410" s="3">
        <v>2298.4</v>
      </c>
      <c r="BY410" s="3">
        <v>1869.9</v>
      </c>
      <c r="BZ410" s="3">
        <v>1966.2</v>
      </c>
      <c r="CA410" s="3">
        <v>2970</v>
      </c>
      <c r="CB410" s="3">
        <v>3194.8</v>
      </c>
      <c r="CC410" s="3">
        <v>3344.2</v>
      </c>
      <c r="CD410" s="3">
        <v>3433.8</v>
      </c>
      <c r="CE410" s="3">
        <v>4185.8</v>
      </c>
      <c r="CF410" s="3">
        <v>4340.3</v>
      </c>
      <c r="CG410" s="3">
        <v>4711.2</v>
      </c>
      <c r="CH410" s="3">
        <v>4975.6000000000004</v>
      </c>
      <c r="CI410" s="3">
        <v>4979</v>
      </c>
      <c r="CJ410" s="3">
        <v>5095.8</v>
      </c>
      <c r="CK410" s="3">
        <v>6074.1</v>
      </c>
      <c r="CL410" s="3">
        <v>6288.2</v>
      </c>
      <c r="CM410" s="3">
        <v>6578.6</v>
      </c>
      <c r="CN410" s="3">
        <v>6665.3</v>
      </c>
      <c r="CO410" s="3">
        <v>8124.9</v>
      </c>
      <c r="CP410" s="3">
        <v>8558.2000000000007</v>
      </c>
      <c r="CQ410" s="3">
        <v>8684.7999999999993</v>
      </c>
      <c r="CR410" s="3">
        <v>8991.4</v>
      </c>
      <c r="CS410" s="3">
        <v>9184.7000000000007</v>
      </c>
      <c r="CT410" s="3">
        <v>9284.7000000000007</v>
      </c>
    </row>
    <row r="411" spans="1:98">
      <c r="A411" s="4" t="s">
        <v>507</v>
      </c>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v>1000</v>
      </c>
      <c r="BO411" s="5"/>
      <c r="BP411" s="5"/>
      <c r="BQ411" s="5">
        <v>1197</v>
      </c>
      <c r="BR411" s="5">
        <v>1258</v>
      </c>
      <c r="BS411" s="5">
        <v>1321</v>
      </c>
      <c r="BT411" s="5">
        <v>1427</v>
      </c>
      <c r="BU411" s="5">
        <v>1833.7</v>
      </c>
      <c r="BV411" s="5">
        <v>2465.9</v>
      </c>
      <c r="BW411" s="5">
        <v>2149.1</v>
      </c>
      <c r="BX411" s="5">
        <v>2652.8</v>
      </c>
      <c r="BY411" s="5">
        <v>2151.9</v>
      </c>
      <c r="BZ411" s="5">
        <v>2281.8000000000002</v>
      </c>
      <c r="CA411" s="5">
        <v>3386.8</v>
      </c>
      <c r="CB411" s="5">
        <v>3673</v>
      </c>
      <c r="CC411" s="5">
        <v>3788.2</v>
      </c>
      <c r="CD411" s="5">
        <v>3814.7</v>
      </c>
      <c r="CE411" s="5">
        <v>4722.6000000000004</v>
      </c>
      <c r="CF411" s="5">
        <v>4947.7</v>
      </c>
      <c r="CG411" s="5">
        <v>5443.6</v>
      </c>
      <c r="CH411" s="5">
        <v>6069.2</v>
      </c>
      <c r="CI411" s="5">
        <v>6069.2</v>
      </c>
      <c r="CJ411" s="5">
        <v>6321</v>
      </c>
      <c r="CK411" s="5">
        <v>7863.3</v>
      </c>
      <c r="CL411" s="5">
        <v>7932.8</v>
      </c>
      <c r="CM411" s="5">
        <v>7269.1</v>
      </c>
      <c r="CN411" s="5">
        <v>7269.1</v>
      </c>
      <c r="CO411" s="5">
        <v>8432.2000000000007</v>
      </c>
      <c r="CP411" s="5">
        <v>8788.2999999999993</v>
      </c>
      <c r="CQ411" s="5">
        <v>9144.5</v>
      </c>
      <c r="CR411" s="5">
        <v>9486.2000000000007</v>
      </c>
      <c r="CS411" s="5">
        <v>9886</v>
      </c>
      <c r="CT411" s="5">
        <v>10154.9</v>
      </c>
    </row>
    <row r="412" spans="1:98">
      <c r="A412" s="2" t="s">
        <v>508</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v>1000</v>
      </c>
      <c r="BO412" s="3"/>
      <c r="BP412" s="3"/>
      <c r="BQ412" s="3">
        <v>1220</v>
      </c>
      <c r="BR412" s="3">
        <v>1307</v>
      </c>
      <c r="BS412" s="3">
        <v>1356</v>
      </c>
      <c r="BT412" s="3">
        <v>1425</v>
      </c>
      <c r="BU412" s="3">
        <v>1828.3</v>
      </c>
      <c r="BV412" s="3">
        <v>2178.8000000000002</v>
      </c>
      <c r="BW412" s="3">
        <v>2027.8</v>
      </c>
      <c r="BX412" s="3">
        <v>2327</v>
      </c>
      <c r="BY412" s="3">
        <v>2034.9</v>
      </c>
      <c r="BZ412" s="3">
        <v>2168.9</v>
      </c>
      <c r="CA412" s="3">
        <v>2996</v>
      </c>
      <c r="CB412" s="3">
        <v>3153.5</v>
      </c>
      <c r="CC412" s="3">
        <v>3246.2</v>
      </c>
      <c r="CD412" s="3">
        <v>3297.4</v>
      </c>
      <c r="CE412" s="3">
        <v>4177.8</v>
      </c>
      <c r="CF412" s="3">
        <v>4243.8</v>
      </c>
      <c r="CG412" s="3">
        <v>4517.3999999999996</v>
      </c>
      <c r="CH412" s="3">
        <v>4810.8999999999996</v>
      </c>
      <c r="CI412" s="3">
        <v>4810.8999999999996</v>
      </c>
      <c r="CJ412" s="3">
        <v>5028.5</v>
      </c>
      <c r="CK412" s="3">
        <v>5838.1</v>
      </c>
      <c r="CL412" s="3">
        <v>5999</v>
      </c>
      <c r="CM412" s="3">
        <v>6220.3</v>
      </c>
      <c r="CN412" s="3">
        <v>6426.5</v>
      </c>
      <c r="CO412" s="3">
        <v>7750.2</v>
      </c>
      <c r="CP412" s="3">
        <v>7981.7</v>
      </c>
      <c r="CQ412" s="3">
        <v>8168</v>
      </c>
      <c r="CR412" s="3">
        <v>8470.1</v>
      </c>
      <c r="CS412" s="3">
        <v>8682.2000000000007</v>
      </c>
      <c r="CT412" s="3">
        <v>8752.7999999999993</v>
      </c>
    </row>
    <row r="413" spans="1:98">
      <c r="A413" s="4" t="s">
        <v>509</v>
      </c>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v>1000</v>
      </c>
      <c r="BO413" s="5"/>
      <c r="BP413" s="5"/>
      <c r="BQ413" s="5">
        <v>1255</v>
      </c>
      <c r="BR413" s="5">
        <v>1403</v>
      </c>
      <c r="BS413" s="5">
        <v>1499</v>
      </c>
      <c r="BT413" s="5">
        <v>1619</v>
      </c>
      <c r="BU413" s="5">
        <v>2201.8000000000002</v>
      </c>
      <c r="BV413" s="5">
        <v>2600.1</v>
      </c>
      <c r="BW413" s="5">
        <v>2405.8000000000002</v>
      </c>
      <c r="BX413" s="5">
        <v>2721.5</v>
      </c>
      <c r="BY413" s="5">
        <v>2436.6</v>
      </c>
      <c r="BZ413" s="5">
        <v>2571</v>
      </c>
      <c r="CA413" s="5">
        <v>3453.4</v>
      </c>
      <c r="CB413" s="5">
        <v>3678.4</v>
      </c>
      <c r="CC413" s="5">
        <v>3712.1</v>
      </c>
      <c r="CD413" s="5">
        <v>3752.9</v>
      </c>
      <c r="CE413" s="5">
        <v>4646.1000000000004</v>
      </c>
      <c r="CF413" s="5">
        <v>4732.3999999999996</v>
      </c>
      <c r="CG413" s="5">
        <v>5242.8</v>
      </c>
      <c r="CH413" s="5">
        <v>5678.1</v>
      </c>
      <c r="CI413" s="5">
        <v>5678.1</v>
      </c>
      <c r="CJ413" s="5">
        <v>5704.4</v>
      </c>
      <c r="CK413" s="5">
        <v>6702.7</v>
      </c>
      <c r="CL413" s="5">
        <v>6890.9</v>
      </c>
      <c r="CM413" s="5">
        <v>7016.4</v>
      </c>
      <c r="CN413" s="5">
        <v>7164.7</v>
      </c>
      <c r="CO413" s="5">
        <v>9006.1</v>
      </c>
      <c r="CP413" s="5">
        <v>9063.4</v>
      </c>
      <c r="CQ413" s="5">
        <v>9063.4</v>
      </c>
      <c r="CR413" s="5">
        <v>9335.7000000000007</v>
      </c>
      <c r="CS413" s="5">
        <v>9428.7999999999993</v>
      </c>
      <c r="CT413" s="5">
        <v>9529.1</v>
      </c>
    </row>
    <row r="414" spans="1:98">
      <c r="A414" s="2" t="s">
        <v>510</v>
      </c>
      <c r="B414" s="3">
        <v>100</v>
      </c>
      <c r="C414" s="3">
        <v>103</v>
      </c>
      <c r="D414" s="3">
        <v>102.5</v>
      </c>
      <c r="E414" s="3">
        <v>102.2</v>
      </c>
      <c r="F414" s="3">
        <v>107.8</v>
      </c>
      <c r="G414" s="3">
        <v>127.6</v>
      </c>
      <c r="H414" s="3">
        <v>131.6</v>
      </c>
      <c r="I414" s="3">
        <v>139.6</v>
      </c>
      <c r="J414" s="3">
        <v>139</v>
      </c>
      <c r="K414" s="3">
        <v>142.1</v>
      </c>
      <c r="L414" s="3">
        <v>140.4</v>
      </c>
      <c r="M414" s="3">
        <v>141.9</v>
      </c>
      <c r="N414" s="3">
        <v>141.9</v>
      </c>
      <c r="O414" s="3">
        <v>151.80000000000001</v>
      </c>
      <c r="P414" s="3">
        <v>159.5</v>
      </c>
      <c r="Q414" s="3">
        <v>163</v>
      </c>
      <c r="R414" s="3">
        <v>164.7</v>
      </c>
      <c r="S414" s="3">
        <v>211.1</v>
      </c>
      <c r="T414" s="3">
        <v>214.7</v>
      </c>
      <c r="U414" s="3">
        <v>215.5</v>
      </c>
      <c r="V414" s="3">
        <v>223.5</v>
      </c>
      <c r="W414" s="3">
        <v>245.2</v>
      </c>
      <c r="X414" s="3">
        <v>248</v>
      </c>
      <c r="Y414" s="3">
        <v>229.3</v>
      </c>
      <c r="Z414" s="3">
        <v>223.4</v>
      </c>
      <c r="AA414" s="3">
        <v>217.9</v>
      </c>
      <c r="AB414" s="3">
        <v>222.2</v>
      </c>
      <c r="AC414" s="3">
        <v>230</v>
      </c>
      <c r="AD414" s="3">
        <v>230</v>
      </c>
      <c r="AE414" s="3">
        <v>237.2</v>
      </c>
      <c r="AF414" s="3">
        <v>235.9</v>
      </c>
      <c r="AG414" s="3">
        <v>249.2</v>
      </c>
      <c r="AH414" s="3">
        <v>258.3</v>
      </c>
      <c r="AI414" s="3">
        <v>269.89999999999998</v>
      </c>
      <c r="AJ414" s="3">
        <v>283.3</v>
      </c>
      <c r="AK414" s="3">
        <v>296.5</v>
      </c>
      <c r="AL414" s="3">
        <v>305.2</v>
      </c>
      <c r="AM414" s="3">
        <v>339.7</v>
      </c>
      <c r="AN414" s="3">
        <v>379.3</v>
      </c>
      <c r="AO414" s="3">
        <v>424.9</v>
      </c>
      <c r="AP414" s="3">
        <v>533.70000000000005</v>
      </c>
      <c r="AQ414" s="3">
        <v>543.29999999999995</v>
      </c>
      <c r="AR414" s="3">
        <v>532.9</v>
      </c>
      <c r="AS414" s="3">
        <v>533.4</v>
      </c>
      <c r="AT414" s="3">
        <v>537.20000000000005</v>
      </c>
      <c r="AU414" s="3">
        <v>584.29999999999995</v>
      </c>
      <c r="AV414" s="3">
        <v>588.9</v>
      </c>
      <c r="AW414" s="3">
        <v>592.20000000000005</v>
      </c>
      <c r="AX414" s="3">
        <v>594.79999999999995</v>
      </c>
      <c r="AY414" s="3">
        <v>598.4</v>
      </c>
      <c r="AZ414" s="3">
        <v>597.79999999999995</v>
      </c>
      <c r="BA414" s="3">
        <v>586.1</v>
      </c>
      <c r="BB414" s="3">
        <v>586.1</v>
      </c>
      <c r="BC414" s="3">
        <v>626.5</v>
      </c>
      <c r="BD414" s="3">
        <v>631.70000000000005</v>
      </c>
      <c r="BE414" s="3">
        <v>669.9</v>
      </c>
      <c r="BF414" s="3">
        <v>692.7</v>
      </c>
      <c r="BG414" s="3">
        <v>724.9</v>
      </c>
      <c r="BH414" s="3">
        <v>780.5</v>
      </c>
      <c r="BI414" s="3">
        <v>833.4</v>
      </c>
      <c r="BJ414" s="3">
        <v>850.3</v>
      </c>
      <c r="BK414" s="3">
        <v>973.3</v>
      </c>
      <c r="BL414" s="3">
        <v>1523.1</v>
      </c>
      <c r="BM414" s="3">
        <v>1058.4000000000001</v>
      </c>
      <c r="BN414" s="3">
        <v>1520.4</v>
      </c>
      <c r="BO414" s="3">
        <v>1208.2</v>
      </c>
      <c r="BP414" s="3">
        <v>1331.9</v>
      </c>
      <c r="BQ414" s="3">
        <v>1784.6</v>
      </c>
      <c r="BR414" s="3">
        <v>1730.5</v>
      </c>
      <c r="BS414" s="3">
        <v>1740.3</v>
      </c>
      <c r="BT414" s="3">
        <v>1982</v>
      </c>
      <c r="BU414" s="3">
        <v>2307.8000000000002</v>
      </c>
      <c r="BV414" s="3">
        <v>3582.4</v>
      </c>
      <c r="BW414" s="3">
        <v>2791.7</v>
      </c>
      <c r="BX414" s="3">
        <v>3757</v>
      </c>
      <c r="BY414" s="3">
        <v>3093.4</v>
      </c>
      <c r="BZ414" s="3">
        <v>3356.8</v>
      </c>
      <c r="CA414" s="3">
        <v>4306.3</v>
      </c>
      <c r="CB414" s="3">
        <v>4535</v>
      </c>
      <c r="CC414" s="3">
        <v>4424.1000000000004</v>
      </c>
      <c r="CD414" s="3">
        <v>4321.8999999999996</v>
      </c>
      <c r="CE414" s="3">
        <v>4896.3999999999996</v>
      </c>
      <c r="CF414" s="3">
        <v>4813.8999999999996</v>
      </c>
      <c r="CG414" s="3">
        <v>4990.6000000000004</v>
      </c>
      <c r="CH414" s="3">
        <v>5527.3</v>
      </c>
      <c r="CI414" s="3">
        <v>5727</v>
      </c>
      <c r="CJ414" s="3">
        <v>6041.1</v>
      </c>
      <c r="CK414" s="3">
        <v>6652.6</v>
      </c>
      <c r="CL414" s="3">
        <v>6598.7</v>
      </c>
      <c r="CM414" s="3">
        <v>6906.1</v>
      </c>
      <c r="CN414" s="3">
        <v>7274.2</v>
      </c>
      <c r="CO414" s="3">
        <v>7962</v>
      </c>
      <c r="CP414" s="3">
        <v>7906.2</v>
      </c>
      <c r="CQ414" s="3">
        <v>7930.2</v>
      </c>
      <c r="CR414" s="3">
        <v>8238.5</v>
      </c>
      <c r="CS414" s="3">
        <v>8621.6</v>
      </c>
      <c r="CT414" s="3">
        <v>8957.6</v>
      </c>
    </row>
    <row r="415" spans="1:98">
      <c r="A415" s="4" t="s">
        <v>511</v>
      </c>
      <c r="B415" s="5">
        <v>100</v>
      </c>
      <c r="C415" s="5">
        <v>113.2</v>
      </c>
      <c r="D415" s="5">
        <v>113.6</v>
      </c>
      <c r="E415" s="5">
        <v>113.7</v>
      </c>
      <c r="F415" s="5">
        <v>113.9</v>
      </c>
      <c r="G415" s="5">
        <v>130.80000000000001</v>
      </c>
      <c r="H415" s="5">
        <v>131.19999999999999</v>
      </c>
      <c r="I415" s="5">
        <v>131.4</v>
      </c>
      <c r="J415" s="5">
        <v>131.4</v>
      </c>
      <c r="K415" s="5">
        <v>146.9</v>
      </c>
      <c r="L415" s="5">
        <v>147.1</v>
      </c>
      <c r="M415" s="5">
        <v>151.19999999999999</v>
      </c>
      <c r="N415" s="5">
        <v>151.30000000000001</v>
      </c>
      <c r="O415" s="5">
        <v>171.1</v>
      </c>
      <c r="P415" s="5">
        <v>171.1</v>
      </c>
      <c r="Q415" s="5">
        <v>193.2</v>
      </c>
      <c r="R415" s="5">
        <v>193.2</v>
      </c>
      <c r="S415" s="5">
        <v>197.4</v>
      </c>
      <c r="T415" s="5">
        <v>197.6</v>
      </c>
      <c r="U415" s="5">
        <v>254.2</v>
      </c>
      <c r="V415" s="5">
        <v>254.7</v>
      </c>
      <c r="W415" s="5">
        <v>256.60000000000002</v>
      </c>
      <c r="X415" s="5">
        <v>257</v>
      </c>
      <c r="Y415" s="5">
        <v>256.39999999999998</v>
      </c>
      <c r="Z415" s="5">
        <v>256.2</v>
      </c>
      <c r="AA415" s="5">
        <v>257.5</v>
      </c>
      <c r="AB415" s="5">
        <v>257.7</v>
      </c>
      <c r="AC415" s="5">
        <v>258</v>
      </c>
      <c r="AD415" s="5">
        <v>258.3</v>
      </c>
      <c r="AE415" s="5">
        <v>269.8</v>
      </c>
      <c r="AF415" s="5">
        <v>269.89999999999998</v>
      </c>
      <c r="AG415" s="5">
        <v>270.89999999999998</v>
      </c>
      <c r="AH415" s="5">
        <v>272.8</v>
      </c>
      <c r="AI415" s="5">
        <v>274.10000000000002</v>
      </c>
      <c r="AJ415" s="5">
        <v>274.60000000000002</v>
      </c>
      <c r="AK415" s="5">
        <v>349.6</v>
      </c>
      <c r="AL415" s="5">
        <v>351</v>
      </c>
      <c r="AM415" s="5">
        <v>381.9</v>
      </c>
      <c r="AN415" s="5">
        <v>414.5</v>
      </c>
      <c r="AO415" s="5">
        <v>649.70000000000005</v>
      </c>
      <c r="AP415" s="5">
        <v>657.9</v>
      </c>
      <c r="AQ415" s="5">
        <v>662.7</v>
      </c>
      <c r="AR415" s="5">
        <v>663.3</v>
      </c>
      <c r="AS415" s="5">
        <v>729.5</v>
      </c>
      <c r="AT415" s="5">
        <v>730.3</v>
      </c>
      <c r="AU415" s="5">
        <v>736</v>
      </c>
      <c r="AV415" s="5">
        <v>736.8</v>
      </c>
      <c r="AW415" s="5">
        <v>738.3</v>
      </c>
      <c r="AX415" s="5">
        <v>738.8</v>
      </c>
      <c r="AY415" s="5">
        <v>836.4</v>
      </c>
      <c r="AZ415" s="5">
        <v>836.8</v>
      </c>
      <c r="BA415" s="5">
        <v>836.8</v>
      </c>
      <c r="BB415" s="5">
        <v>837.1</v>
      </c>
      <c r="BC415" s="5">
        <v>832</v>
      </c>
      <c r="BD415" s="5">
        <v>832.6</v>
      </c>
      <c r="BE415" s="5">
        <v>851.8</v>
      </c>
      <c r="BF415" s="5">
        <v>864.6</v>
      </c>
      <c r="BG415" s="5">
        <v>896</v>
      </c>
      <c r="BH415" s="5">
        <v>896.4</v>
      </c>
      <c r="BI415" s="5">
        <v>981.6</v>
      </c>
      <c r="BJ415" s="5">
        <v>982.3</v>
      </c>
      <c r="BK415" s="5">
        <v>1085.7</v>
      </c>
      <c r="BL415" s="5">
        <v>1880.9</v>
      </c>
      <c r="BM415" s="5">
        <v>1361.3</v>
      </c>
      <c r="BN415" s="5">
        <v>1884.7</v>
      </c>
      <c r="BO415" s="5">
        <v>1585.1</v>
      </c>
      <c r="BP415" s="5">
        <v>1735.1</v>
      </c>
      <c r="BQ415" s="5">
        <v>2340.3000000000002</v>
      </c>
      <c r="BR415" s="5">
        <v>2344.5</v>
      </c>
      <c r="BS415" s="5">
        <v>2436.5</v>
      </c>
      <c r="BT415" s="5">
        <v>2445.3000000000002</v>
      </c>
      <c r="BU415" s="5">
        <v>2996</v>
      </c>
      <c r="BV415" s="5">
        <v>4455.3</v>
      </c>
      <c r="BW415" s="5">
        <v>3139.1</v>
      </c>
      <c r="BX415" s="5">
        <v>4555.3</v>
      </c>
      <c r="BY415" s="5">
        <v>3655.5</v>
      </c>
      <c r="BZ415" s="5">
        <v>3679.2</v>
      </c>
      <c r="CA415" s="5">
        <v>5137.8999999999996</v>
      </c>
      <c r="CB415" s="5">
        <v>5247.5</v>
      </c>
      <c r="CC415" s="5">
        <v>5360.5</v>
      </c>
      <c r="CD415" s="5">
        <v>5955.2</v>
      </c>
      <c r="CE415" s="5">
        <v>6929.1</v>
      </c>
      <c r="CF415" s="5">
        <v>6953.5</v>
      </c>
      <c r="CG415" s="5">
        <v>7761</v>
      </c>
      <c r="CH415" s="5">
        <v>7896.9</v>
      </c>
      <c r="CI415" s="5">
        <v>7900.6</v>
      </c>
      <c r="CJ415" s="5">
        <v>7905.3</v>
      </c>
      <c r="CK415" s="5">
        <v>7993.4</v>
      </c>
      <c r="CL415" s="5">
        <v>8013.4</v>
      </c>
      <c r="CM415" s="5">
        <v>9028.4</v>
      </c>
      <c r="CN415" s="5">
        <v>9041.7000000000007</v>
      </c>
      <c r="CO415" s="5">
        <v>10218.700000000001</v>
      </c>
      <c r="CP415" s="5">
        <v>10271.9</v>
      </c>
      <c r="CQ415" s="5">
        <v>11096.4</v>
      </c>
      <c r="CR415" s="5">
        <v>11633.7</v>
      </c>
      <c r="CS415" s="5">
        <v>12366.6</v>
      </c>
      <c r="CT415" s="5">
        <v>13164.3</v>
      </c>
    </row>
    <row r="416" spans="1:98">
      <c r="A416" s="2" t="s">
        <v>512</v>
      </c>
      <c r="B416" s="3">
        <v>100</v>
      </c>
      <c r="C416" s="3">
        <v>109.2</v>
      </c>
      <c r="D416" s="3">
        <v>109.6</v>
      </c>
      <c r="E416" s="3">
        <v>111.6</v>
      </c>
      <c r="F416" s="3">
        <v>111.9</v>
      </c>
      <c r="G416" s="3">
        <v>123.9</v>
      </c>
      <c r="H416" s="3">
        <v>124.4</v>
      </c>
      <c r="I416" s="3">
        <v>128.9</v>
      </c>
      <c r="J416" s="3">
        <v>128.9</v>
      </c>
      <c r="K416" s="3">
        <v>141.1</v>
      </c>
      <c r="L416" s="3">
        <v>141.4</v>
      </c>
      <c r="M416" s="3">
        <v>144.6</v>
      </c>
      <c r="N416" s="3">
        <v>144.69999999999999</v>
      </c>
      <c r="O416" s="3">
        <v>158.5</v>
      </c>
      <c r="P416" s="3">
        <v>158.5</v>
      </c>
      <c r="Q416" s="3">
        <v>170.8</v>
      </c>
      <c r="R416" s="3">
        <v>170.8</v>
      </c>
      <c r="S416" s="3">
        <v>189.1</v>
      </c>
      <c r="T416" s="3">
        <v>189.4</v>
      </c>
      <c r="U416" s="3">
        <v>194.8</v>
      </c>
      <c r="V416" s="3">
        <v>201.1</v>
      </c>
      <c r="W416" s="3">
        <v>224.9</v>
      </c>
      <c r="X416" s="3">
        <v>225.2</v>
      </c>
      <c r="Y416" s="3">
        <v>220.2</v>
      </c>
      <c r="Z416" s="3">
        <v>220.3</v>
      </c>
      <c r="AA416" s="3">
        <v>225.9</v>
      </c>
      <c r="AB416" s="3">
        <v>226.3</v>
      </c>
      <c r="AC416" s="3">
        <v>227.9</v>
      </c>
      <c r="AD416" s="3">
        <v>231.7</v>
      </c>
      <c r="AE416" s="3">
        <v>257.2</v>
      </c>
      <c r="AF416" s="3">
        <v>257.3</v>
      </c>
      <c r="AG416" s="3">
        <v>265.89999999999998</v>
      </c>
      <c r="AH416" s="3">
        <v>273.7</v>
      </c>
      <c r="AI416" s="3">
        <v>299.89999999999998</v>
      </c>
      <c r="AJ416" s="3">
        <v>300.89999999999998</v>
      </c>
      <c r="AK416" s="3">
        <v>329.7</v>
      </c>
      <c r="AL416" s="3">
        <v>381.3</v>
      </c>
      <c r="AM416" s="3">
        <v>426.4</v>
      </c>
      <c r="AN416" s="3">
        <v>446.7</v>
      </c>
      <c r="AO416" s="3">
        <v>453.7</v>
      </c>
      <c r="AP416" s="3">
        <v>474.5</v>
      </c>
      <c r="AQ416" s="3">
        <v>548</v>
      </c>
      <c r="AR416" s="3">
        <v>571.1</v>
      </c>
      <c r="AS416" s="3">
        <v>556.6</v>
      </c>
      <c r="AT416" s="3">
        <v>557.79999999999995</v>
      </c>
      <c r="AU416" s="3">
        <v>581.6</v>
      </c>
      <c r="AV416" s="3">
        <v>601.9</v>
      </c>
      <c r="AW416" s="3">
        <v>629.29999999999995</v>
      </c>
      <c r="AX416" s="3">
        <v>638.4</v>
      </c>
      <c r="AY416" s="3">
        <v>653.9</v>
      </c>
      <c r="AZ416" s="3">
        <v>654.4</v>
      </c>
      <c r="BA416" s="3">
        <v>657.1</v>
      </c>
      <c r="BB416" s="3">
        <v>692.8</v>
      </c>
      <c r="BC416" s="3">
        <v>722.1</v>
      </c>
      <c r="BD416" s="3">
        <v>722.8</v>
      </c>
      <c r="BE416" s="3">
        <v>785.5</v>
      </c>
      <c r="BF416" s="3">
        <v>804.9</v>
      </c>
      <c r="BG416" s="3">
        <v>849.1</v>
      </c>
      <c r="BH416" s="3">
        <v>861</v>
      </c>
      <c r="BI416" s="3">
        <v>867.7</v>
      </c>
      <c r="BJ416" s="3">
        <v>878.2</v>
      </c>
      <c r="BK416" s="3">
        <v>1031.5</v>
      </c>
      <c r="BL416" s="3">
        <v>1495.6</v>
      </c>
      <c r="BM416" s="3">
        <v>1312.1</v>
      </c>
      <c r="BN416" s="3">
        <v>1574.5</v>
      </c>
      <c r="BO416" s="3">
        <v>1406.8</v>
      </c>
      <c r="BP416" s="3">
        <v>1487.5</v>
      </c>
      <c r="BQ416" s="3">
        <v>1728.6</v>
      </c>
      <c r="BR416" s="3">
        <v>1752.5</v>
      </c>
      <c r="BS416" s="3">
        <v>1851.5</v>
      </c>
      <c r="BT416" s="3">
        <v>1857.7</v>
      </c>
      <c r="BU416" s="3">
        <v>2346</v>
      </c>
      <c r="BV416" s="3">
        <v>3349.1</v>
      </c>
      <c r="BW416" s="3">
        <v>2550.6999999999998</v>
      </c>
      <c r="BX416" s="3">
        <v>3427.2</v>
      </c>
      <c r="BY416" s="3">
        <v>2746.2</v>
      </c>
      <c r="BZ416" s="3">
        <v>3034</v>
      </c>
      <c r="CA416" s="3">
        <v>4236.3</v>
      </c>
      <c r="CB416" s="3">
        <v>4287.8</v>
      </c>
      <c r="CC416" s="3">
        <v>4503.1000000000004</v>
      </c>
      <c r="CD416" s="3">
        <v>4736.8999999999996</v>
      </c>
      <c r="CE416" s="3">
        <v>5452.6</v>
      </c>
      <c r="CF416" s="3">
        <v>5526.8</v>
      </c>
      <c r="CG416" s="3">
        <v>6098.3</v>
      </c>
      <c r="CH416" s="3">
        <v>6763.7</v>
      </c>
      <c r="CI416" s="3">
        <v>6965.2</v>
      </c>
      <c r="CJ416" s="3">
        <v>7397.2</v>
      </c>
      <c r="CK416" s="3">
        <v>8301.7000000000007</v>
      </c>
      <c r="CL416" s="3">
        <v>8331.6</v>
      </c>
      <c r="CM416" s="3">
        <v>8923</v>
      </c>
      <c r="CN416" s="3">
        <v>9106.1</v>
      </c>
      <c r="CO416" s="3">
        <v>10228</v>
      </c>
      <c r="CP416" s="3">
        <v>10270.799999999999</v>
      </c>
      <c r="CQ416" s="3">
        <v>11976.7</v>
      </c>
      <c r="CR416" s="3">
        <v>12857.8</v>
      </c>
      <c r="CS416" s="3">
        <v>13072.3</v>
      </c>
      <c r="CT416" s="3">
        <v>13455.5</v>
      </c>
    </row>
    <row r="417" spans="1:98">
      <c r="A417" s="4" t="s">
        <v>513</v>
      </c>
      <c r="B417" s="5">
        <v>100</v>
      </c>
      <c r="C417" s="5">
        <v>108</v>
      </c>
      <c r="D417" s="5">
        <v>108.2</v>
      </c>
      <c r="E417" s="5">
        <v>107.9</v>
      </c>
      <c r="F417" s="5">
        <v>108</v>
      </c>
      <c r="G417" s="5">
        <v>112</v>
      </c>
      <c r="H417" s="5">
        <v>112.2</v>
      </c>
      <c r="I417" s="5">
        <v>113.6</v>
      </c>
      <c r="J417" s="5">
        <v>113.6</v>
      </c>
      <c r="K417" s="5">
        <v>124.7</v>
      </c>
      <c r="L417" s="5">
        <v>124.8</v>
      </c>
      <c r="M417" s="5">
        <v>162.69999999999999</v>
      </c>
      <c r="N417" s="5">
        <v>162.69999999999999</v>
      </c>
      <c r="O417" s="5">
        <v>183.7</v>
      </c>
      <c r="P417" s="5">
        <v>183.7</v>
      </c>
      <c r="Q417" s="5">
        <v>185.4</v>
      </c>
      <c r="R417" s="5">
        <v>185.4</v>
      </c>
      <c r="S417" s="5">
        <v>223</v>
      </c>
      <c r="T417" s="5">
        <v>223.1</v>
      </c>
      <c r="U417" s="5">
        <v>246.8</v>
      </c>
      <c r="V417" s="5">
        <v>247.1</v>
      </c>
      <c r="W417" s="5">
        <v>291</v>
      </c>
      <c r="X417" s="5">
        <v>291.10000000000002</v>
      </c>
      <c r="Y417" s="5">
        <v>331.2</v>
      </c>
      <c r="Z417" s="5">
        <v>331.3</v>
      </c>
      <c r="AA417" s="5">
        <v>341.5</v>
      </c>
      <c r="AB417" s="5">
        <v>341.7</v>
      </c>
      <c r="AC417" s="5">
        <v>332.3</v>
      </c>
      <c r="AD417" s="5">
        <v>332.4</v>
      </c>
      <c r="AE417" s="5">
        <v>364.8</v>
      </c>
      <c r="AF417" s="5">
        <v>365</v>
      </c>
      <c r="AG417" s="5">
        <v>382.1</v>
      </c>
      <c r="AH417" s="5">
        <v>394.2</v>
      </c>
      <c r="AI417" s="5">
        <v>419.6</v>
      </c>
      <c r="AJ417" s="5">
        <v>420.7</v>
      </c>
      <c r="AK417" s="5">
        <v>494.4</v>
      </c>
      <c r="AL417" s="5">
        <v>495.6</v>
      </c>
      <c r="AM417" s="5">
        <v>575.5</v>
      </c>
      <c r="AN417" s="5">
        <v>610.29999999999995</v>
      </c>
      <c r="AO417" s="5">
        <v>706.4</v>
      </c>
      <c r="AP417" s="5">
        <v>715.5</v>
      </c>
      <c r="AQ417" s="5">
        <v>812.4</v>
      </c>
      <c r="AR417" s="5">
        <v>822.3</v>
      </c>
      <c r="AS417" s="5">
        <v>815.3</v>
      </c>
      <c r="AT417" s="5">
        <v>816.7</v>
      </c>
      <c r="AU417" s="5">
        <v>900.4</v>
      </c>
      <c r="AV417" s="5">
        <v>901.7</v>
      </c>
      <c r="AW417" s="5">
        <v>902.5</v>
      </c>
      <c r="AX417" s="5">
        <v>903.5</v>
      </c>
      <c r="AY417" s="5">
        <v>1027.8</v>
      </c>
      <c r="AZ417" s="5">
        <v>1028.4000000000001</v>
      </c>
      <c r="BA417" s="5">
        <v>1028.8</v>
      </c>
      <c r="BB417" s="5">
        <v>1029.2</v>
      </c>
      <c r="BC417" s="5">
        <v>1034.8</v>
      </c>
      <c r="BD417" s="5">
        <v>1035.5999999999999</v>
      </c>
      <c r="BE417" s="5">
        <v>1036.4000000000001</v>
      </c>
      <c r="BF417" s="5">
        <v>1110.3</v>
      </c>
      <c r="BG417" s="5">
        <v>1189.5</v>
      </c>
      <c r="BH417" s="5">
        <v>119</v>
      </c>
      <c r="BI417" s="5">
        <v>1255.3</v>
      </c>
      <c r="BJ417" s="5">
        <v>1256.2</v>
      </c>
      <c r="BK417" s="5">
        <v>1732.9</v>
      </c>
      <c r="BL417" s="5">
        <v>2583.9</v>
      </c>
      <c r="BM417" s="5">
        <v>2223.5</v>
      </c>
      <c r="BN417" s="5">
        <v>2588.6999999999998</v>
      </c>
      <c r="BO417" s="5">
        <v>2463.3000000000002</v>
      </c>
      <c r="BP417" s="5">
        <v>2582</v>
      </c>
      <c r="BQ417" s="5">
        <v>3104.8</v>
      </c>
      <c r="BR417" s="5">
        <v>3113.1</v>
      </c>
      <c r="BS417" s="5">
        <v>3285.4</v>
      </c>
      <c r="BT417" s="5">
        <v>3291.8</v>
      </c>
      <c r="BU417" s="5">
        <v>4357.6000000000004</v>
      </c>
      <c r="BV417" s="5">
        <v>6364.7</v>
      </c>
      <c r="BW417" s="5">
        <v>4926.3</v>
      </c>
      <c r="BX417" s="5">
        <v>6379.5</v>
      </c>
      <c r="BY417" s="5">
        <v>5282.5</v>
      </c>
      <c r="BZ417" s="5">
        <v>5931.7</v>
      </c>
      <c r="CA417" s="5">
        <v>8041.8</v>
      </c>
      <c r="CB417" s="5">
        <v>8075.5</v>
      </c>
      <c r="CC417" s="5">
        <v>8111.6</v>
      </c>
      <c r="CD417" s="5">
        <v>8120.3</v>
      </c>
      <c r="CE417" s="5">
        <v>9995.7000000000007</v>
      </c>
      <c r="CF417" s="5">
        <v>10405.6</v>
      </c>
      <c r="CG417" s="5">
        <v>10442.6</v>
      </c>
      <c r="CH417" s="5">
        <v>11917.8</v>
      </c>
      <c r="CI417" s="5">
        <v>12406.1</v>
      </c>
      <c r="CJ417" s="5">
        <v>13431.2</v>
      </c>
      <c r="CK417" s="5">
        <v>14974.9</v>
      </c>
      <c r="CL417" s="5">
        <v>15004</v>
      </c>
      <c r="CM417" s="5">
        <v>16462.8</v>
      </c>
      <c r="CN417" s="5">
        <v>16485.900000000001</v>
      </c>
      <c r="CO417" s="5">
        <v>18233.2</v>
      </c>
      <c r="CP417" s="5">
        <v>18278.7</v>
      </c>
      <c r="CQ417" s="5">
        <v>18282.7</v>
      </c>
      <c r="CR417" s="5">
        <v>21436.400000000001</v>
      </c>
      <c r="CS417" s="5">
        <v>21449.8</v>
      </c>
      <c r="CT417" s="5">
        <v>21500.5</v>
      </c>
    </row>
    <row r="418" spans="1:98">
      <c r="A418" s="2" t="s">
        <v>514</v>
      </c>
      <c r="B418" s="3">
        <v>100</v>
      </c>
      <c r="C418" s="3">
        <v>102.4</v>
      </c>
      <c r="D418" s="3">
        <v>102.6</v>
      </c>
      <c r="E418" s="3">
        <v>94.7</v>
      </c>
      <c r="F418" s="3">
        <v>102.8</v>
      </c>
      <c r="G418" s="3">
        <v>105.8</v>
      </c>
      <c r="H418" s="3">
        <v>106</v>
      </c>
      <c r="I418" s="3">
        <v>106.6</v>
      </c>
      <c r="J418" s="3">
        <v>106.6</v>
      </c>
      <c r="K418" s="3">
        <v>108.9</v>
      </c>
      <c r="L418" s="3">
        <v>109</v>
      </c>
      <c r="M418" s="3">
        <v>109.3</v>
      </c>
      <c r="N418" s="3">
        <v>109.3</v>
      </c>
      <c r="O418" s="3">
        <v>110.2</v>
      </c>
      <c r="P418" s="3">
        <v>110.2</v>
      </c>
      <c r="Q418" s="3">
        <v>111.3</v>
      </c>
      <c r="R418" s="3">
        <v>111.9</v>
      </c>
      <c r="S418" s="3">
        <v>119.9</v>
      </c>
      <c r="T418" s="3">
        <v>120</v>
      </c>
      <c r="U418" s="3">
        <v>120.4</v>
      </c>
      <c r="V418" s="3">
        <v>120.6</v>
      </c>
      <c r="W418" s="3">
        <v>126.8</v>
      </c>
      <c r="X418" s="3">
        <v>126.9</v>
      </c>
      <c r="Y418" s="3">
        <v>146.6</v>
      </c>
      <c r="Z418" s="3">
        <v>146.69999999999999</v>
      </c>
      <c r="AA418" s="3">
        <v>147.4</v>
      </c>
      <c r="AB418" s="3">
        <v>147.5</v>
      </c>
      <c r="AC418" s="3">
        <v>151.69999999999999</v>
      </c>
      <c r="AD418" s="3">
        <v>152.6</v>
      </c>
      <c r="AE418" s="3">
        <v>156.30000000000001</v>
      </c>
      <c r="AF418" s="3">
        <v>156.4</v>
      </c>
      <c r="AG418" s="3">
        <v>156.6</v>
      </c>
      <c r="AH418" s="3">
        <v>157.6</v>
      </c>
      <c r="AI418" s="3">
        <v>168.8</v>
      </c>
      <c r="AJ418" s="3">
        <v>169.4</v>
      </c>
      <c r="AK418" s="3">
        <v>200</v>
      </c>
      <c r="AL418" s="3">
        <v>200.4</v>
      </c>
      <c r="AM418" s="3">
        <v>265.5</v>
      </c>
      <c r="AN418" s="3">
        <v>266.3</v>
      </c>
      <c r="AO418" s="3">
        <v>286.60000000000002</v>
      </c>
      <c r="AP418" s="3">
        <v>287.10000000000002</v>
      </c>
      <c r="AQ418" s="3">
        <v>313.7</v>
      </c>
      <c r="AR418" s="3">
        <v>314.2</v>
      </c>
      <c r="AS418" s="3">
        <v>336.2</v>
      </c>
      <c r="AT418" s="3">
        <v>336.8</v>
      </c>
      <c r="AU418" s="3">
        <v>340.4</v>
      </c>
      <c r="AV418" s="3">
        <v>340.9</v>
      </c>
      <c r="AW418" s="3">
        <v>373.2</v>
      </c>
      <c r="AX418" s="3">
        <v>373.6</v>
      </c>
      <c r="AY418" s="3">
        <v>376.4</v>
      </c>
      <c r="AZ418" s="3">
        <v>376.7</v>
      </c>
      <c r="BA418" s="3">
        <v>376.9</v>
      </c>
      <c r="BB418" s="3">
        <v>377.1</v>
      </c>
      <c r="BC418" s="3">
        <v>379.7</v>
      </c>
      <c r="BD418" s="3">
        <v>380</v>
      </c>
      <c r="BE418" s="3">
        <v>397.2</v>
      </c>
      <c r="BF418" s="3">
        <v>397.5</v>
      </c>
      <c r="BG418" s="3">
        <v>400.5</v>
      </c>
      <c r="BH418" s="3">
        <v>400.8</v>
      </c>
      <c r="BI418" s="3">
        <v>401.4</v>
      </c>
      <c r="BJ418" s="3">
        <v>401.7</v>
      </c>
      <c r="BK418" s="3">
        <v>443.7</v>
      </c>
      <c r="BL418" s="3">
        <v>629</v>
      </c>
      <c r="BM418" s="3">
        <v>482.3</v>
      </c>
      <c r="BN418" s="3">
        <v>666.8</v>
      </c>
      <c r="BO418" s="3">
        <v>519.20000000000005</v>
      </c>
      <c r="BP418" s="3">
        <v>555.9</v>
      </c>
      <c r="BQ418" s="3">
        <v>738.8</v>
      </c>
      <c r="BR418" s="3">
        <v>772.6</v>
      </c>
      <c r="BS418" s="3">
        <v>774.3</v>
      </c>
      <c r="BT418" s="3">
        <v>837.6</v>
      </c>
      <c r="BU418" s="3">
        <v>1077.4000000000001</v>
      </c>
      <c r="BV418" s="3">
        <v>1522.1</v>
      </c>
      <c r="BW418" s="3">
        <v>1147.8</v>
      </c>
      <c r="BX418" s="3">
        <v>1527.6</v>
      </c>
      <c r="BY418" s="3">
        <v>1240.0999999999999</v>
      </c>
      <c r="BZ418" s="3">
        <v>1315.5</v>
      </c>
      <c r="CA418" s="3">
        <v>1589.9</v>
      </c>
      <c r="CB418" s="3">
        <v>1598.7</v>
      </c>
      <c r="CC418" s="3">
        <v>1586</v>
      </c>
      <c r="CD418" s="3">
        <v>1743.1</v>
      </c>
      <c r="CE418" s="3">
        <v>1989.1</v>
      </c>
      <c r="CF418" s="3">
        <v>1994</v>
      </c>
      <c r="CG418" s="3">
        <v>2035.5</v>
      </c>
      <c r="CH418" s="3">
        <v>2258.8000000000002</v>
      </c>
      <c r="CI418" s="3">
        <v>2258.9</v>
      </c>
      <c r="CJ418" s="3">
        <v>2258.9</v>
      </c>
      <c r="CK418" s="3">
        <v>2311.3000000000002</v>
      </c>
      <c r="CL418" s="3">
        <v>2322.6</v>
      </c>
      <c r="CM418" s="3">
        <v>2330.3000000000002</v>
      </c>
      <c r="CN418" s="3">
        <v>2647.5</v>
      </c>
      <c r="CO418" s="3">
        <v>3187.1</v>
      </c>
      <c r="CP418" s="3">
        <v>3199.1</v>
      </c>
      <c r="CQ418" s="3">
        <v>3623.8</v>
      </c>
      <c r="CR418" s="3">
        <v>4234.2</v>
      </c>
      <c r="CS418" s="3">
        <v>4238.7</v>
      </c>
      <c r="CT418" s="3">
        <v>4243.3</v>
      </c>
    </row>
    <row r="419" spans="1:98">
      <c r="A419" s="4" t="s">
        <v>515</v>
      </c>
      <c r="B419" s="5">
        <v>100</v>
      </c>
      <c r="C419" s="5">
        <v>100.4</v>
      </c>
      <c r="D419" s="5">
        <v>100.5</v>
      </c>
      <c r="E419" s="5">
        <v>102.5</v>
      </c>
      <c r="F419" s="5">
        <v>102.6</v>
      </c>
      <c r="G419" s="5">
        <v>107</v>
      </c>
      <c r="H419" s="5">
        <v>107.1</v>
      </c>
      <c r="I419" s="5">
        <v>109.3</v>
      </c>
      <c r="J419" s="5">
        <v>109.3</v>
      </c>
      <c r="K419" s="5">
        <v>109.4</v>
      </c>
      <c r="L419" s="5">
        <v>109.4</v>
      </c>
      <c r="M419" s="5">
        <v>109.5</v>
      </c>
      <c r="N419" s="5">
        <v>109.5</v>
      </c>
      <c r="O419" s="5">
        <v>109.5</v>
      </c>
      <c r="P419" s="5">
        <v>109.5</v>
      </c>
      <c r="Q419" s="5">
        <v>110</v>
      </c>
      <c r="R419" s="5">
        <v>110.1</v>
      </c>
      <c r="S419" s="5">
        <v>110.6</v>
      </c>
      <c r="T419" s="5">
        <v>110.7</v>
      </c>
      <c r="U419" s="5">
        <v>110.9</v>
      </c>
      <c r="V419" s="5">
        <v>111</v>
      </c>
      <c r="W419" s="5">
        <v>123.6</v>
      </c>
      <c r="X419" s="5">
        <v>123.6</v>
      </c>
      <c r="Y419" s="5">
        <v>123.8</v>
      </c>
      <c r="Z419" s="5">
        <v>123.9</v>
      </c>
      <c r="AA419" s="5">
        <v>124.4</v>
      </c>
      <c r="AB419" s="5">
        <v>124.5</v>
      </c>
      <c r="AC419" s="5">
        <v>124.7</v>
      </c>
      <c r="AD419" s="5">
        <v>124.8</v>
      </c>
      <c r="AE419" s="5">
        <v>132.5</v>
      </c>
      <c r="AF419" s="5">
        <v>132.6</v>
      </c>
      <c r="AG419" s="5">
        <v>132.69999999999999</v>
      </c>
      <c r="AH419" s="5">
        <v>133.19999999999999</v>
      </c>
      <c r="AI419" s="5">
        <v>134.4</v>
      </c>
      <c r="AJ419" s="5">
        <v>134.5</v>
      </c>
      <c r="AK419" s="5">
        <v>170.8</v>
      </c>
      <c r="AL419" s="5">
        <v>212.9</v>
      </c>
      <c r="AM419" s="5">
        <v>224.4</v>
      </c>
      <c r="AN419" s="5">
        <v>254.7</v>
      </c>
      <c r="AO419" s="5">
        <v>331.1</v>
      </c>
      <c r="AP419" s="5">
        <v>383.6</v>
      </c>
      <c r="AQ419" s="5">
        <v>386</v>
      </c>
      <c r="AR419" s="5">
        <v>386.4</v>
      </c>
      <c r="AS419" s="5">
        <v>387.2</v>
      </c>
      <c r="AT419" s="5">
        <v>387.9</v>
      </c>
      <c r="AU419" s="5">
        <v>391.4</v>
      </c>
      <c r="AV419" s="5">
        <v>391.8</v>
      </c>
      <c r="AW419" s="5">
        <v>391.6</v>
      </c>
      <c r="AX419" s="5">
        <v>391.8</v>
      </c>
      <c r="AY419" s="5">
        <v>389.3</v>
      </c>
      <c r="AZ419" s="5">
        <v>389.6</v>
      </c>
      <c r="BA419" s="5">
        <v>389.8</v>
      </c>
      <c r="BB419" s="5">
        <v>397.2</v>
      </c>
      <c r="BC419" s="5">
        <v>389.4</v>
      </c>
      <c r="BD419" s="5">
        <v>387.5</v>
      </c>
      <c r="BE419" s="5">
        <v>396.3</v>
      </c>
      <c r="BF419" s="5">
        <v>396.6</v>
      </c>
      <c r="BG419" s="5">
        <v>419.1</v>
      </c>
      <c r="BH419" s="5">
        <v>419.5</v>
      </c>
      <c r="BI419" s="5">
        <v>454.7</v>
      </c>
      <c r="BJ419" s="5">
        <v>482.1</v>
      </c>
      <c r="BK419" s="5">
        <v>554.5</v>
      </c>
      <c r="BL419" s="5">
        <v>982.1</v>
      </c>
      <c r="BM419" s="5">
        <v>622.6</v>
      </c>
      <c r="BN419" s="5">
        <v>983.1</v>
      </c>
      <c r="BO419" s="5">
        <v>800.1</v>
      </c>
      <c r="BP419" s="5">
        <v>977.6</v>
      </c>
      <c r="BQ419" s="5">
        <v>1133.5999999999999</v>
      </c>
      <c r="BR419" s="5">
        <v>996</v>
      </c>
      <c r="BS419" s="5">
        <v>1185.4000000000001</v>
      </c>
      <c r="BT419" s="5">
        <v>1288.7</v>
      </c>
      <c r="BU419" s="5">
        <v>1510.3</v>
      </c>
      <c r="BV419" s="5">
        <v>2603.1999999999998</v>
      </c>
      <c r="BW419" s="5">
        <v>1798.5</v>
      </c>
      <c r="BX419" s="5">
        <v>2634.8</v>
      </c>
      <c r="BY419" s="5">
        <v>2019.4</v>
      </c>
      <c r="BZ419" s="5">
        <v>2424.4</v>
      </c>
      <c r="CA419" s="5">
        <v>2715.4</v>
      </c>
      <c r="CB419" s="5">
        <v>2772.7</v>
      </c>
      <c r="CC419" s="5">
        <v>2798.3</v>
      </c>
      <c r="CD419" s="5">
        <v>2824.3</v>
      </c>
      <c r="CE419" s="5">
        <v>3137.1</v>
      </c>
      <c r="CF419" s="5">
        <v>3275.3</v>
      </c>
      <c r="CG419" s="5">
        <v>3775.8</v>
      </c>
      <c r="CH419" s="5">
        <v>4387.3999999999996</v>
      </c>
      <c r="CI419" s="5">
        <v>4387.3999999999996</v>
      </c>
      <c r="CJ419" s="5">
        <v>4387.3999999999996</v>
      </c>
      <c r="CK419" s="5">
        <v>4727.2</v>
      </c>
      <c r="CL419" s="5">
        <v>4568.2</v>
      </c>
      <c r="CM419" s="5">
        <v>5078.8999999999996</v>
      </c>
      <c r="CN419" s="5">
        <v>5567.9</v>
      </c>
      <c r="CO419" s="5">
        <v>6064.8</v>
      </c>
      <c r="CP419" s="5">
        <v>6078.5</v>
      </c>
      <c r="CQ419" s="5">
        <v>6421.7</v>
      </c>
      <c r="CR419" s="5">
        <v>7213.6</v>
      </c>
      <c r="CS419" s="5">
        <v>7216.7</v>
      </c>
      <c r="CT419" s="5">
        <v>7219.8</v>
      </c>
    </row>
    <row r="420" spans="1:98">
      <c r="A420" s="2" t="s">
        <v>516</v>
      </c>
      <c r="B420" s="3">
        <v>100</v>
      </c>
      <c r="C420" s="3">
        <v>100.8</v>
      </c>
      <c r="D420" s="3">
        <v>102.5</v>
      </c>
      <c r="E420" s="3">
        <v>103.3</v>
      </c>
      <c r="F420" s="3">
        <v>103.5</v>
      </c>
      <c r="G420" s="3">
        <v>107.6</v>
      </c>
      <c r="H420" s="3">
        <v>117.6</v>
      </c>
      <c r="I420" s="3">
        <v>116.4</v>
      </c>
      <c r="J420" s="3">
        <v>116.4</v>
      </c>
      <c r="K420" s="3">
        <v>126.1</v>
      </c>
      <c r="L420" s="3">
        <v>138.1</v>
      </c>
      <c r="M420" s="3">
        <v>142.80000000000001</v>
      </c>
      <c r="N420" s="3">
        <v>147.9</v>
      </c>
      <c r="O420" s="3">
        <v>147.9</v>
      </c>
      <c r="P420" s="3">
        <v>147.9</v>
      </c>
      <c r="Q420" s="3">
        <v>158.80000000000001</v>
      </c>
      <c r="R420" s="3">
        <v>158.9</v>
      </c>
      <c r="S420" s="3">
        <v>160.6</v>
      </c>
      <c r="T420" s="3">
        <v>177.2</v>
      </c>
      <c r="U420" s="3">
        <v>179.2</v>
      </c>
      <c r="V420" s="3">
        <v>182.8</v>
      </c>
      <c r="W420" s="3">
        <v>185.4</v>
      </c>
      <c r="X420" s="3">
        <v>186.6</v>
      </c>
      <c r="Y420" s="3">
        <v>191.9</v>
      </c>
      <c r="Z420" s="3">
        <v>192</v>
      </c>
      <c r="AA420" s="3">
        <v>193.4</v>
      </c>
      <c r="AB420" s="3">
        <v>195.7</v>
      </c>
      <c r="AC420" s="3">
        <v>200</v>
      </c>
      <c r="AD420" s="3">
        <v>200.3</v>
      </c>
      <c r="AE420" s="3">
        <v>201.9</v>
      </c>
      <c r="AF420" s="3">
        <v>202.1</v>
      </c>
      <c r="AG420" s="3">
        <v>221.1</v>
      </c>
      <c r="AH420" s="3">
        <v>223.9</v>
      </c>
      <c r="AI420" s="3">
        <v>227.3</v>
      </c>
      <c r="AJ420" s="3">
        <v>228.1</v>
      </c>
      <c r="AK420" s="3">
        <v>241.7</v>
      </c>
      <c r="AL420" s="3">
        <v>242.7</v>
      </c>
      <c r="AM420" s="3">
        <v>267</v>
      </c>
      <c r="AN420" s="3">
        <v>331.7</v>
      </c>
      <c r="AO420" s="3">
        <v>345</v>
      </c>
      <c r="AP420" s="3">
        <v>367.5</v>
      </c>
      <c r="AQ420" s="3">
        <v>372.3</v>
      </c>
      <c r="AR420" s="3">
        <v>373.4</v>
      </c>
      <c r="AS420" s="3">
        <v>409.4</v>
      </c>
      <c r="AT420" s="3">
        <v>418.2</v>
      </c>
      <c r="AU420" s="3">
        <v>429</v>
      </c>
      <c r="AV420" s="3">
        <v>430.1</v>
      </c>
      <c r="AW420" s="3">
        <v>454.5</v>
      </c>
      <c r="AX420" s="3">
        <v>455.1</v>
      </c>
      <c r="AY420" s="3">
        <v>466.9</v>
      </c>
      <c r="AZ420" s="3">
        <v>467.6</v>
      </c>
      <c r="BA420" s="3">
        <v>461.3</v>
      </c>
      <c r="BB420" s="3">
        <v>461.6</v>
      </c>
      <c r="BC420" s="3">
        <v>503.2</v>
      </c>
      <c r="BD420" s="3">
        <v>503.9</v>
      </c>
      <c r="BE420" s="3">
        <v>507.1</v>
      </c>
      <c r="BF420" s="3">
        <v>507.7</v>
      </c>
      <c r="BG420" s="3">
        <v>513.20000000000005</v>
      </c>
      <c r="BH420" s="3">
        <v>513.9</v>
      </c>
      <c r="BI420" s="3">
        <v>545.6</v>
      </c>
      <c r="BJ420" s="3">
        <v>559.4</v>
      </c>
      <c r="BK420" s="3">
        <v>594.4</v>
      </c>
      <c r="BL420" s="3">
        <v>726.8</v>
      </c>
      <c r="BM420" s="3">
        <v>624.4</v>
      </c>
      <c r="BN420" s="3">
        <v>779.1</v>
      </c>
      <c r="BO420" s="3">
        <v>651.20000000000005</v>
      </c>
      <c r="BP420" s="3">
        <v>676.9</v>
      </c>
      <c r="BQ420" s="3">
        <v>832.9</v>
      </c>
      <c r="BR420" s="3">
        <v>872.9</v>
      </c>
      <c r="BS420" s="3">
        <v>945.9</v>
      </c>
      <c r="BT420" s="3">
        <v>1084.8</v>
      </c>
      <c r="BU420" s="3">
        <v>1181.7</v>
      </c>
      <c r="BV420" s="3">
        <v>1922.5</v>
      </c>
      <c r="BW420" s="3">
        <v>1542.4</v>
      </c>
      <c r="BX420" s="3">
        <v>1934.2</v>
      </c>
      <c r="BY420" s="3">
        <v>1668.3</v>
      </c>
      <c r="BZ420" s="3">
        <v>1705.4</v>
      </c>
      <c r="CA420" s="3">
        <v>2258.6999999999998</v>
      </c>
      <c r="CB420" s="3">
        <v>2366.1999999999998</v>
      </c>
      <c r="CC420" s="3">
        <v>2491</v>
      </c>
      <c r="CD420" s="3">
        <v>2579.9</v>
      </c>
      <c r="CE420" s="3">
        <v>2787</v>
      </c>
      <c r="CF420" s="3">
        <v>2799.4</v>
      </c>
      <c r="CG420" s="3">
        <v>2870.2</v>
      </c>
      <c r="CH420" s="3">
        <v>3854.9</v>
      </c>
      <c r="CI420" s="3">
        <v>3855.3</v>
      </c>
      <c r="CJ420" s="3">
        <v>3855.6</v>
      </c>
      <c r="CK420" s="3">
        <v>4468.2</v>
      </c>
      <c r="CL420" s="3">
        <v>4864.5</v>
      </c>
      <c r="CM420" s="3">
        <v>4897.7</v>
      </c>
      <c r="CN420" s="3">
        <v>5567</v>
      </c>
      <c r="CO420" s="3">
        <v>6535.1</v>
      </c>
      <c r="CP420" s="3">
        <v>6572</v>
      </c>
      <c r="CQ420" s="3">
        <v>6576.6</v>
      </c>
      <c r="CR420" s="3">
        <v>6616.7</v>
      </c>
      <c r="CS420" s="3">
        <v>6630.4</v>
      </c>
      <c r="CT420" s="3">
        <v>6642</v>
      </c>
    </row>
    <row r="421" spans="1:98">
      <c r="A421" s="4" t="s">
        <v>517</v>
      </c>
      <c r="B421" s="5">
        <v>100</v>
      </c>
      <c r="C421" s="5">
        <v>114.8</v>
      </c>
      <c r="D421" s="5">
        <v>115.1</v>
      </c>
      <c r="E421" s="5">
        <v>115.2</v>
      </c>
      <c r="F421" s="5">
        <v>116.4</v>
      </c>
      <c r="G421" s="5">
        <v>149.1</v>
      </c>
      <c r="H421" s="5">
        <v>149.30000000000001</v>
      </c>
      <c r="I421" s="5">
        <v>149.5</v>
      </c>
      <c r="J421" s="5">
        <v>149.5</v>
      </c>
      <c r="K421" s="5">
        <v>153.30000000000001</v>
      </c>
      <c r="L421" s="5">
        <v>153.4</v>
      </c>
      <c r="M421" s="5">
        <v>153.6</v>
      </c>
      <c r="N421" s="5">
        <v>153.69999999999999</v>
      </c>
      <c r="O421" s="5">
        <v>180.8</v>
      </c>
      <c r="P421" s="5">
        <v>191.6</v>
      </c>
      <c r="Q421" s="5">
        <v>208.4</v>
      </c>
      <c r="R421" s="5">
        <v>208.4</v>
      </c>
      <c r="S421" s="5">
        <v>243.3</v>
      </c>
      <c r="T421" s="5">
        <v>248.4</v>
      </c>
      <c r="U421" s="5">
        <v>253</v>
      </c>
      <c r="V421" s="5">
        <v>262.8</v>
      </c>
      <c r="W421" s="5">
        <v>272.10000000000002</v>
      </c>
      <c r="X421" s="5">
        <v>287.39999999999998</v>
      </c>
      <c r="Y421" s="5">
        <v>271.39999999999998</v>
      </c>
      <c r="Z421" s="5">
        <v>260.5</v>
      </c>
      <c r="AA421" s="5">
        <v>245.8</v>
      </c>
      <c r="AB421" s="5">
        <v>260.89999999999998</v>
      </c>
      <c r="AC421" s="5">
        <v>261.89999999999998</v>
      </c>
      <c r="AD421" s="5">
        <v>262.2</v>
      </c>
      <c r="AE421" s="5">
        <v>254</v>
      </c>
      <c r="AF421" s="5">
        <v>254.7</v>
      </c>
      <c r="AG421" s="5">
        <v>255.2</v>
      </c>
      <c r="AH421" s="5">
        <v>256.89999999999998</v>
      </c>
      <c r="AI421" s="5">
        <v>277.8</v>
      </c>
      <c r="AJ421" s="5">
        <v>278.39999999999998</v>
      </c>
      <c r="AK421" s="5">
        <v>340.9</v>
      </c>
      <c r="AL421" s="5">
        <v>341.5</v>
      </c>
      <c r="AM421" s="5">
        <v>369.4</v>
      </c>
      <c r="AN421" s="5">
        <v>372.6</v>
      </c>
      <c r="AO421" s="5">
        <v>510.4</v>
      </c>
      <c r="AP421" s="5">
        <v>511.5</v>
      </c>
      <c r="AQ421" s="5">
        <v>542.4</v>
      </c>
      <c r="AR421" s="5">
        <v>543.5</v>
      </c>
      <c r="AS421" s="5">
        <v>557.79999999999995</v>
      </c>
      <c r="AT421" s="5">
        <v>559.6</v>
      </c>
      <c r="AU421" s="5">
        <v>569.4</v>
      </c>
      <c r="AV421" s="5">
        <v>570.70000000000005</v>
      </c>
      <c r="AW421" s="5">
        <v>646.9</v>
      </c>
      <c r="AX421" s="5">
        <v>648</v>
      </c>
      <c r="AY421" s="5">
        <v>656</v>
      </c>
      <c r="AZ421" s="5">
        <v>656.7</v>
      </c>
      <c r="BA421" s="5">
        <v>657.4</v>
      </c>
      <c r="BB421" s="5">
        <v>658.1</v>
      </c>
      <c r="BC421" s="5">
        <v>665.3</v>
      </c>
      <c r="BD421" s="5">
        <v>666.2</v>
      </c>
      <c r="BE421" s="5">
        <v>667.1</v>
      </c>
      <c r="BF421" s="5">
        <v>667.9</v>
      </c>
      <c r="BG421" s="5">
        <v>747.8</v>
      </c>
      <c r="BH421" s="5">
        <v>748.6</v>
      </c>
      <c r="BI421" s="5">
        <v>751.6</v>
      </c>
      <c r="BJ421" s="5">
        <v>753.4</v>
      </c>
      <c r="BK421" s="5">
        <v>864.8</v>
      </c>
      <c r="BL421" s="5">
        <v>1405.6</v>
      </c>
      <c r="BM421" s="5">
        <v>965.3</v>
      </c>
      <c r="BN421" s="5">
        <v>1412</v>
      </c>
      <c r="BO421" s="5">
        <v>1219.8</v>
      </c>
      <c r="BP421" s="5">
        <v>1466.4</v>
      </c>
      <c r="BQ421" s="5">
        <v>1450.3</v>
      </c>
      <c r="BR421" s="5">
        <v>1455.3</v>
      </c>
      <c r="BS421" s="5">
        <v>1654.1</v>
      </c>
      <c r="BT421" s="5">
        <v>1724.1</v>
      </c>
      <c r="BU421" s="5">
        <v>1855.5</v>
      </c>
      <c r="BV421" s="5">
        <v>3187.1</v>
      </c>
      <c r="BW421" s="5">
        <v>2460.6</v>
      </c>
      <c r="BX421" s="5">
        <v>3401.7</v>
      </c>
      <c r="BY421" s="5">
        <v>2692.5</v>
      </c>
      <c r="BZ421" s="5">
        <v>3052</v>
      </c>
      <c r="CA421" s="5">
        <v>3931.7</v>
      </c>
      <c r="CB421" s="5">
        <v>4540.3</v>
      </c>
      <c r="CC421" s="5">
        <v>4567.3</v>
      </c>
      <c r="CD421" s="5">
        <v>4730.2</v>
      </c>
      <c r="CE421" s="5">
        <v>5511.1</v>
      </c>
      <c r="CF421" s="5">
        <v>5410.5</v>
      </c>
      <c r="CG421" s="5">
        <v>5896.6</v>
      </c>
      <c r="CH421" s="5">
        <v>6193.4</v>
      </c>
      <c r="CI421" s="5">
        <v>6388.7</v>
      </c>
      <c r="CJ421" s="5">
        <v>6987.7</v>
      </c>
      <c r="CK421" s="5">
        <v>7144.2</v>
      </c>
      <c r="CL421" s="5">
        <v>7169.1</v>
      </c>
      <c r="CM421" s="5">
        <v>8642.6</v>
      </c>
      <c r="CN421" s="5">
        <v>8662.5</v>
      </c>
      <c r="CO421" s="5">
        <v>8863.7000000000007</v>
      </c>
      <c r="CP421" s="5">
        <v>8893.5</v>
      </c>
      <c r="CQ421" s="5">
        <v>11229.2</v>
      </c>
      <c r="CR421" s="5">
        <v>12814</v>
      </c>
      <c r="CS421" s="5">
        <v>12823.1</v>
      </c>
      <c r="CT421" s="5">
        <v>12832.6</v>
      </c>
    </row>
    <row r="422" spans="1:98">
      <c r="A422" s="2" t="s">
        <v>518</v>
      </c>
      <c r="B422" s="3">
        <v>100</v>
      </c>
      <c r="C422" s="3">
        <v>100.3</v>
      </c>
      <c r="D422" s="3">
        <v>100.4</v>
      </c>
      <c r="E422" s="3">
        <v>100.5</v>
      </c>
      <c r="F422" s="3">
        <v>100.6</v>
      </c>
      <c r="G422" s="3">
        <v>101.1</v>
      </c>
      <c r="H422" s="3">
        <v>107.7</v>
      </c>
      <c r="I422" s="3">
        <v>111</v>
      </c>
      <c r="J422" s="3">
        <v>111</v>
      </c>
      <c r="K422" s="3">
        <v>116.9</v>
      </c>
      <c r="L422" s="3">
        <v>117</v>
      </c>
      <c r="M422" s="3">
        <v>117.1</v>
      </c>
      <c r="N422" s="3">
        <v>117.1</v>
      </c>
      <c r="O422" s="3">
        <v>125.7</v>
      </c>
      <c r="P422" s="3">
        <v>151.19999999999999</v>
      </c>
      <c r="Q422" s="3">
        <v>153.80000000000001</v>
      </c>
      <c r="R422" s="3">
        <v>153.80000000000001</v>
      </c>
      <c r="S422" s="3">
        <v>154.4</v>
      </c>
      <c r="T422" s="3">
        <v>154.5</v>
      </c>
      <c r="U422" s="3">
        <v>154.69999999999999</v>
      </c>
      <c r="V422" s="3">
        <v>154.80000000000001</v>
      </c>
      <c r="W422" s="3">
        <v>155.5</v>
      </c>
      <c r="X422" s="3">
        <v>155.5</v>
      </c>
      <c r="Y422" s="3">
        <v>155.6</v>
      </c>
      <c r="Z422" s="3">
        <v>155.6</v>
      </c>
      <c r="AA422" s="3">
        <v>156</v>
      </c>
      <c r="AB422" s="3">
        <v>156.1</v>
      </c>
      <c r="AC422" s="3">
        <v>156.30000000000001</v>
      </c>
      <c r="AD422" s="3">
        <v>156.30000000000001</v>
      </c>
      <c r="AE422" s="3">
        <v>156.80000000000001</v>
      </c>
      <c r="AF422" s="3">
        <v>156.80000000000001</v>
      </c>
      <c r="AG422" s="3">
        <v>156.9</v>
      </c>
      <c r="AH422" s="3">
        <v>157.80000000000001</v>
      </c>
      <c r="AI422" s="3">
        <v>158.19999999999999</v>
      </c>
      <c r="AJ422" s="3">
        <v>158.5</v>
      </c>
      <c r="AK422" s="3">
        <v>189</v>
      </c>
      <c r="AL422" s="3">
        <v>204</v>
      </c>
      <c r="AM422" s="3">
        <v>234.1</v>
      </c>
      <c r="AN422" s="3">
        <v>254</v>
      </c>
      <c r="AO422" s="3">
        <v>260.39999999999998</v>
      </c>
      <c r="AP422" s="3">
        <v>274</v>
      </c>
      <c r="AQ422" s="3">
        <v>275.39999999999998</v>
      </c>
      <c r="AR422" s="3">
        <v>275.7</v>
      </c>
      <c r="AS422" s="3">
        <v>276.10000000000002</v>
      </c>
      <c r="AT422" s="3">
        <v>276.39999999999998</v>
      </c>
      <c r="AU422" s="3">
        <v>303.5</v>
      </c>
      <c r="AV422" s="3">
        <v>298.89999999999998</v>
      </c>
      <c r="AW422" s="3">
        <v>292.10000000000002</v>
      </c>
      <c r="AX422" s="3">
        <v>292.2</v>
      </c>
      <c r="AY422" s="3">
        <v>295.10000000000002</v>
      </c>
      <c r="AZ422" s="3">
        <v>295.2</v>
      </c>
      <c r="BA422" s="3">
        <v>294</v>
      </c>
      <c r="BB422" s="3">
        <v>294.10000000000002</v>
      </c>
      <c r="BC422" s="3">
        <v>295.3</v>
      </c>
      <c r="BD422" s="3">
        <v>295.60000000000002</v>
      </c>
      <c r="BE422" s="3">
        <v>312.2</v>
      </c>
      <c r="BF422" s="3">
        <v>323.39999999999998</v>
      </c>
      <c r="BG422" s="3">
        <v>324.89999999999998</v>
      </c>
      <c r="BH422" s="3">
        <v>340.3</v>
      </c>
      <c r="BI422" s="3">
        <v>370.8</v>
      </c>
      <c r="BJ422" s="3">
        <v>386.2</v>
      </c>
      <c r="BK422" s="3">
        <v>414.7</v>
      </c>
      <c r="BL422" s="3">
        <v>611</v>
      </c>
      <c r="BM422" s="3">
        <v>463.8</v>
      </c>
      <c r="BN422" s="3">
        <v>612.5</v>
      </c>
      <c r="BO422" s="3">
        <v>555.4</v>
      </c>
      <c r="BP422" s="3">
        <v>574.1</v>
      </c>
      <c r="BQ422" s="3">
        <v>734.3</v>
      </c>
      <c r="BR422" s="3">
        <v>707.2</v>
      </c>
      <c r="BS422" s="3">
        <v>738.3</v>
      </c>
      <c r="BT422" s="3">
        <v>797.8</v>
      </c>
      <c r="BU422" s="3">
        <v>946.3</v>
      </c>
      <c r="BV422" s="3">
        <v>1382.8</v>
      </c>
      <c r="BW422" s="3">
        <v>1197.2</v>
      </c>
      <c r="BX422" s="3">
        <v>1582.4</v>
      </c>
      <c r="BY422" s="3">
        <v>1263.5</v>
      </c>
      <c r="BZ422" s="3">
        <v>1364</v>
      </c>
      <c r="CA422" s="3">
        <v>1784.5</v>
      </c>
      <c r="CB422" s="3">
        <v>1988.1</v>
      </c>
      <c r="CC422" s="3">
        <v>2087.4</v>
      </c>
      <c r="CD422" s="3">
        <v>2090.1</v>
      </c>
      <c r="CE422" s="3">
        <v>2402</v>
      </c>
      <c r="CF422" s="3">
        <v>2420.1999999999998</v>
      </c>
      <c r="CG422" s="3">
        <v>2722.2</v>
      </c>
      <c r="CH422" s="3">
        <v>3245.2</v>
      </c>
      <c r="CI422" s="3">
        <v>3245.3</v>
      </c>
      <c r="CJ422" s="3">
        <v>3245.5</v>
      </c>
      <c r="CK422" s="3">
        <v>3464</v>
      </c>
      <c r="CL422" s="3">
        <v>3473</v>
      </c>
      <c r="CM422" s="3">
        <v>3478.9</v>
      </c>
      <c r="CN422" s="3">
        <v>3484.1</v>
      </c>
      <c r="CO422" s="3">
        <v>4091.9</v>
      </c>
      <c r="CP422" s="3">
        <v>4115.1000000000004</v>
      </c>
      <c r="CQ422" s="3">
        <v>4546.5</v>
      </c>
      <c r="CR422" s="3">
        <v>4604.6000000000004</v>
      </c>
      <c r="CS422" s="3">
        <v>4854.8999999999996</v>
      </c>
      <c r="CT422" s="3">
        <v>4953.3999999999996</v>
      </c>
    </row>
    <row r="423" spans="1:98">
      <c r="A423" s="4" t="s">
        <v>519</v>
      </c>
      <c r="B423" s="5">
        <v>100</v>
      </c>
      <c r="C423" s="5">
        <v>103.7</v>
      </c>
      <c r="D423" s="5">
        <v>101.4</v>
      </c>
      <c r="E423" s="5">
        <v>103.9</v>
      </c>
      <c r="F423" s="5">
        <v>113.4</v>
      </c>
      <c r="G423" s="5">
        <v>125.1</v>
      </c>
      <c r="H423" s="5">
        <v>125.5</v>
      </c>
      <c r="I423" s="5">
        <v>130.19999999999999</v>
      </c>
      <c r="J423" s="5">
        <v>130.19999999999999</v>
      </c>
      <c r="K423" s="5">
        <v>135.80000000000001</v>
      </c>
      <c r="L423" s="5">
        <v>135.9</v>
      </c>
      <c r="M423" s="5">
        <v>139.69999999999999</v>
      </c>
      <c r="N423" s="5">
        <v>138.19999999999999</v>
      </c>
      <c r="O423" s="5">
        <v>144.19999999999999</v>
      </c>
      <c r="P423" s="5">
        <v>153.1</v>
      </c>
      <c r="Q423" s="5">
        <v>165.5</v>
      </c>
      <c r="R423" s="5">
        <v>166.9</v>
      </c>
      <c r="S423" s="5">
        <v>179.9</v>
      </c>
      <c r="T423" s="5">
        <v>174.6</v>
      </c>
      <c r="U423" s="5">
        <v>179.9</v>
      </c>
      <c r="V423" s="5">
        <v>186</v>
      </c>
      <c r="W423" s="5">
        <v>221.1</v>
      </c>
      <c r="X423" s="5">
        <v>234.3</v>
      </c>
      <c r="Y423" s="5">
        <v>212.8</v>
      </c>
      <c r="Z423" s="5">
        <v>185.5</v>
      </c>
      <c r="AA423" s="5">
        <v>180.2</v>
      </c>
      <c r="AB423" s="5">
        <v>184.3</v>
      </c>
      <c r="AC423" s="5">
        <v>190.7</v>
      </c>
      <c r="AD423" s="5">
        <v>198.9</v>
      </c>
      <c r="AE423" s="5">
        <v>210.8</v>
      </c>
      <c r="AF423" s="5">
        <v>208.7</v>
      </c>
      <c r="AG423" s="5">
        <v>217.1</v>
      </c>
      <c r="AH423" s="5">
        <v>231.9</v>
      </c>
      <c r="AI423" s="5">
        <v>257.10000000000002</v>
      </c>
      <c r="AJ423" s="5">
        <v>262.5</v>
      </c>
      <c r="AK423" s="5">
        <v>277.89999999999998</v>
      </c>
      <c r="AL423" s="5">
        <v>296.60000000000002</v>
      </c>
      <c r="AM423" s="5">
        <v>317.7</v>
      </c>
      <c r="AN423" s="5">
        <v>355.2</v>
      </c>
      <c r="AO423" s="5">
        <v>435</v>
      </c>
      <c r="AP423" s="5">
        <v>445.6</v>
      </c>
      <c r="AQ423" s="5">
        <v>472.6</v>
      </c>
      <c r="AR423" s="5">
        <v>462.5</v>
      </c>
      <c r="AS423" s="5">
        <v>463.9</v>
      </c>
      <c r="AT423" s="5">
        <v>457.8</v>
      </c>
      <c r="AU423" s="5">
        <v>502.8</v>
      </c>
      <c r="AV423" s="5">
        <v>504.6</v>
      </c>
      <c r="AW423" s="5">
        <v>518.29999999999995</v>
      </c>
      <c r="AX423" s="5">
        <v>511.5</v>
      </c>
      <c r="AY423" s="5">
        <v>516.29999999999995</v>
      </c>
      <c r="AZ423" s="5">
        <v>505.3</v>
      </c>
      <c r="BA423" s="5">
        <v>495.9</v>
      </c>
      <c r="BB423" s="5">
        <v>483.6</v>
      </c>
      <c r="BC423" s="5">
        <v>536.20000000000005</v>
      </c>
      <c r="BD423" s="5">
        <v>541.6</v>
      </c>
      <c r="BE423" s="5">
        <v>569.29999999999995</v>
      </c>
      <c r="BF423" s="5">
        <v>588.9</v>
      </c>
      <c r="BG423" s="5">
        <v>616.4</v>
      </c>
      <c r="BH423" s="5">
        <v>639.70000000000005</v>
      </c>
      <c r="BI423" s="5">
        <v>673.6</v>
      </c>
      <c r="BJ423" s="5">
        <v>688.4</v>
      </c>
      <c r="BK423" s="5">
        <v>771.4</v>
      </c>
      <c r="BL423" s="5">
        <v>1149.9000000000001</v>
      </c>
      <c r="BM423" s="5">
        <v>859.7</v>
      </c>
      <c r="BN423" s="5">
        <v>1167.4000000000001</v>
      </c>
      <c r="BO423" s="5">
        <v>995.7</v>
      </c>
      <c r="BP423" s="5">
        <v>1057.3</v>
      </c>
      <c r="BQ423" s="5">
        <v>1380.5</v>
      </c>
      <c r="BR423" s="5">
        <v>1304.7</v>
      </c>
      <c r="BS423" s="5">
        <v>1351.6</v>
      </c>
      <c r="BT423" s="5">
        <v>1599.1</v>
      </c>
      <c r="BU423" s="5">
        <v>1880.7</v>
      </c>
      <c r="BV423" s="5">
        <v>3187.2</v>
      </c>
      <c r="BW423" s="5">
        <v>2499.4</v>
      </c>
      <c r="BX423" s="5">
        <v>3229.6</v>
      </c>
      <c r="BY423" s="5">
        <v>2613.9</v>
      </c>
      <c r="BZ423" s="5">
        <v>2642.9</v>
      </c>
      <c r="CA423" s="5">
        <v>3777.6</v>
      </c>
      <c r="CB423" s="5">
        <v>4051.8</v>
      </c>
      <c r="CC423" s="5">
        <v>4101.8</v>
      </c>
      <c r="CD423" s="5">
        <v>4062.3</v>
      </c>
      <c r="CE423" s="5">
        <v>4642.7</v>
      </c>
      <c r="CF423" s="5">
        <v>4634.3</v>
      </c>
      <c r="CG423" s="5">
        <v>4804</v>
      </c>
      <c r="CH423" s="5">
        <v>5618.2</v>
      </c>
      <c r="CI423" s="5">
        <v>5940.7</v>
      </c>
      <c r="CJ423" s="5">
        <v>6621.1</v>
      </c>
      <c r="CK423" s="5">
        <v>6981.6</v>
      </c>
      <c r="CL423" s="5">
        <v>6967.3</v>
      </c>
      <c r="CM423" s="5">
        <v>7042.5</v>
      </c>
      <c r="CN423" s="5">
        <v>7168.1</v>
      </c>
      <c r="CO423" s="5">
        <v>7934.5</v>
      </c>
      <c r="CP423" s="5">
        <v>8030</v>
      </c>
      <c r="CQ423" s="5">
        <v>8714.2999999999993</v>
      </c>
      <c r="CR423" s="5">
        <v>9186.7000000000007</v>
      </c>
      <c r="CS423" s="5">
        <v>9482</v>
      </c>
      <c r="CT423" s="5">
        <v>9727.2000000000007</v>
      </c>
    </row>
    <row r="424" spans="1:98">
      <c r="A424" s="2" t="s">
        <v>520</v>
      </c>
      <c r="B424" s="3">
        <v>100</v>
      </c>
      <c r="C424" s="3">
        <v>107.9</v>
      </c>
      <c r="D424" s="3">
        <v>108.5</v>
      </c>
      <c r="E424" s="3">
        <v>108.8</v>
      </c>
      <c r="F424" s="3">
        <v>109.2</v>
      </c>
      <c r="G424" s="3">
        <v>124.6</v>
      </c>
      <c r="H424" s="3">
        <v>125.1</v>
      </c>
      <c r="I424" s="3">
        <v>126</v>
      </c>
      <c r="J424" s="3">
        <v>126</v>
      </c>
      <c r="K424" s="3">
        <v>139.4</v>
      </c>
      <c r="L424" s="3">
        <v>139.69999999999999</v>
      </c>
      <c r="M424" s="3">
        <v>139.30000000000001</v>
      </c>
      <c r="N424" s="3">
        <v>139.5</v>
      </c>
      <c r="O424" s="3">
        <v>191.9</v>
      </c>
      <c r="P424" s="3">
        <v>191.9</v>
      </c>
      <c r="Q424" s="3">
        <v>208</v>
      </c>
      <c r="R424" s="3">
        <v>213.8</v>
      </c>
      <c r="S424" s="3">
        <v>260.3</v>
      </c>
      <c r="T424" s="3">
        <v>260.7</v>
      </c>
      <c r="U424" s="3">
        <v>261.7</v>
      </c>
      <c r="V424" s="3">
        <v>262.60000000000002</v>
      </c>
      <c r="W424" s="3">
        <v>266</v>
      </c>
      <c r="X424" s="3">
        <v>273.8</v>
      </c>
      <c r="Y424" s="3">
        <v>438.3</v>
      </c>
      <c r="Z424" s="3">
        <v>438.4</v>
      </c>
      <c r="AA424" s="3">
        <v>457.6</v>
      </c>
      <c r="AB424" s="3">
        <v>458</v>
      </c>
      <c r="AC424" s="3">
        <v>458.7</v>
      </c>
      <c r="AD424" s="3">
        <v>511.5</v>
      </c>
      <c r="AE424" s="3">
        <v>574.70000000000005</v>
      </c>
      <c r="AF424" s="3">
        <v>575</v>
      </c>
      <c r="AG424" s="3">
        <v>548.4</v>
      </c>
      <c r="AH424" s="3">
        <v>551.70000000000005</v>
      </c>
      <c r="AI424" s="3">
        <v>559</v>
      </c>
      <c r="AJ424" s="3">
        <v>560.4</v>
      </c>
      <c r="AK424" s="3">
        <v>581.79999999999995</v>
      </c>
      <c r="AL424" s="3">
        <v>582.9</v>
      </c>
      <c r="AM424" s="3">
        <v>588.70000000000005</v>
      </c>
      <c r="AN424" s="3">
        <v>594</v>
      </c>
      <c r="AO424" s="3">
        <v>626.20000000000005</v>
      </c>
      <c r="AP424" s="3">
        <v>715.9</v>
      </c>
      <c r="AQ424" s="3">
        <v>727.8</v>
      </c>
      <c r="AR424" s="3">
        <v>729.5</v>
      </c>
      <c r="AS424" s="3">
        <v>762.4</v>
      </c>
      <c r="AT424" s="3">
        <v>764.3</v>
      </c>
      <c r="AU424" s="3">
        <v>798.7</v>
      </c>
      <c r="AV424" s="3">
        <v>800.2</v>
      </c>
      <c r="AW424" s="3">
        <v>851</v>
      </c>
      <c r="AX424" s="3">
        <v>852.4</v>
      </c>
      <c r="AY424" s="3">
        <v>862.1</v>
      </c>
      <c r="AZ424" s="3">
        <v>863</v>
      </c>
      <c r="BA424" s="3">
        <v>870.7</v>
      </c>
      <c r="BB424" s="3">
        <v>871.4</v>
      </c>
      <c r="BC424" s="3">
        <v>880.1</v>
      </c>
      <c r="BD424" s="3">
        <v>881.3</v>
      </c>
      <c r="BE424" s="3">
        <v>882.8</v>
      </c>
      <c r="BF424" s="3">
        <v>883.9</v>
      </c>
      <c r="BG424" s="3">
        <v>897.1</v>
      </c>
      <c r="BH424" s="3">
        <v>897.9</v>
      </c>
      <c r="BI424" s="3">
        <v>962.4</v>
      </c>
      <c r="BJ424" s="3">
        <v>983.3</v>
      </c>
      <c r="BK424" s="3">
        <v>1049.9000000000001</v>
      </c>
      <c r="BL424" s="3">
        <v>1243</v>
      </c>
      <c r="BM424" s="3">
        <v>1164.4000000000001</v>
      </c>
      <c r="BN424" s="3">
        <v>1252.5</v>
      </c>
      <c r="BO424" s="3">
        <v>1188</v>
      </c>
      <c r="BP424" s="3">
        <v>1224.7</v>
      </c>
      <c r="BQ424" s="3">
        <v>1418.2</v>
      </c>
      <c r="BR424" s="3">
        <v>1431.5</v>
      </c>
      <c r="BS424" s="3">
        <v>1518.7</v>
      </c>
      <c r="BT424" s="3">
        <v>1547.5</v>
      </c>
      <c r="BU424" s="3">
        <v>1916.3</v>
      </c>
      <c r="BV424" s="3">
        <v>2525.1999999999998</v>
      </c>
      <c r="BW424" s="3">
        <v>2310.1</v>
      </c>
      <c r="BX424" s="3">
        <v>2665.3</v>
      </c>
      <c r="BY424" s="3">
        <v>2392.3000000000002</v>
      </c>
      <c r="BZ424" s="3">
        <v>2478.5</v>
      </c>
      <c r="CA424" s="3">
        <v>2929.9</v>
      </c>
      <c r="CB424" s="3">
        <v>3171.3</v>
      </c>
      <c r="CC424" s="3">
        <v>3641.9</v>
      </c>
      <c r="CD424" s="3">
        <v>3875.3</v>
      </c>
      <c r="CE424" s="3">
        <v>4424.5</v>
      </c>
      <c r="CF424" s="3">
        <v>4436.8999999999996</v>
      </c>
      <c r="CG424" s="3">
        <v>5060.1000000000004</v>
      </c>
      <c r="CH424" s="3">
        <v>5216.5</v>
      </c>
      <c r="CI424" s="3">
        <v>5207.8</v>
      </c>
      <c r="CJ424" s="3">
        <v>5362.9</v>
      </c>
      <c r="CK424" s="3">
        <v>5860.1</v>
      </c>
      <c r="CL424" s="3">
        <v>6144.7</v>
      </c>
      <c r="CM424" s="3">
        <v>6250.7</v>
      </c>
      <c r="CN424" s="3">
        <v>6279.9</v>
      </c>
      <c r="CO424" s="3">
        <v>7055</v>
      </c>
      <c r="CP424" s="3">
        <v>7123.1</v>
      </c>
      <c r="CQ424" s="3">
        <v>7330.6</v>
      </c>
      <c r="CR424" s="3">
        <v>7399.6</v>
      </c>
      <c r="CS424" s="3">
        <v>7415.4</v>
      </c>
      <c r="CT424" s="3">
        <v>7432.6</v>
      </c>
    </row>
    <row r="425" spans="1:98">
      <c r="A425" s="4" t="s">
        <v>521</v>
      </c>
      <c r="B425" s="5">
        <v>100</v>
      </c>
      <c r="C425" s="5">
        <v>107.3</v>
      </c>
      <c r="D425" s="5">
        <v>111</v>
      </c>
      <c r="E425" s="5">
        <v>112.2</v>
      </c>
      <c r="F425" s="5">
        <v>124.6</v>
      </c>
      <c r="G425" s="5">
        <v>131.4</v>
      </c>
      <c r="H425" s="5">
        <v>135.30000000000001</v>
      </c>
      <c r="I425" s="5">
        <v>135.4</v>
      </c>
      <c r="J425" s="5">
        <v>135.4</v>
      </c>
      <c r="K425" s="5">
        <v>135.6</v>
      </c>
      <c r="L425" s="5">
        <v>135.69999999999999</v>
      </c>
      <c r="M425" s="5">
        <v>135.80000000000001</v>
      </c>
      <c r="N425" s="5">
        <v>135.80000000000001</v>
      </c>
      <c r="O425" s="5">
        <v>154.4</v>
      </c>
      <c r="P425" s="5">
        <v>154.4</v>
      </c>
      <c r="Q425" s="5">
        <v>155.80000000000001</v>
      </c>
      <c r="R425" s="5">
        <v>155.80000000000001</v>
      </c>
      <c r="S425" s="5">
        <v>159.9</v>
      </c>
      <c r="T425" s="5">
        <v>160</v>
      </c>
      <c r="U425" s="5">
        <v>160.19999999999999</v>
      </c>
      <c r="V425" s="5">
        <v>173</v>
      </c>
      <c r="W425" s="5">
        <v>173.8</v>
      </c>
      <c r="X425" s="5">
        <v>173.9</v>
      </c>
      <c r="Y425" s="5">
        <v>177.2</v>
      </c>
      <c r="Z425" s="5">
        <v>177.2</v>
      </c>
      <c r="AA425" s="5">
        <v>200.6</v>
      </c>
      <c r="AB425" s="5">
        <v>200.8</v>
      </c>
      <c r="AC425" s="5">
        <v>201</v>
      </c>
      <c r="AD425" s="5">
        <v>201.1</v>
      </c>
      <c r="AE425" s="5">
        <v>218.6</v>
      </c>
      <c r="AF425" s="5">
        <v>218.7</v>
      </c>
      <c r="AG425" s="5">
        <v>218.9</v>
      </c>
      <c r="AH425" s="5">
        <v>220.1</v>
      </c>
      <c r="AI425" s="5">
        <v>239.7</v>
      </c>
      <c r="AJ425" s="5">
        <v>242</v>
      </c>
      <c r="AK425" s="5">
        <v>242.5</v>
      </c>
      <c r="AL425" s="5">
        <v>243</v>
      </c>
      <c r="AM425" s="5">
        <v>276.60000000000002</v>
      </c>
      <c r="AN425" s="5">
        <v>277.39999999999998</v>
      </c>
      <c r="AO425" s="5">
        <v>290.60000000000002</v>
      </c>
      <c r="AP425" s="5">
        <v>305.5</v>
      </c>
      <c r="AQ425" s="5">
        <v>327.2</v>
      </c>
      <c r="AR425" s="5">
        <v>327.7</v>
      </c>
      <c r="AS425" s="5">
        <v>328.5</v>
      </c>
      <c r="AT425" s="5">
        <v>329.1</v>
      </c>
      <c r="AU425" s="5">
        <v>358.4</v>
      </c>
      <c r="AV425" s="5">
        <v>359</v>
      </c>
      <c r="AW425" s="5">
        <v>378.7</v>
      </c>
      <c r="AX425" s="5">
        <v>379.1</v>
      </c>
      <c r="AY425" s="5">
        <v>373.4</v>
      </c>
      <c r="AZ425" s="5">
        <v>373.8</v>
      </c>
      <c r="BA425" s="5">
        <v>403.1</v>
      </c>
      <c r="BB425" s="5">
        <v>403.3</v>
      </c>
      <c r="BC425" s="5">
        <v>434.3</v>
      </c>
      <c r="BD425" s="5">
        <v>434.7</v>
      </c>
      <c r="BE425" s="5">
        <v>426.6</v>
      </c>
      <c r="BF425" s="5">
        <v>431</v>
      </c>
      <c r="BG425" s="5">
        <v>469.9</v>
      </c>
      <c r="BH425" s="5">
        <v>473.5</v>
      </c>
      <c r="BI425" s="5">
        <v>506.8</v>
      </c>
      <c r="BJ425" s="5">
        <v>520.20000000000005</v>
      </c>
      <c r="BK425" s="5">
        <v>576.20000000000005</v>
      </c>
      <c r="BL425" s="5">
        <v>734.6</v>
      </c>
      <c r="BM425" s="5">
        <v>704.8</v>
      </c>
      <c r="BN425" s="5">
        <v>786</v>
      </c>
      <c r="BO425" s="5">
        <v>716.1</v>
      </c>
      <c r="BP425" s="5">
        <v>720</v>
      </c>
      <c r="BQ425" s="5">
        <v>826.3</v>
      </c>
      <c r="BR425" s="5">
        <v>829.6</v>
      </c>
      <c r="BS425" s="5">
        <v>951.3</v>
      </c>
      <c r="BT425" s="5">
        <v>973.1</v>
      </c>
      <c r="BU425" s="5">
        <v>1255.3</v>
      </c>
      <c r="BV425" s="5">
        <v>1633.2</v>
      </c>
      <c r="BW425" s="5">
        <v>1361.8</v>
      </c>
      <c r="BX425" s="5">
        <v>1639.3</v>
      </c>
      <c r="BY425" s="5">
        <v>1414.8</v>
      </c>
      <c r="BZ425" s="5">
        <v>1522.7</v>
      </c>
      <c r="CA425" s="5">
        <v>1888.5</v>
      </c>
      <c r="CB425" s="5">
        <v>1920.9</v>
      </c>
      <c r="CC425" s="5">
        <v>1828.8</v>
      </c>
      <c r="CD425" s="5">
        <v>1882.7</v>
      </c>
      <c r="CE425" s="5">
        <v>2346.1</v>
      </c>
      <c r="CF425" s="5">
        <v>2352.6</v>
      </c>
      <c r="CG425" s="5">
        <v>2905.9</v>
      </c>
      <c r="CH425" s="5">
        <v>3022.2</v>
      </c>
      <c r="CI425" s="5">
        <v>3022.4</v>
      </c>
      <c r="CJ425" s="5">
        <v>3022.7</v>
      </c>
      <c r="CK425" s="5">
        <v>3682</v>
      </c>
      <c r="CL425" s="5">
        <v>3740.8</v>
      </c>
      <c r="CM425" s="5">
        <v>4064.4</v>
      </c>
      <c r="CN425" s="5">
        <v>4239.6000000000004</v>
      </c>
      <c r="CO425" s="5">
        <v>4754.5</v>
      </c>
      <c r="CP425" s="5">
        <v>4774.3999999999996</v>
      </c>
      <c r="CQ425" s="5">
        <v>4788.8</v>
      </c>
      <c r="CR425" s="5">
        <v>4807</v>
      </c>
      <c r="CS425" s="5">
        <v>4814.1000000000004</v>
      </c>
      <c r="CT425" s="5">
        <v>4819.6000000000004</v>
      </c>
    </row>
    <row r="426" spans="1:98">
      <c r="A426" s="2" t="s">
        <v>522</v>
      </c>
      <c r="B426" s="3">
        <v>100</v>
      </c>
      <c r="C426" s="3">
        <v>105.3</v>
      </c>
      <c r="D426" s="3">
        <v>105.5</v>
      </c>
      <c r="E426" s="3">
        <v>105.7</v>
      </c>
      <c r="F426" s="3">
        <v>105.9</v>
      </c>
      <c r="G426" s="3">
        <v>108.3</v>
      </c>
      <c r="H426" s="3">
        <v>111.7</v>
      </c>
      <c r="I426" s="3">
        <v>112.2</v>
      </c>
      <c r="J426" s="3">
        <v>112.1</v>
      </c>
      <c r="K426" s="3">
        <v>119.8</v>
      </c>
      <c r="L426" s="3">
        <v>121.9</v>
      </c>
      <c r="M426" s="3">
        <v>122.9</v>
      </c>
      <c r="N426" s="3">
        <v>122.9</v>
      </c>
      <c r="O426" s="3">
        <v>136.69999999999999</v>
      </c>
      <c r="P426" s="3">
        <v>138</v>
      </c>
      <c r="Q426" s="3">
        <v>144.19999999999999</v>
      </c>
      <c r="R426" s="3">
        <v>148</v>
      </c>
      <c r="S426" s="3">
        <v>156</v>
      </c>
      <c r="T426" s="3">
        <v>163.69999999999999</v>
      </c>
      <c r="U426" s="3">
        <v>170</v>
      </c>
      <c r="V426" s="3">
        <v>176.6</v>
      </c>
      <c r="W426" s="3">
        <v>192.7</v>
      </c>
      <c r="X426" s="3">
        <v>192.8</v>
      </c>
      <c r="Y426" s="3">
        <v>193</v>
      </c>
      <c r="Z426" s="3">
        <v>193.1</v>
      </c>
      <c r="AA426" s="3">
        <v>205.4</v>
      </c>
      <c r="AB426" s="3">
        <v>226.8</v>
      </c>
      <c r="AC426" s="3">
        <v>227</v>
      </c>
      <c r="AD426" s="3">
        <v>227.2</v>
      </c>
      <c r="AE426" s="3">
        <v>238.9</v>
      </c>
      <c r="AF426" s="3">
        <v>239</v>
      </c>
      <c r="AG426" s="3">
        <v>239.3</v>
      </c>
      <c r="AH426" s="3">
        <v>240.5</v>
      </c>
      <c r="AI426" s="3">
        <v>263.89999999999998</v>
      </c>
      <c r="AJ426" s="3">
        <v>264.39999999999998</v>
      </c>
      <c r="AK426" s="3">
        <v>264.8</v>
      </c>
      <c r="AL426" s="3">
        <v>265.3</v>
      </c>
      <c r="AM426" s="3">
        <v>333.5</v>
      </c>
      <c r="AN426" s="3">
        <v>366</v>
      </c>
      <c r="AO426" s="3">
        <v>522.4</v>
      </c>
      <c r="AP426" s="3">
        <v>523</v>
      </c>
      <c r="AQ426" s="3">
        <v>546.20000000000005</v>
      </c>
      <c r="AR426" s="3">
        <v>546.79999999999995</v>
      </c>
      <c r="AS426" s="3">
        <v>548</v>
      </c>
      <c r="AT426" s="3">
        <v>548.79999999999995</v>
      </c>
      <c r="AU426" s="3">
        <v>577.70000000000005</v>
      </c>
      <c r="AV426" s="3">
        <v>578.4</v>
      </c>
      <c r="AW426" s="3">
        <v>573.29999999999995</v>
      </c>
      <c r="AX426" s="3">
        <v>573.79999999999995</v>
      </c>
      <c r="AY426" s="3">
        <v>595.4</v>
      </c>
      <c r="AZ426" s="3">
        <v>595.79999999999995</v>
      </c>
      <c r="BA426" s="3">
        <v>606.4</v>
      </c>
      <c r="BB426" s="3">
        <v>606.70000000000005</v>
      </c>
      <c r="BC426" s="3">
        <v>610.1</v>
      </c>
      <c r="BD426" s="3">
        <v>610.5</v>
      </c>
      <c r="BE426" s="3">
        <v>610.9</v>
      </c>
      <c r="BF426" s="3">
        <v>611.29999999999995</v>
      </c>
      <c r="BG426" s="3">
        <v>657.5</v>
      </c>
      <c r="BH426" s="3">
        <v>657.9</v>
      </c>
      <c r="BI426" s="3">
        <v>658.6</v>
      </c>
      <c r="BJ426" s="3">
        <v>659.1</v>
      </c>
      <c r="BK426" s="3">
        <v>769.3</v>
      </c>
      <c r="BL426" s="3">
        <v>1188</v>
      </c>
      <c r="BM426" s="3">
        <v>890.3</v>
      </c>
      <c r="BN426" s="3">
        <v>1190.0999999999999</v>
      </c>
      <c r="BO426" s="3">
        <v>1068.2</v>
      </c>
      <c r="BP426" s="3">
        <v>1186.8</v>
      </c>
      <c r="BQ426" s="3">
        <v>1457.5</v>
      </c>
      <c r="BR426" s="3">
        <v>1461.4</v>
      </c>
      <c r="BS426" s="3">
        <v>1562.5</v>
      </c>
      <c r="BT426" s="3">
        <v>1564.9</v>
      </c>
      <c r="BU426" s="3">
        <v>1997.6</v>
      </c>
      <c r="BV426" s="3">
        <v>2776.4</v>
      </c>
      <c r="BW426" s="3">
        <v>2112.5</v>
      </c>
      <c r="BX426" s="3">
        <v>2783.5</v>
      </c>
      <c r="BY426" s="3">
        <v>2290.5</v>
      </c>
      <c r="BZ426" s="3">
        <v>2411.4</v>
      </c>
      <c r="CA426" s="3">
        <v>2960.1</v>
      </c>
      <c r="CB426" s="3">
        <v>3237.3</v>
      </c>
      <c r="CC426" s="3">
        <v>3552.2</v>
      </c>
      <c r="CD426" s="3">
        <v>3554.8</v>
      </c>
      <c r="CE426" s="3">
        <v>4197.7</v>
      </c>
      <c r="CF426" s="3">
        <v>4357.6000000000004</v>
      </c>
      <c r="CG426" s="3">
        <v>4446.7</v>
      </c>
      <c r="CH426" s="3">
        <v>5376.7</v>
      </c>
      <c r="CI426" s="3">
        <v>5376.8</v>
      </c>
      <c r="CJ426" s="3">
        <v>5376.9</v>
      </c>
      <c r="CK426" s="3">
        <v>6257.9</v>
      </c>
      <c r="CL426" s="3">
        <v>6272.5</v>
      </c>
      <c r="CM426" s="3">
        <v>6282.9</v>
      </c>
      <c r="CN426" s="3">
        <v>6618.6</v>
      </c>
      <c r="CO426" s="3">
        <v>7732.8</v>
      </c>
      <c r="CP426" s="3">
        <v>8095.9</v>
      </c>
      <c r="CQ426" s="3">
        <v>8676.1</v>
      </c>
      <c r="CR426" s="3">
        <v>10079.5</v>
      </c>
      <c r="CS426" s="3">
        <v>10085.799999999999</v>
      </c>
      <c r="CT426" s="3">
        <v>10242.299999999999</v>
      </c>
    </row>
    <row r="427" spans="1:98">
      <c r="A427" s="4" t="s">
        <v>523</v>
      </c>
      <c r="B427" s="5">
        <v>100</v>
      </c>
      <c r="C427" s="5">
        <v>101.7</v>
      </c>
      <c r="D427" s="5">
        <v>102</v>
      </c>
      <c r="E427" s="5">
        <v>102.1</v>
      </c>
      <c r="F427" s="5">
        <v>105.4</v>
      </c>
      <c r="G427" s="5">
        <v>117</v>
      </c>
      <c r="H427" s="5">
        <v>117.5</v>
      </c>
      <c r="I427" s="5">
        <v>121.7</v>
      </c>
      <c r="J427" s="5">
        <v>131.19999999999999</v>
      </c>
      <c r="K427" s="5">
        <v>126</v>
      </c>
      <c r="L427" s="5">
        <v>126.1</v>
      </c>
      <c r="M427" s="5">
        <v>130.6</v>
      </c>
      <c r="N427" s="5">
        <v>133.69999999999999</v>
      </c>
      <c r="O427" s="5">
        <v>133.69999999999999</v>
      </c>
      <c r="P427" s="5">
        <v>133.69999999999999</v>
      </c>
      <c r="Q427" s="5">
        <v>134.6</v>
      </c>
      <c r="R427" s="5">
        <v>137.1</v>
      </c>
      <c r="S427" s="5">
        <v>163.6</v>
      </c>
      <c r="T427" s="5">
        <v>167.3</v>
      </c>
      <c r="U427" s="5">
        <v>175.1</v>
      </c>
      <c r="V427" s="5">
        <v>175.3</v>
      </c>
      <c r="W427" s="5">
        <v>189.8</v>
      </c>
      <c r="X427" s="5">
        <v>190</v>
      </c>
      <c r="Y427" s="5">
        <v>190.1</v>
      </c>
      <c r="Z427" s="5">
        <v>190.1</v>
      </c>
      <c r="AA427" s="5">
        <v>191</v>
      </c>
      <c r="AB427" s="5">
        <v>185.9</v>
      </c>
      <c r="AC427" s="5">
        <v>162.4</v>
      </c>
      <c r="AD427" s="5">
        <v>162.5</v>
      </c>
      <c r="AE427" s="5">
        <v>163.5</v>
      </c>
      <c r="AF427" s="5">
        <v>170.7</v>
      </c>
      <c r="AG427" s="5">
        <v>170.8</v>
      </c>
      <c r="AH427" s="5">
        <v>172.4</v>
      </c>
      <c r="AI427" s="5">
        <v>174.9</v>
      </c>
      <c r="AJ427" s="5">
        <v>175.3</v>
      </c>
      <c r="AK427" s="5">
        <v>189.1</v>
      </c>
      <c r="AL427" s="5">
        <v>189.7</v>
      </c>
      <c r="AM427" s="5">
        <v>241.6</v>
      </c>
      <c r="AN427" s="5">
        <v>264.5</v>
      </c>
      <c r="AO427" s="5">
        <v>354</v>
      </c>
      <c r="AP427" s="5">
        <v>412.1</v>
      </c>
      <c r="AQ427" s="5">
        <v>369.5</v>
      </c>
      <c r="AR427" s="5">
        <v>370.1</v>
      </c>
      <c r="AS427" s="5">
        <v>370.9</v>
      </c>
      <c r="AT427" s="5">
        <v>371.6</v>
      </c>
      <c r="AU427" s="5">
        <v>383.5</v>
      </c>
      <c r="AV427" s="5">
        <v>384.2</v>
      </c>
      <c r="AW427" s="5">
        <v>445.4</v>
      </c>
      <c r="AX427" s="5">
        <v>445.8</v>
      </c>
      <c r="AY427" s="5">
        <v>415.7</v>
      </c>
      <c r="AZ427" s="5">
        <v>416</v>
      </c>
      <c r="BA427" s="5">
        <v>416.5</v>
      </c>
      <c r="BB427" s="5">
        <v>416.7</v>
      </c>
      <c r="BC427" s="5">
        <v>439.9</v>
      </c>
      <c r="BD427" s="5">
        <v>440.4</v>
      </c>
      <c r="BE427" s="5">
        <v>420.1</v>
      </c>
      <c r="BF427" s="5">
        <v>420.4</v>
      </c>
      <c r="BG427" s="5">
        <v>438.7</v>
      </c>
      <c r="BH427" s="5">
        <v>458.1</v>
      </c>
      <c r="BI427" s="5">
        <v>450.8</v>
      </c>
      <c r="BJ427" s="5">
        <v>451.2</v>
      </c>
      <c r="BK427" s="5">
        <v>506.9</v>
      </c>
      <c r="BL427" s="5">
        <v>720.2</v>
      </c>
      <c r="BM427" s="5">
        <v>551.6</v>
      </c>
      <c r="BN427" s="5">
        <v>764.1</v>
      </c>
      <c r="BO427" s="5">
        <v>553.6</v>
      </c>
      <c r="BP427" s="5">
        <v>554.4</v>
      </c>
      <c r="BQ427" s="5">
        <v>845.8</v>
      </c>
      <c r="BR427" s="5">
        <v>884.4</v>
      </c>
      <c r="BS427" s="5">
        <v>888.5</v>
      </c>
      <c r="BT427" s="5">
        <v>891.4</v>
      </c>
      <c r="BU427" s="5">
        <v>1087.5</v>
      </c>
      <c r="BV427" s="5">
        <v>1379.1</v>
      </c>
      <c r="BW427" s="5">
        <v>1101.9000000000001</v>
      </c>
      <c r="BX427" s="5">
        <v>1559.4</v>
      </c>
      <c r="BY427" s="5">
        <v>1168.4000000000001</v>
      </c>
      <c r="BZ427" s="5">
        <v>1173.9000000000001</v>
      </c>
      <c r="CA427" s="5">
        <v>1805.1</v>
      </c>
      <c r="CB427" s="5">
        <v>1820.1</v>
      </c>
      <c r="CC427" s="5">
        <v>1830.5</v>
      </c>
      <c r="CD427" s="5">
        <v>1850.2</v>
      </c>
      <c r="CE427" s="5">
        <v>2034.3</v>
      </c>
      <c r="CF427" s="5">
        <v>2042.4</v>
      </c>
      <c r="CG427" s="5">
        <v>2062.6999999999998</v>
      </c>
      <c r="CH427" s="5">
        <v>2077.9</v>
      </c>
      <c r="CI427" s="5">
        <v>2078.3000000000002</v>
      </c>
      <c r="CJ427" s="5">
        <v>2078.6999999999998</v>
      </c>
      <c r="CK427" s="5">
        <v>2463.5</v>
      </c>
      <c r="CL427" s="5">
        <v>2481.8000000000002</v>
      </c>
      <c r="CM427" s="5">
        <v>2489.6</v>
      </c>
      <c r="CN427" s="5">
        <v>2834.3</v>
      </c>
      <c r="CO427" s="5">
        <v>2928.4</v>
      </c>
      <c r="CP427" s="5">
        <v>2952.3</v>
      </c>
      <c r="CQ427" s="5">
        <v>3222.5</v>
      </c>
      <c r="CR427" s="5">
        <v>3533.9</v>
      </c>
      <c r="CS427" s="5">
        <v>3623.6</v>
      </c>
      <c r="CT427" s="5">
        <v>3988.2</v>
      </c>
    </row>
    <row r="428" spans="1:98">
      <c r="A428" s="2" t="s">
        <v>524</v>
      </c>
      <c r="B428" s="3">
        <v>100</v>
      </c>
      <c r="C428" s="3">
        <v>134</v>
      </c>
      <c r="D428" s="3">
        <v>134.6</v>
      </c>
      <c r="E428" s="3">
        <v>134.80000000000001</v>
      </c>
      <c r="F428" s="3">
        <v>135.1</v>
      </c>
      <c r="G428" s="3">
        <v>143.6</v>
      </c>
      <c r="H428" s="3">
        <v>144.1</v>
      </c>
      <c r="I428" s="3">
        <v>144.4</v>
      </c>
      <c r="J428" s="3">
        <v>144.4</v>
      </c>
      <c r="K428" s="3">
        <v>151.30000000000001</v>
      </c>
      <c r="L428" s="3">
        <v>151.5</v>
      </c>
      <c r="M428" s="3">
        <v>152.19999999999999</v>
      </c>
      <c r="N428" s="3">
        <v>152.30000000000001</v>
      </c>
      <c r="O428" s="3">
        <v>158.1</v>
      </c>
      <c r="P428" s="3">
        <v>158.1</v>
      </c>
      <c r="Q428" s="3">
        <v>163.6</v>
      </c>
      <c r="R428" s="3">
        <v>170.3</v>
      </c>
      <c r="S428" s="3">
        <v>199.8</v>
      </c>
      <c r="T428" s="3">
        <v>200.1</v>
      </c>
      <c r="U428" s="3">
        <v>200.7</v>
      </c>
      <c r="V428" s="3">
        <v>201.3</v>
      </c>
      <c r="W428" s="3">
        <v>203</v>
      </c>
      <c r="X428" s="3">
        <v>203.4</v>
      </c>
      <c r="Y428" s="3">
        <v>203.1</v>
      </c>
      <c r="Z428" s="3">
        <v>203.1</v>
      </c>
      <c r="AA428" s="3">
        <v>203.9</v>
      </c>
      <c r="AB428" s="3">
        <v>204.2</v>
      </c>
      <c r="AC428" s="3">
        <v>204.4</v>
      </c>
      <c r="AD428" s="3">
        <v>204.5</v>
      </c>
      <c r="AE428" s="3">
        <v>209.1</v>
      </c>
      <c r="AF428" s="3">
        <v>209.7</v>
      </c>
      <c r="AG428" s="3">
        <v>210.7</v>
      </c>
      <c r="AH428" s="3">
        <v>216.1</v>
      </c>
      <c r="AI428" s="3">
        <v>221.2</v>
      </c>
      <c r="AJ428" s="3">
        <v>223.1</v>
      </c>
      <c r="AK428" s="3">
        <v>224.9</v>
      </c>
      <c r="AL428" s="3">
        <v>269.2</v>
      </c>
      <c r="AM428" s="3">
        <v>317.8</v>
      </c>
      <c r="AN428" s="3">
        <v>356</v>
      </c>
      <c r="AO428" s="3">
        <v>451.3</v>
      </c>
      <c r="AP428" s="3">
        <v>478.8</v>
      </c>
      <c r="AQ428" s="3">
        <v>530</v>
      </c>
      <c r="AR428" s="3">
        <v>532.5</v>
      </c>
      <c r="AS428" s="3">
        <v>536.20000000000005</v>
      </c>
      <c r="AT428" s="3">
        <v>539.4</v>
      </c>
      <c r="AU428" s="3">
        <v>600</v>
      </c>
      <c r="AV428" s="3">
        <v>602.9</v>
      </c>
      <c r="AW428" s="3">
        <v>605.79999999999995</v>
      </c>
      <c r="AX428" s="3">
        <v>607.5</v>
      </c>
      <c r="AY428" s="3">
        <v>621.1</v>
      </c>
      <c r="AZ428" s="3">
        <v>623.1</v>
      </c>
      <c r="BA428" s="3">
        <v>625.29999999999995</v>
      </c>
      <c r="BB428" s="3">
        <v>626.4</v>
      </c>
      <c r="BC428" s="3">
        <v>639.20000000000005</v>
      </c>
      <c r="BD428" s="3">
        <v>641.29999999999995</v>
      </c>
      <c r="BE428" s="3">
        <v>665.2</v>
      </c>
      <c r="BF428" s="3">
        <v>671.1</v>
      </c>
      <c r="BG428" s="3">
        <v>734.2</v>
      </c>
      <c r="BH428" s="3">
        <v>760.2</v>
      </c>
      <c r="BI428" s="3">
        <v>786.9</v>
      </c>
      <c r="BJ428" s="3">
        <v>812.5</v>
      </c>
      <c r="BK428" s="3">
        <v>932.9</v>
      </c>
      <c r="BL428" s="3">
        <v>1524.3</v>
      </c>
      <c r="BM428" s="3">
        <v>1213.0999999999999</v>
      </c>
      <c r="BN428" s="3">
        <v>1534.8</v>
      </c>
      <c r="BO428" s="3">
        <v>1338.1</v>
      </c>
      <c r="BP428" s="3">
        <v>1518.4</v>
      </c>
      <c r="BQ428" s="3">
        <v>1778.3</v>
      </c>
      <c r="BR428" s="3">
        <v>1644.5</v>
      </c>
      <c r="BS428" s="3">
        <v>1872.4</v>
      </c>
      <c r="BT428" s="3">
        <v>2007.1</v>
      </c>
      <c r="BU428" s="3">
        <v>2224.9</v>
      </c>
      <c r="BV428" s="3">
        <v>3926.2</v>
      </c>
      <c r="BW428" s="3">
        <v>2626.5</v>
      </c>
      <c r="BX428" s="3">
        <v>3776</v>
      </c>
      <c r="BY428" s="3">
        <v>2902.4</v>
      </c>
      <c r="BZ428" s="3">
        <v>3397.8</v>
      </c>
      <c r="CA428" s="3">
        <v>4158.7</v>
      </c>
      <c r="CB428" s="3">
        <v>4216.8</v>
      </c>
      <c r="CC428" s="3">
        <v>4262</v>
      </c>
      <c r="CD428" s="3">
        <v>4312.1000000000004</v>
      </c>
      <c r="CE428" s="3">
        <v>4903</v>
      </c>
      <c r="CF428" s="3">
        <v>5172.6000000000004</v>
      </c>
      <c r="CG428" s="3">
        <v>5279.9</v>
      </c>
      <c r="CH428" s="3">
        <v>5750.9</v>
      </c>
      <c r="CI428" s="3">
        <v>5752.5</v>
      </c>
      <c r="CJ428" s="3">
        <v>5753.8</v>
      </c>
      <c r="CK428" s="3">
        <v>6047.8</v>
      </c>
      <c r="CL428" s="3">
        <v>6121.3</v>
      </c>
      <c r="CM428" s="3">
        <v>7241.3</v>
      </c>
      <c r="CN428" s="3">
        <v>7281.3</v>
      </c>
      <c r="CO428" s="3">
        <v>8676.2999999999993</v>
      </c>
      <c r="CP428" s="3">
        <v>8425.4</v>
      </c>
      <c r="CQ428" s="3">
        <v>9045.4</v>
      </c>
      <c r="CR428" s="3">
        <v>10139.6</v>
      </c>
      <c r="CS428" s="3">
        <v>10178.700000000001</v>
      </c>
      <c r="CT428" s="3">
        <v>10206.5</v>
      </c>
    </row>
    <row r="429" spans="1:98">
      <c r="A429" s="4" t="s">
        <v>525</v>
      </c>
      <c r="B429" s="5">
        <v>100</v>
      </c>
      <c r="C429" s="5">
        <v>101</v>
      </c>
      <c r="D429" s="5">
        <v>101.4</v>
      </c>
      <c r="E429" s="5">
        <v>101.6</v>
      </c>
      <c r="F429" s="5">
        <v>101.8</v>
      </c>
      <c r="G429" s="5">
        <v>110.2</v>
      </c>
      <c r="H429" s="5">
        <v>114.6</v>
      </c>
      <c r="I429" s="5">
        <v>117.1</v>
      </c>
      <c r="J429" s="5">
        <v>117.1</v>
      </c>
      <c r="K429" s="5">
        <v>122.5</v>
      </c>
      <c r="L429" s="5">
        <v>122.7</v>
      </c>
      <c r="M429" s="5">
        <v>123</v>
      </c>
      <c r="N429" s="5">
        <v>123.1</v>
      </c>
      <c r="O429" s="5">
        <v>136.69999999999999</v>
      </c>
      <c r="P429" s="5">
        <v>147.4</v>
      </c>
      <c r="Q429" s="5">
        <v>151.4</v>
      </c>
      <c r="R429" s="5">
        <v>154.9</v>
      </c>
      <c r="S429" s="5">
        <v>167.3</v>
      </c>
      <c r="T429" s="5">
        <v>172.3</v>
      </c>
      <c r="U429" s="5">
        <v>178.8</v>
      </c>
      <c r="V429" s="5">
        <v>180.1</v>
      </c>
      <c r="W429" s="5">
        <v>208.9</v>
      </c>
      <c r="X429" s="5">
        <v>210</v>
      </c>
      <c r="Y429" s="5">
        <v>216.1</v>
      </c>
      <c r="Z429" s="5">
        <v>216.2</v>
      </c>
      <c r="AA429" s="5">
        <v>217.7</v>
      </c>
      <c r="AB429" s="5">
        <v>217.9</v>
      </c>
      <c r="AC429" s="5">
        <v>218.4</v>
      </c>
      <c r="AD429" s="5">
        <v>223.9</v>
      </c>
      <c r="AE429" s="5">
        <v>226.4</v>
      </c>
      <c r="AF429" s="5">
        <v>231</v>
      </c>
      <c r="AG429" s="5">
        <v>235.8</v>
      </c>
      <c r="AH429" s="5">
        <v>239.1</v>
      </c>
      <c r="AI429" s="5">
        <v>255.1</v>
      </c>
      <c r="AJ429" s="5">
        <v>255.7</v>
      </c>
      <c r="AK429" s="5">
        <v>255.5</v>
      </c>
      <c r="AL429" s="5">
        <v>256.3</v>
      </c>
      <c r="AM429" s="5">
        <v>295.60000000000002</v>
      </c>
      <c r="AN429" s="5">
        <v>306.3</v>
      </c>
      <c r="AO429" s="5">
        <v>344.5</v>
      </c>
      <c r="AP429" s="5">
        <v>346.4</v>
      </c>
      <c r="AQ429" s="5">
        <v>372</v>
      </c>
      <c r="AR429" s="5">
        <v>383</v>
      </c>
      <c r="AS429" s="5">
        <v>426.3</v>
      </c>
      <c r="AT429" s="5">
        <v>427.7</v>
      </c>
      <c r="AU429" s="5">
        <v>452.9</v>
      </c>
      <c r="AV429" s="5">
        <v>454</v>
      </c>
      <c r="AW429" s="5">
        <v>464.6</v>
      </c>
      <c r="AX429" s="5">
        <v>465.5</v>
      </c>
      <c r="AY429" s="5">
        <v>500.9</v>
      </c>
      <c r="AZ429" s="5">
        <v>501.6</v>
      </c>
      <c r="BA429" s="5">
        <v>501.9</v>
      </c>
      <c r="BB429" s="5">
        <v>502.4</v>
      </c>
      <c r="BC429" s="5">
        <v>520.29999999999995</v>
      </c>
      <c r="BD429" s="5">
        <v>521</v>
      </c>
      <c r="BE429" s="5">
        <v>528</v>
      </c>
      <c r="BF429" s="5">
        <v>530.20000000000005</v>
      </c>
      <c r="BG429" s="5">
        <v>548.4</v>
      </c>
      <c r="BH429" s="5">
        <v>549</v>
      </c>
      <c r="BI429" s="5">
        <v>574</v>
      </c>
      <c r="BJ429" s="5">
        <v>574.79999999999995</v>
      </c>
      <c r="BK429" s="5">
        <v>630.5</v>
      </c>
      <c r="BL429" s="5">
        <v>891.9</v>
      </c>
      <c r="BM429" s="5">
        <v>677.6</v>
      </c>
      <c r="BN429" s="5">
        <v>895.5</v>
      </c>
      <c r="BO429" s="5">
        <v>714.1</v>
      </c>
      <c r="BP429" s="5">
        <v>736.9</v>
      </c>
      <c r="BQ429" s="5">
        <v>1128.5</v>
      </c>
      <c r="BR429" s="5">
        <v>1098.9000000000001</v>
      </c>
      <c r="BS429" s="5">
        <v>1193.2</v>
      </c>
      <c r="BT429" s="5">
        <v>1208.2</v>
      </c>
      <c r="BU429" s="5">
        <v>1475.3</v>
      </c>
      <c r="BV429" s="5">
        <v>2421.6999999999998</v>
      </c>
      <c r="BW429" s="5">
        <v>1747.2</v>
      </c>
      <c r="BX429" s="5">
        <v>2433.4</v>
      </c>
      <c r="BY429" s="5">
        <v>1860.1</v>
      </c>
      <c r="BZ429" s="5">
        <v>1902.5</v>
      </c>
      <c r="CA429" s="5">
        <v>3057.2</v>
      </c>
      <c r="CB429" s="5">
        <v>3171.3</v>
      </c>
      <c r="CC429" s="5">
        <v>3221.6</v>
      </c>
      <c r="CD429" s="5">
        <v>3336.1</v>
      </c>
      <c r="CE429" s="5">
        <v>4047.7</v>
      </c>
      <c r="CF429" s="5">
        <v>4079.8</v>
      </c>
      <c r="CG429" s="5">
        <v>4420.2</v>
      </c>
      <c r="CH429" s="5">
        <v>4794.3999999999996</v>
      </c>
      <c r="CI429" s="5">
        <v>4795</v>
      </c>
      <c r="CJ429" s="5">
        <v>4795.8</v>
      </c>
      <c r="CK429" s="5">
        <v>5220.2</v>
      </c>
      <c r="CL429" s="5">
        <v>5430.6</v>
      </c>
      <c r="CM429" s="5">
        <v>5472.1</v>
      </c>
      <c r="CN429" s="5">
        <v>5489.9</v>
      </c>
      <c r="CO429" s="5">
        <v>6138.6</v>
      </c>
      <c r="CP429" s="5">
        <v>6186.2</v>
      </c>
      <c r="CQ429" s="5">
        <v>6267.3</v>
      </c>
      <c r="CR429" s="5">
        <v>6596.9</v>
      </c>
      <c r="CS429" s="5">
        <v>6677.1</v>
      </c>
      <c r="CT429" s="5">
        <v>6686.9</v>
      </c>
    </row>
    <row r="430" spans="1:98">
      <c r="A430" s="2" t="s">
        <v>526</v>
      </c>
      <c r="B430" s="3">
        <v>100</v>
      </c>
      <c r="C430" s="3">
        <v>108.6</v>
      </c>
      <c r="D430" s="3">
        <v>109.8</v>
      </c>
      <c r="E430" s="3">
        <v>110.5</v>
      </c>
      <c r="F430" s="3">
        <v>111.1</v>
      </c>
      <c r="G430" s="3">
        <v>106.1</v>
      </c>
      <c r="H430" s="3">
        <v>107.2</v>
      </c>
      <c r="I430" s="3">
        <v>109.6</v>
      </c>
      <c r="J430" s="3">
        <v>109.6</v>
      </c>
      <c r="K430" s="3">
        <v>116.7</v>
      </c>
      <c r="L430" s="3">
        <v>117.1</v>
      </c>
      <c r="M430" s="3">
        <v>117.1</v>
      </c>
      <c r="N430" s="3">
        <v>117.4</v>
      </c>
      <c r="O430" s="3">
        <v>125.7</v>
      </c>
      <c r="P430" s="3">
        <v>125.7</v>
      </c>
      <c r="Q430" s="3">
        <v>129.9</v>
      </c>
      <c r="R430" s="3">
        <v>130.1</v>
      </c>
      <c r="S430" s="3">
        <v>149.6</v>
      </c>
      <c r="T430" s="3">
        <v>150.4</v>
      </c>
      <c r="U430" s="3">
        <v>153.1</v>
      </c>
      <c r="V430" s="3">
        <v>156.80000000000001</v>
      </c>
      <c r="W430" s="3">
        <v>166.1</v>
      </c>
      <c r="X430" s="3">
        <v>166.8</v>
      </c>
      <c r="Y430" s="3">
        <v>172.8</v>
      </c>
      <c r="Z430" s="3">
        <v>171.8</v>
      </c>
      <c r="AA430" s="3">
        <v>181</v>
      </c>
      <c r="AB430" s="3">
        <v>184.3</v>
      </c>
      <c r="AC430" s="3">
        <v>185.4</v>
      </c>
      <c r="AD430" s="3">
        <v>185.6</v>
      </c>
      <c r="AE430" s="3">
        <v>183.7</v>
      </c>
      <c r="AF430" s="3">
        <v>181.5</v>
      </c>
      <c r="AG430" s="3">
        <v>182.1</v>
      </c>
      <c r="AH430" s="3">
        <v>185.1</v>
      </c>
      <c r="AI430" s="3">
        <v>209</v>
      </c>
      <c r="AJ430" s="3">
        <v>212.6</v>
      </c>
      <c r="AK430" s="3">
        <v>215.8</v>
      </c>
      <c r="AL430" s="3">
        <v>217.2</v>
      </c>
      <c r="AM430" s="3">
        <v>252.1</v>
      </c>
      <c r="AN430" s="3">
        <v>261.3</v>
      </c>
      <c r="AO430" s="3">
        <v>311.89999999999998</v>
      </c>
      <c r="AP430" s="3">
        <v>313.5</v>
      </c>
      <c r="AQ430" s="3">
        <v>330</v>
      </c>
      <c r="AR430" s="3">
        <v>331.3</v>
      </c>
      <c r="AS430" s="3">
        <v>332.7</v>
      </c>
      <c r="AT430" s="3">
        <v>335.1</v>
      </c>
      <c r="AU430" s="3">
        <v>349.8</v>
      </c>
      <c r="AV430" s="3">
        <v>351.9</v>
      </c>
      <c r="AW430" s="3">
        <v>355.1</v>
      </c>
      <c r="AX430" s="3">
        <v>356.5</v>
      </c>
      <c r="AY430" s="3">
        <v>366.9</v>
      </c>
      <c r="AZ430" s="3">
        <v>368.1</v>
      </c>
      <c r="BA430" s="3">
        <v>369.4</v>
      </c>
      <c r="BB430" s="3">
        <v>370.2</v>
      </c>
      <c r="BC430" s="3">
        <v>381.1</v>
      </c>
      <c r="BD430" s="3">
        <v>382.4</v>
      </c>
      <c r="BE430" s="3">
        <v>386.9</v>
      </c>
      <c r="BF430" s="3">
        <v>388</v>
      </c>
      <c r="BG430" s="3">
        <v>414</v>
      </c>
      <c r="BH430" s="3">
        <v>424.1</v>
      </c>
      <c r="BI430" s="3">
        <v>435.6</v>
      </c>
      <c r="BJ430" s="3">
        <v>437.5</v>
      </c>
      <c r="BK430" s="3">
        <v>489.1</v>
      </c>
      <c r="BL430" s="3">
        <v>543.9</v>
      </c>
      <c r="BM430" s="3">
        <v>513.4</v>
      </c>
      <c r="BN430" s="3">
        <v>549.4</v>
      </c>
      <c r="BO430" s="3">
        <v>531.20000000000005</v>
      </c>
      <c r="BP430" s="3">
        <v>538.5</v>
      </c>
      <c r="BQ430" s="3">
        <v>603.70000000000005</v>
      </c>
      <c r="BR430" s="3">
        <v>612.79999999999995</v>
      </c>
      <c r="BS430" s="3">
        <v>623.4</v>
      </c>
      <c r="BT430" s="3">
        <v>632.70000000000005</v>
      </c>
      <c r="BU430" s="3">
        <v>697.2</v>
      </c>
      <c r="BV430" s="3">
        <v>1090</v>
      </c>
      <c r="BW430" s="3">
        <v>758.4</v>
      </c>
      <c r="BX430" s="3">
        <v>1159.9000000000001</v>
      </c>
      <c r="BY430" s="3">
        <v>761.9</v>
      </c>
      <c r="BZ430" s="3">
        <v>778.6</v>
      </c>
      <c r="CA430" s="3">
        <v>1651.9</v>
      </c>
      <c r="CB430" s="3">
        <v>1731.4</v>
      </c>
      <c r="CC430" s="3">
        <v>1730.7</v>
      </c>
      <c r="CD430" s="3">
        <v>1758.8</v>
      </c>
      <c r="CE430" s="3">
        <v>2159.8000000000002</v>
      </c>
      <c r="CF430" s="3">
        <v>2248.6999999999998</v>
      </c>
      <c r="CG430" s="3">
        <v>2715.7</v>
      </c>
      <c r="CH430" s="3">
        <v>2840.7</v>
      </c>
      <c r="CI430" s="3">
        <v>2848</v>
      </c>
      <c r="CJ430" s="3">
        <v>3389.7</v>
      </c>
      <c r="CK430" s="3">
        <v>3762.9</v>
      </c>
      <c r="CL430" s="3">
        <v>3927.5</v>
      </c>
      <c r="CM430" s="3">
        <v>4335.2</v>
      </c>
      <c r="CN430" s="3">
        <v>4384.8999999999996</v>
      </c>
      <c r="CO430" s="3">
        <v>4902.5</v>
      </c>
      <c r="CP430" s="3">
        <v>5085.2</v>
      </c>
      <c r="CQ430" s="3">
        <v>5525.3</v>
      </c>
      <c r="CR430" s="3">
        <v>5777.5</v>
      </c>
      <c r="CS430" s="3">
        <v>5810.2</v>
      </c>
      <c r="CT430" s="3">
        <v>6086</v>
      </c>
    </row>
    <row r="431" spans="1:98">
      <c r="A431" s="4" t="s">
        <v>527</v>
      </c>
      <c r="B431" s="5">
        <v>100</v>
      </c>
      <c r="C431" s="5">
        <v>105.1</v>
      </c>
      <c r="D431" s="5">
        <v>105.3</v>
      </c>
      <c r="E431" s="5">
        <v>105.4</v>
      </c>
      <c r="F431" s="5">
        <v>105.5</v>
      </c>
      <c r="G431" s="5">
        <v>106.3</v>
      </c>
      <c r="H431" s="5">
        <v>106.5</v>
      </c>
      <c r="I431" s="5">
        <v>106.6</v>
      </c>
      <c r="J431" s="5">
        <v>106.6</v>
      </c>
      <c r="K431" s="5">
        <v>107</v>
      </c>
      <c r="L431" s="5">
        <v>107.1</v>
      </c>
      <c r="M431" s="5">
        <v>107.2</v>
      </c>
      <c r="N431" s="5">
        <v>107.2</v>
      </c>
      <c r="O431" s="5">
        <v>124.7</v>
      </c>
      <c r="P431" s="5">
        <v>124.7</v>
      </c>
      <c r="Q431" s="5">
        <v>127.8</v>
      </c>
      <c r="R431" s="5">
        <v>131.80000000000001</v>
      </c>
      <c r="S431" s="5">
        <v>138.80000000000001</v>
      </c>
      <c r="T431" s="5">
        <v>138.9</v>
      </c>
      <c r="U431" s="5">
        <v>141.30000000000001</v>
      </c>
      <c r="V431" s="5">
        <v>149.4</v>
      </c>
      <c r="W431" s="5">
        <v>168.1</v>
      </c>
      <c r="X431" s="5">
        <v>168.2</v>
      </c>
      <c r="Y431" s="5">
        <v>168.4</v>
      </c>
      <c r="Z431" s="5">
        <v>168.5</v>
      </c>
      <c r="AA431" s="5">
        <v>169.8</v>
      </c>
      <c r="AB431" s="5">
        <v>173</v>
      </c>
      <c r="AC431" s="5">
        <v>173.2</v>
      </c>
      <c r="AD431" s="5">
        <v>173.4</v>
      </c>
      <c r="AE431" s="5">
        <v>186.3</v>
      </c>
      <c r="AF431" s="5">
        <v>186.4</v>
      </c>
      <c r="AG431" s="5">
        <v>186.6</v>
      </c>
      <c r="AH431" s="5">
        <v>187.8</v>
      </c>
      <c r="AI431" s="5">
        <v>208.2</v>
      </c>
      <c r="AJ431" s="5">
        <v>208.6</v>
      </c>
      <c r="AK431" s="5">
        <v>228.4</v>
      </c>
      <c r="AL431" s="5">
        <v>228.8</v>
      </c>
      <c r="AM431" s="5">
        <v>291.7</v>
      </c>
      <c r="AN431" s="5">
        <v>308.8</v>
      </c>
      <c r="AO431" s="5">
        <v>381.3</v>
      </c>
      <c r="AP431" s="5">
        <v>465.2</v>
      </c>
      <c r="AQ431" s="5">
        <v>467.5</v>
      </c>
      <c r="AR431" s="5">
        <v>468</v>
      </c>
      <c r="AS431" s="5">
        <v>468.7</v>
      </c>
      <c r="AT431" s="5">
        <v>469.4</v>
      </c>
      <c r="AU431" s="5">
        <v>495</v>
      </c>
      <c r="AV431" s="5">
        <v>495.5</v>
      </c>
      <c r="AW431" s="5">
        <v>518.1</v>
      </c>
      <c r="AX431" s="5">
        <v>518.5</v>
      </c>
      <c r="AY431" s="5">
        <v>521.20000000000005</v>
      </c>
      <c r="AZ431" s="5">
        <v>521.4</v>
      </c>
      <c r="BA431" s="5">
        <v>521.6</v>
      </c>
      <c r="BB431" s="5">
        <v>521.79999999999995</v>
      </c>
      <c r="BC431" s="5">
        <v>524.29999999999995</v>
      </c>
      <c r="BD431" s="5">
        <v>524.6</v>
      </c>
      <c r="BE431" s="5">
        <v>549.4</v>
      </c>
      <c r="BF431" s="5">
        <v>549.70000000000005</v>
      </c>
      <c r="BG431" s="5">
        <v>578.29999999999995</v>
      </c>
      <c r="BH431" s="5">
        <v>604.20000000000005</v>
      </c>
      <c r="BI431" s="5">
        <v>656.2</v>
      </c>
      <c r="BJ431" s="5">
        <v>682.3</v>
      </c>
      <c r="BK431" s="5">
        <v>803.5</v>
      </c>
      <c r="BL431" s="5">
        <v>1072.4000000000001</v>
      </c>
      <c r="BM431" s="5">
        <v>851.3</v>
      </c>
      <c r="BN431" s="5">
        <v>1074.0999999999999</v>
      </c>
      <c r="BO431" s="5">
        <v>897.2</v>
      </c>
      <c r="BP431" s="5">
        <v>1071.5999999999999</v>
      </c>
      <c r="BQ431" s="5">
        <v>1186.4000000000001</v>
      </c>
      <c r="BR431" s="5">
        <v>1189.5999999999999</v>
      </c>
      <c r="BS431" s="5">
        <v>1293.5</v>
      </c>
      <c r="BT431" s="5">
        <v>1397.9</v>
      </c>
      <c r="BU431" s="5">
        <v>1803.3</v>
      </c>
      <c r="BV431" s="5">
        <v>2432.4</v>
      </c>
      <c r="BW431" s="5">
        <v>1915.4</v>
      </c>
      <c r="BX431" s="5">
        <v>2438</v>
      </c>
      <c r="BY431" s="5">
        <v>2076.4</v>
      </c>
      <c r="BZ431" s="5">
        <v>2205.6</v>
      </c>
      <c r="CA431" s="5">
        <v>2774.3</v>
      </c>
      <c r="CB431" s="5">
        <v>3016.1</v>
      </c>
      <c r="CC431" s="5">
        <v>3109.8</v>
      </c>
      <c r="CD431" s="5">
        <v>3112.3</v>
      </c>
      <c r="CE431" s="5">
        <v>3661.3</v>
      </c>
      <c r="CF431" s="5">
        <v>3666.4</v>
      </c>
      <c r="CG431" s="5">
        <v>3673.7</v>
      </c>
      <c r="CH431" s="5">
        <v>4315.3</v>
      </c>
      <c r="CI431" s="5">
        <v>4315.3</v>
      </c>
      <c r="CJ431" s="5">
        <v>4315.3</v>
      </c>
      <c r="CK431" s="5">
        <v>5020.6000000000004</v>
      </c>
      <c r="CL431" s="5">
        <v>5031.7</v>
      </c>
      <c r="CM431" s="5">
        <v>5035.3</v>
      </c>
      <c r="CN431" s="5">
        <v>5293</v>
      </c>
      <c r="CO431" s="5">
        <v>6253</v>
      </c>
      <c r="CP431" s="5">
        <v>6611.2</v>
      </c>
      <c r="CQ431" s="5">
        <v>7331.7</v>
      </c>
      <c r="CR431" s="5">
        <v>8404.2999999999993</v>
      </c>
      <c r="CS431" s="5">
        <v>8408.7000000000007</v>
      </c>
      <c r="CT431" s="5">
        <v>8541.1</v>
      </c>
    </row>
    <row r="432" spans="1:98">
      <c r="A432" s="2" t="s">
        <v>528</v>
      </c>
      <c r="B432" s="3">
        <v>100</v>
      </c>
      <c r="C432" s="3">
        <v>107.7</v>
      </c>
      <c r="D432" s="3">
        <v>108.1</v>
      </c>
      <c r="E432" s="3">
        <v>110.3</v>
      </c>
      <c r="F432" s="3">
        <v>110.5</v>
      </c>
      <c r="G432" s="3">
        <v>135.80000000000001</v>
      </c>
      <c r="H432" s="3">
        <v>136.19999999999999</v>
      </c>
      <c r="I432" s="3">
        <v>156.30000000000001</v>
      </c>
      <c r="J432" s="3">
        <v>156.30000000000001</v>
      </c>
      <c r="K432" s="3">
        <v>178.4</v>
      </c>
      <c r="L432" s="3">
        <v>178.6</v>
      </c>
      <c r="M432" s="3">
        <v>178.9</v>
      </c>
      <c r="N432" s="3">
        <v>179</v>
      </c>
      <c r="O432" s="3">
        <v>179.1</v>
      </c>
      <c r="P432" s="3">
        <v>179.1</v>
      </c>
      <c r="Q432" s="3">
        <v>180.8</v>
      </c>
      <c r="R432" s="3">
        <v>180.8</v>
      </c>
      <c r="S432" s="3">
        <v>196.6</v>
      </c>
      <c r="T432" s="3">
        <v>196.9</v>
      </c>
      <c r="U432" s="3">
        <v>197.5</v>
      </c>
      <c r="V432" s="3">
        <v>198</v>
      </c>
      <c r="W432" s="3">
        <v>280.89999999999998</v>
      </c>
      <c r="X432" s="3">
        <v>281.10000000000002</v>
      </c>
      <c r="Y432" s="3">
        <v>212.1</v>
      </c>
      <c r="Z432" s="3">
        <v>212.2</v>
      </c>
      <c r="AA432" s="3">
        <v>277.8</v>
      </c>
      <c r="AB432" s="3">
        <v>278.10000000000002</v>
      </c>
      <c r="AC432" s="3">
        <v>278.5</v>
      </c>
      <c r="AD432" s="3">
        <v>278.8</v>
      </c>
      <c r="AE432" s="3">
        <v>280.3</v>
      </c>
      <c r="AF432" s="3">
        <v>280.5</v>
      </c>
      <c r="AG432" s="3">
        <v>314.2</v>
      </c>
      <c r="AH432" s="3">
        <v>316.8</v>
      </c>
      <c r="AI432" s="3">
        <v>308</v>
      </c>
      <c r="AJ432" s="3">
        <v>348</v>
      </c>
      <c r="AK432" s="3">
        <v>365</v>
      </c>
      <c r="AL432" s="3">
        <v>365.9</v>
      </c>
      <c r="AM432" s="3">
        <v>383.4</v>
      </c>
      <c r="AN432" s="3">
        <v>389.7</v>
      </c>
      <c r="AO432" s="3">
        <v>407.4</v>
      </c>
      <c r="AP432" s="3">
        <v>414.6</v>
      </c>
      <c r="AQ432" s="3">
        <v>456.5</v>
      </c>
      <c r="AR432" s="3">
        <v>457.4</v>
      </c>
      <c r="AS432" s="3">
        <v>454.6</v>
      </c>
      <c r="AT432" s="3">
        <v>472.1</v>
      </c>
      <c r="AU432" s="3">
        <v>525.29999999999995</v>
      </c>
      <c r="AV432" s="3">
        <v>526.20000000000005</v>
      </c>
      <c r="AW432" s="3">
        <v>519.9</v>
      </c>
      <c r="AX432" s="3">
        <v>544.9</v>
      </c>
      <c r="AY432" s="3">
        <v>574.29999999999995</v>
      </c>
      <c r="AZ432" s="3">
        <v>574.70000000000005</v>
      </c>
      <c r="BA432" s="3">
        <v>575.1</v>
      </c>
      <c r="BB432" s="3">
        <v>575.4</v>
      </c>
      <c r="BC432" s="3">
        <v>579.79999999999995</v>
      </c>
      <c r="BD432" s="3">
        <v>580.4</v>
      </c>
      <c r="BE432" s="3">
        <v>581</v>
      </c>
      <c r="BF432" s="3">
        <v>581.6</v>
      </c>
      <c r="BG432" s="3">
        <v>586.9</v>
      </c>
      <c r="BH432" s="3">
        <v>649</v>
      </c>
      <c r="BI432" s="3">
        <v>691.4</v>
      </c>
      <c r="BJ432" s="3">
        <v>692.1</v>
      </c>
      <c r="BK432" s="3">
        <v>764</v>
      </c>
      <c r="BL432" s="3">
        <v>1022.6</v>
      </c>
      <c r="BM432" s="3">
        <v>862.6</v>
      </c>
      <c r="BN432" s="3">
        <v>1026.3</v>
      </c>
      <c r="BO432" s="3">
        <v>895.7</v>
      </c>
      <c r="BP432" s="3">
        <v>1021.1</v>
      </c>
      <c r="BQ432" s="3">
        <v>1137.9000000000001</v>
      </c>
      <c r="BR432" s="3">
        <v>1144.0999999999999</v>
      </c>
      <c r="BS432" s="3">
        <v>1240.9000000000001</v>
      </c>
      <c r="BT432" s="3">
        <v>1338.1</v>
      </c>
      <c r="BU432" s="3">
        <v>1702.6</v>
      </c>
      <c r="BV432" s="3">
        <v>2318.9</v>
      </c>
      <c r="BW432" s="3">
        <v>1806.3</v>
      </c>
      <c r="BX432" s="3">
        <v>2330</v>
      </c>
      <c r="BY432" s="3">
        <v>1954.6</v>
      </c>
      <c r="BZ432" s="3">
        <v>2059</v>
      </c>
      <c r="CA432" s="3">
        <v>2818</v>
      </c>
      <c r="CB432" s="3">
        <v>2837.3</v>
      </c>
      <c r="CC432" s="3">
        <v>2986.7</v>
      </c>
      <c r="CD432" s="3">
        <v>2992.7</v>
      </c>
      <c r="CE432" s="3">
        <v>3536.7</v>
      </c>
      <c r="CF432" s="3">
        <v>3547.2</v>
      </c>
      <c r="CG432" s="3">
        <v>3860.9</v>
      </c>
      <c r="CH432" s="3">
        <v>4474.8</v>
      </c>
      <c r="CI432" s="3">
        <v>4474.8999999999996</v>
      </c>
      <c r="CJ432" s="3">
        <v>4474.8999999999996</v>
      </c>
      <c r="CK432" s="3">
        <v>5379</v>
      </c>
      <c r="CL432" s="3">
        <v>5602.2</v>
      </c>
      <c r="CM432" s="3">
        <v>5616.7</v>
      </c>
      <c r="CN432" s="3">
        <v>5634</v>
      </c>
      <c r="CO432" s="3">
        <v>6273.2</v>
      </c>
      <c r="CP432" s="3">
        <v>6859.4</v>
      </c>
      <c r="CQ432" s="3">
        <v>7572.7</v>
      </c>
      <c r="CR432" s="3">
        <v>8534.9</v>
      </c>
      <c r="CS432" s="3">
        <v>8544.4</v>
      </c>
      <c r="CT432" s="3">
        <v>9507.4</v>
      </c>
    </row>
    <row r="433" spans="1:98">
      <c r="A433" s="4" t="s">
        <v>529</v>
      </c>
      <c r="B433" s="5">
        <v>100</v>
      </c>
      <c r="C433" s="5">
        <v>108.2</v>
      </c>
      <c r="D433" s="5">
        <v>109.6</v>
      </c>
      <c r="E433" s="5">
        <v>110.5</v>
      </c>
      <c r="F433" s="5">
        <v>111.6</v>
      </c>
      <c r="G433" s="5">
        <v>121.6</v>
      </c>
      <c r="H433" s="5">
        <v>124.3</v>
      </c>
      <c r="I433" s="5">
        <v>126.5</v>
      </c>
      <c r="J433" s="5">
        <v>126.5</v>
      </c>
      <c r="K433" s="5">
        <v>136.4</v>
      </c>
      <c r="L433" s="5">
        <v>139.69999999999999</v>
      </c>
      <c r="M433" s="5">
        <v>142.19999999999999</v>
      </c>
      <c r="N433" s="5">
        <v>165.1</v>
      </c>
      <c r="O433" s="5">
        <v>183.4</v>
      </c>
      <c r="P433" s="5">
        <v>191.5</v>
      </c>
      <c r="Q433" s="5">
        <v>197.8</v>
      </c>
      <c r="R433" s="5">
        <v>198.2</v>
      </c>
      <c r="S433" s="5">
        <v>209.7</v>
      </c>
      <c r="T433" s="5">
        <v>215</v>
      </c>
      <c r="U433" s="5">
        <v>222.1</v>
      </c>
      <c r="V433" s="5">
        <v>239.4</v>
      </c>
      <c r="W433" s="5">
        <v>255.1</v>
      </c>
      <c r="X433" s="5">
        <v>255.6</v>
      </c>
      <c r="Y433" s="5">
        <v>262.89999999999998</v>
      </c>
      <c r="Z433" s="5">
        <v>263.39999999999998</v>
      </c>
      <c r="AA433" s="5">
        <v>272.89999999999998</v>
      </c>
      <c r="AB433" s="5">
        <v>273.5</v>
      </c>
      <c r="AC433" s="5">
        <v>273.7</v>
      </c>
      <c r="AD433" s="5">
        <v>274.7</v>
      </c>
      <c r="AE433" s="5">
        <v>280.89999999999998</v>
      </c>
      <c r="AF433" s="5">
        <v>283.8</v>
      </c>
      <c r="AG433" s="5">
        <v>286</v>
      </c>
      <c r="AH433" s="5">
        <v>290.39999999999998</v>
      </c>
      <c r="AI433" s="5">
        <v>302.3</v>
      </c>
      <c r="AJ433" s="5">
        <v>303.5</v>
      </c>
      <c r="AK433" s="5">
        <v>333.1</v>
      </c>
      <c r="AL433" s="5">
        <v>334.6</v>
      </c>
      <c r="AM433" s="5">
        <v>355</v>
      </c>
      <c r="AN433" s="5">
        <v>399.2</v>
      </c>
      <c r="AO433" s="5">
        <v>443.6</v>
      </c>
      <c r="AP433" s="5">
        <v>482.7</v>
      </c>
      <c r="AQ433" s="5">
        <v>501.3</v>
      </c>
      <c r="AR433" s="5">
        <v>504.7</v>
      </c>
      <c r="AS433" s="5">
        <v>510</v>
      </c>
      <c r="AT433" s="5">
        <v>511.6</v>
      </c>
      <c r="AU433" s="5">
        <v>576.9</v>
      </c>
      <c r="AV433" s="5">
        <v>579.4</v>
      </c>
      <c r="AW433" s="5">
        <v>578.9</v>
      </c>
      <c r="AX433" s="5">
        <v>580.79999999999995</v>
      </c>
      <c r="AY433" s="5">
        <v>594.6</v>
      </c>
      <c r="AZ433" s="5">
        <v>596.1</v>
      </c>
      <c r="BA433" s="5">
        <v>597.6</v>
      </c>
      <c r="BB433" s="5">
        <v>598.70000000000005</v>
      </c>
      <c r="BC433" s="5">
        <v>627.9</v>
      </c>
      <c r="BD433" s="5">
        <v>629.6</v>
      </c>
      <c r="BE433" s="5">
        <v>658.6</v>
      </c>
      <c r="BF433" s="5">
        <v>681.8</v>
      </c>
      <c r="BG433" s="5">
        <v>722.3</v>
      </c>
      <c r="BH433" s="5">
        <v>754.4</v>
      </c>
      <c r="BI433" s="5">
        <v>776.1</v>
      </c>
      <c r="BJ433" s="5">
        <v>799.7</v>
      </c>
      <c r="BK433" s="5">
        <v>889</v>
      </c>
      <c r="BL433" s="5">
        <v>1038.8</v>
      </c>
      <c r="BM433" s="5">
        <v>959.7</v>
      </c>
      <c r="BN433" s="5">
        <v>1099</v>
      </c>
      <c r="BO433" s="5">
        <v>1083</v>
      </c>
      <c r="BP433" s="5">
        <v>1084.3</v>
      </c>
      <c r="BQ433" s="5">
        <v>1318.8</v>
      </c>
      <c r="BR433" s="5">
        <v>1332.7</v>
      </c>
      <c r="BS433" s="5">
        <v>1378.9</v>
      </c>
      <c r="BT433" s="5">
        <v>1406.9</v>
      </c>
      <c r="BU433" s="5">
        <v>1640.9</v>
      </c>
      <c r="BV433" s="5">
        <v>2212.5</v>
      </c>
      <c r="BW433" s="5">
        <v>1862.3</v>
      </c>
      <c r="BX433" s="5">
        <v>2286.1999999999998</v>
      </c>
      <c r="BY433" s="5">
        <v>1949.8</v>
      </c>
      <c r="BZ433" s="5">
        <v>2085.3000000000002</v>
      </c>
      <c r="CA433" s="5">
        <v>2855.8</v>
      </c>
      <c r="CB433" s="5">
        <v>3057.6</v>
      </c>
      <c r="CC433" s="5">
        <v>3101.4</v>
      </c>
      <c r="CD433" s="5">
        <v>3187.2</v>
      </c>
      <c r="CE433" s="5">
        <v>3842.5</v>
      </c>
      <c r="CF433" s="5">
        <v>3901.5</v>
      </c>
      <c r="CG433" s="5">
        <v>4038.6</v>
      </c>
      <c r="CH433" s="5">
        <v>4797.7</v>
      </c>
      <c r="CI433" s="5">
        <v>4798.3</v>
      </c>
      <c r="CJ433" s="5">
        <v>4799.1000000000004</v>
      </c>
      <c r="CK433" s="5">
        <v>5371.7</v>
      </c>
      <c r="CL433" s="5">
        <v>5701.9</v>
      </c>
      <c r="CM433" s="5">
        <v>6106.9</v>
      </c>
      <c r="CN433" s="5">
        <v>6243.4</v>
      </c>
      <c r="CO433" s="5">
        <v>7058.8</v>
      </c>
      <c r="CP433" s="5">
        <v>7154</v>
      </c>
      <c r="CQ433" s="5">
        <v>7870.8</v>
      </c>
      <c r="CR433" s="5">
        <v>8356.2000000000007</v>
      </c>
      <c r="CS433" s="5">
        <v>9017.5</v>
      </c>
      <c r="CT433" s="5">
        <v>9037.5</v>
      </c>
    </row>
    <row r="434" spans="1:98">
      <c r="A434" s="2" t="s">
        <v>530</v>
      </c>
      <c r="B434" s="3">
        <v>100</v>
      </c>
      <c r="C434" s="3">
        <v>103.1</v>
      </c>
      <c r="D434" s="3">
        <v>104.1</v>
      </c>
      <c r="E434" s="3">
        <v>104.7</v>
      </c>
      <c r="F434" s="3">
        <v>105.3</v>
      </c>
      <c r="G434" s="3">
        <v>111.6</v>
      </c>
      <c r="H434" s="3">
        <v>112.6</v>
      </c>
      <c r="I434" s="3">
        <v>115.7</v>
      </c>
      <c r="J434" s="3">
        <v>115.7</v>
      </c>
      <c r="K434" s="3">
        <v>123.1</v>
      </c>
      <c r="L434" s="3">
        <v>123.6</v>
      </c>
      <c r="M434" s="3">
        <v>124.4</v>
      </c>
      <c r="N434" s="3">
        <v>124.6</v>
      </c>
      <c r="O434" s="3">
        <v>127</v>
      </c>
      <c r="P434" s="3">
        <v>127</v>
      </c>
      <c r="Q434" s="3">
        <v>128.69999999999999</v>
      </c>
      <c r="R434" s="3">
        <v>128.80000000000001</v>
      </c>
      <c r="S434" s="3">
        <v>146.69999999999999</v>
      </c>
      <c r="T434" s="3">
        <v>147.4</v>
      </c>
      <c r="U434" s="3">
        <v>129.69999999999999</v>
      </c>
      <c r="V434" s="3">
        <v>138.9</v>
      </c>
      <c r="W434" s="3">
        <v>156.69999999999999</v>
      </c>
      <c r="X434" s="3">
        <v>167</v>
      </c>
      <c r="Y434" s="3">
        <v>168.1</v>
      </c>
      <c r="Z434" s="3">
        <v>167</v>
      </c>
      <c r="AA434" s="3">
        <v>185.3</v>
      </c>
      <c r="AB434" s="3">
        <v>200.8</v>
      </c>
      <c r="AC434" s="3">
        <v>202.1</v>
      </c>
      <c r="AD434" s="3">
        <v>201.9</v>
      </c>
      <c r="AE434" s="3">
        <v>210.1</v>
      </c>
      <c r="AF434" s="3">
        <v>210.5</v>
      </c>
      <c r="AG434" s="3">
        <v>223.6</v>
      </c>
      <c r="AH434" s="3">
        <v>241.6</v>
      </c>
      <c r="AI434" s="3">
        <v>246.5</v>
      </c>
      <c r="AJ434" s="3">
        <v>248.1</v>
      </c>
      <c r="AK434" s="3">
        <v>263.7</v>
      </c>
      <c r="AL434" s="3">
        <v>265.3</v>
      </c>
      <c r="AM434" s="3">
        <v>302.60000000000002</v>
      </c>
      <c r="AN434" s="3">
        <v>360.8</v>
      </c>
      <c r="AO434" s="3">
        <v>505.6</v>
      </c>
      <c r="AP434" s="3">
        <v>534.79999999999995</v>
      </c>
      <c r="AQ434" s="3">
        <v>490.4</v>
      </c>
      <c r="AR434" s="3">
        <v>492.6</v>
      </c>
      <c r="AS434" s="3">
        <v>495.9</v>
      </c>
      <c r="AT434" s="3">
        <v>498.9</v>
      </c>
      <c r="AU434" s="3">
        <v>587.20000000000005</v>
      </c>
      <c r="AV434" s="3">
        <v>589.6</v>
      </c>
      <c r="AW434" s="3">
        <v>616.5</v>
      </c>
      <c r="AX434" s="3">
        <v>618.5</v>
      </c>
      <c r="AY434" s="3">
        <v>662.3</v>
      </c>
      <c r="AZ434" s="3">
        <v>663.6</v>
      </c>
      <c r="BA434" s="3">
        <v>634.29999999999995</v>
      </c>
      <c r="BB434" s="3">
        <v>635.4</v>
      </c>
      <c r="BC434" s="3">
        <v>665.4</v>
      </c>
      <c r="BD434" s="3">
        <v>677.7</v>
      </c>
      <c r="BE434" s="3">
        <v>756.6</v>
      </c>
      <c r="BF434" s="3">
        <v>759.3</v>
      </c>
      <c r="BG434" s="3">
        <v>782.9</v>
      </c>
      <c r="BH434" s="3">
        <v>803.5</v>
      </c>
      <c r="BI434" s="3">
        <v>837.9</v>
      </c>
      <c r="BJ434" s="3">
        <v>870.8</v>
      </c>
      <c r="BK434" s="3">
        <v>988.5</v>
      </c>
      <c r="BL434" s="3">
        <v>1351.6</v>
      </c>
      <c r="BM434" s="3">
        <v>1027.7</v>
      </c>
      <c r="BN434" s="3">
        <v>1361.2</v>
      </c>
      <c r="BO434" s="3">
        <v>1180.8</v>
      </c>
      <c r="BP434" s="3">
        <v>1355</v>
      </c>
      <c r="BQ434" s="3">
        <v>1590.5</v>
      </c>
      <c r="BR434" s="3">
        <v>1565.4</v>
      </c>
      <c r="BS434" s="3">
        <v>1594.5</v>
      </c>
      <c r="BT434" s="3">
        <v>1625.3</v>
      </c>
      <c r="BU434" s="3">
        <v>1823.4</v>
      </c>
      <c r="BV434" s="3">
        <v>3008.9</v>
      </c>
      <c r="BW434" s="3">
        <v>1994</v>
      </c>
      <c r="BX434" s="3">
        <v>3336</v>
      </c>
      <c r="BY434" s="3">
        <v>2124.1</v>
      </c>
      <c r="BZ434" s="3">
        <v>2396.1</v>
      </c>
      <c r="CA434" s="3">
        <v>3691.1</v>
      </c>
      <c r="CB434" s="3">
        <v>3977.4</v>
      </c>
      <c r="CC434" s="3">
        <v>4212.7</v>
      </c>
      <c r="CD434" s="3">
        <v>4371.2</v>
      </c>
      <c r="CE434" s="3">
        <v>4832.5</v>
      </c>
      <c r="CF434" s="3">
        <v>4560.8999999999996</v>
      </c>
      <c r="CG434" s="3">
        <v>4444.6000000000004</v>
      </c>
      <c r="CH434" s="3">
        <v>4668.6000000000004</v>
      </c>
      <c r="CI434" s="3">
        <v>4668.8</v>
      </c>
      <c r="CJ434" s="3">
        <v>4943.5</v>
      </c>
      <c r="CK434" s="3">
        <v>5303.2</v>
      </c>
      <c r="CL434" s="3">
        <v>5380.5</v>
      </c>
      <c r="CM434" s="3">
        <v>5456.2</v>
      </c>
      <c r="CN434" s="3">
        <v>5504.8</v>
      </c>
      <c r="CO434" s="3">
        <v>6192.5</v>
      </c>
      <c r="CP434" s="3">
        <v>6386.1</v>
      </c>
      <c r="CQ434" s="3">
        <v>6525.8</v>
      </c>
      <c r="CR434" s="3">
        <v>7230.3</v>
      </c>
      <c r="CS434" s="3">
        <v>7368.6</v>
      </c>
      <c r="CT434" s="3">
        <v>7812.5</v>
      </c>
    </row>
    <row r="435" spans="1:98">
      <c r="A435" s="4" t="s">
        <v>531</v>
      </c>
      <c r="B435" s="5">
        <v>100</v>
      </c>
      <c r="C435" s="5">
        <v>108.6</v>
      </c>
      <c r="D435" s="5">
        <v>108.9</v>
      </c>
      <c r="E435" s="5">
        <v>117.7</v>
      </c>
      <c r="F435" s="5">
        <v>117.9</v>
      </c>
      <c r="G435" s="5">
        <v>136.9</v>
      </c>
      <c r="H435" s="5">
        <v>137.19999999999999</v>
      </c>
      <c r="I435" s="5">
        <v>145.30000000000001</v>
      </c>
      <c r="J435" s="5">
        <v>145.30000000000001</v>
      </c>
      <c r="K435" s="5">
        <v>151.30000000000001</v>
      </c>
      <c r="L435" s="5">
        <v>151.5</v>
      </c>
      <c r="M435" s="5">
        <v>159.5</v>
      </c>
      <c r="N435" s="5">
        <v>159.6</v>
      </c>
      <c r="O435" s="5">
        <v>167.1</v>
      </c>
      <c r="P435" s="5">
        <v>167.1</v>
      </c>
      <c r="Q435" s="5">
        <v>193.5</v>
      </c>
      <c r="R435" s="5">
        <v>193.5</v>
      </c>
      <c r="S435" s="5">
        <v>195.2</v>
      </c>
      <c r="T435" s="5">
        <v>213</v>
      </c>
      <c r="U435" s="5">
        <v>200</v>
      </c>
      <c r="V435" s="5">
        <v>213.5</v>
      </c>
      <c r="W435" s="5">
        <v>221.7</v>
      </c>
      <c r="X435" s="5">
        <v>249.7</v>
      </c>
      <c r="Y435" s="5">
        <v>217.7</v>
      </c>
      <c r="Z435" s="5">
        <v>217.9</v>
      </c>
      <c r="AA435" s="5">
        <v>241.5</v>
      </c>
      <c r="AB435" s="5">
        <v>248.8</v>
      </c>
      <c r="AC435" s="5">
        <v>235.4</v>
      </c>
      <c r="AD435" s="5">
        <v>256.89999999999998</v>
      </c>
      <c r="AE435" s="5">
        <v>264.3</v>
      </c>
      <c r="AF435" s="5">
        <v>277.10000000000002</v>
      </c>
      <c r="AG435" s="5">
        <v>277.39999999999998</v>
      </c>
      <c r="AH435" s="5">
        <v>279</v>
      </c>
      <c r="AI435" s="5">
        <v>277.89999999999998</v>
      </c>
      <c r="AJ435" s="5">
        <v>312.8</v>
      </c>
      <c r="AK435" s="5">
        <v>336</v>
      </c>
      <c r="AL435" s="5">
        <v>336.6</v>
      </c>
      <c r="AM435" s="5">
        <v>378.4</v>
      </c>
      <c r="AN435" s="5">
        <v>412.2</v>
      </c>
      <c r="AO435" s="5">
        <v>478.3</v>
      </c>
      <c r="AP435" s="5">
        <v>546.79999999999995</v>
      </c>
      <c r="AQ435" s="5">
        <v>510.7</v>
      </c>
      <c r="AR435" s="5">
        <v>637.70000000000005</v>
      </c>
      <c r="AS435" s="5">
        <v>642.5</v>
      </c>
      <c r="AT435" s="5">
        <v>643.79999999999995</v>
      </c>
      <c r="AU435" s="5">
        <v>633.6</v>
      </c>
      <c r="AV435" s="5">
        <v>694.8</v>
      </c>
      <c r="AW435" s="5">
        <v>703</v>
      </c>
      <c r="AX435" s="5">
        <v>772.5</v>
      </c>
      <c r="AY435" s="5">
        <v>723.9</v>
      </c>
      <c r="AZ435" s="5">
        <v>729.8</v>
      </c>
      <c r="BA435" s="5">
        <v>753.1</v>
      </c>
      <c r="BB435" s="5">
        <v>753.5</v>
      </c>
      <c r="BC435" s="5">
        <v>753.5</v>
      </c>
      <c r="BD435" s="5">
        <v>776.4</v>
      </c>
      <c r="BE435" s="5">
        <v>898.7</v>
      </c>
      <c r="BF435" s="5">
        <v>919.2</v>
      </c>
      <c r="BG435" s="5">
        <v>969</v>
      </c>
      <c r="BH435" s="5">
        <v>1028.5999999999999</v>
      </c>
      <c r="BI435" s="5">
        <v>1059.7</v>
      </c>
      <c r="BJ435" s="5">
        <v>1080.5999999999999</v>
      </c>
      <c r="BK435" s="5">
        <v>1301.9000000000001</v>
      </c>
      <c r="BL435" s="5">
        <v>1864.1</v>
      </c>
      <c r="BM435" s="5">
        <v>1695.1</v>
      </c>
      <c r="BN435" s="5">
        <v>1953.7</v>
      </c>
      <c r="BO435" s="5">
        <v>1796.7</v>
      </c>
      <c r="BP435" s="5">
        <v>1897.9</v>
      </c>
      <c r="BQ435" s="5">
        <v>2214.1999999999998</v>
      </c>
      <c r="BR435" s="5">
        <v>2294.6</v>
      </c>
      <c r="BS435" s="5">
        <v>2234.9</v>
      </c>
      <c r="BT435" s="5">
        <v>2396.8000000000002</v>
      </c>
      <c r="BU435" s="5">
        <v>2724.3</v>
      </c>
      <c r="BV435" s="5">
        <v>4673</v>
      </c>
      <c r="BW435" s="5">
        <v>3407.3</v>
      </c>
      <c r="BX435" s="5">
        <v>4925.8</v>
      </c>
      <c r="BY435" s="5">
        <v>3759.1</v>
      </c>
      <c r="BZ435" s="5">
        <v>5150.8999999999996</v>
      </c>
      <c r="CA435" s="5">
        <v>4984.3999999999996</v>
      </c>
      <c r="CB435" s="5">
        <v>5316.7</v>
      </c>
      <c r="CC435" s="5">
        <v>5443</v>
      </c>
      <c r="CD435" s="5">
        <v>5473</v>
      </c>
      <c r="CE435" s="5">
        <v>6406.3</v>
      </c>
      <c r="CF435" s="5">
        <v>6415.1</v>
      </c>
      <c r="CG435" s="5">
        <v>6979.7</v>
      </c>
      <c r="CH435" s="5">
        <v>8039.6</v>
      </c>
      <c r="CI435" s="5">
        <v>8039.7</v>
      </c>
      <c r="CJ435" s="5">
        <v>8039.8</v>
      </c>
      <c r="CK435" s="5">
        <v>8897.5</v>
      </c>
      <c r="CL435" s="5">
        <v>8917.7000000000007</v>
      </c>
      <c r="CM435" s="5">
        <v>9369.4</v>
      </c>
      <c r="CN435" s="5">
        <v>9871.2000000000007</v>
      </c>
      <c r="CO435" s="5">
        <v>11818.3</v>
      </c>
      <c r="CP435" s="5">
        <v>11848.5</v>
      </c>
      <c r="CQ435" s="5">
        <v>11923.3</v>
      </c>
      <c r="CR435" s="5">
        <v>14752.6</v>
      </c>
      <c r="CS435" s="5">
        <v>14760.8</v>
      </c>
      <c r="CT435" s="5">
        <v>14768.4</v>
      </c>
    </row>
    <row r="436" spans="1:98">
      <c r="A436" s="2" t="s">
        <v>532</v>
      </c>
      <c r="B436" s="3">
        <v>100</v>
      </c>
      <c r="C436" s="3">
        <v>103.2</v>
      </c>
      <c r="D436" s="3">
        <v>103.3</v>
      </c>
      <c r="E436" s="3">
        <v>103.5</v>
      </c>
      <c r="F436" s="3">
        <v>103.5</v>
      </c>
      <c r="G436" s="3">
        <v>110.7</v>
      </c>
      <c r="H436" s="3">
        <v>110.9</v>
      </c>
      <c r="I436" s="3">
        <v>110.9</v>
      </c>
      <c r="J436" s="3">
        <v>110.9</v>
      </c>
      <c r="K436" s="3">
        <v>115.5</v>
      </c>
      <c r="L436" s="3">
        <v>115.6</v>
      </c>
      <c r="M436" s="3">
        <v>115.9</v>
      </c>
      <c r="N436" s="3">
        <v>116.1</v>
      </c>
      <c r="O436" s="3">
        <v>128.1</v>
      </c>
      <c r="P436" s="3">
        <v>128.1</v>
      </c>
      <c r="Q436" s="3">
        <v>148.6</v>
      </c>
      <c r="R436" s="3">
        <v>148.6</v>
      </c>
      <c r="S436" s="3">
        <v>175.9</v>
      </c>
      <c r="T436" s="3">
        <v>176</v>
      </c>
      <c r="U436" s="3">
        <v>201.6</v>
      </c>
      <c r="V436" s="3">
        <v>201.8</v>
      </c>
      <c r="W436" s="3">
        <v>231.4</v>
      </c>
      <c r="X436" s="3">
        <v>231.4</v>
      </c>
      <c r="Y436" s="3">
        <v>233.5</v>
      </c>
      <c r="Z436" s="3">
        <v>233.3</v>
      </c>
      <c r="AA436" s="3">
        <v>236.6</v>
      </c>
      <c r="AB436" s="3">
        <v>236.3</v>
      </c>
      <c r="AC436" s="3">
        <v>267.2</v>
      </c>
      <c r="AD436" s="3">
        <v>267.3</v>
      </c>
      <c r="AE436" s="3">
        <v>268.2</v>
      </c>
      <c r="AF436" s="3">
        <v>268.3</v>
      </c>
      <c r="AG436" s="3">
        <v>268.39999999999998</v>
      </c>
      <c r="AH436" s="3">
        <v>270</v>
      </c>
      <c r="AI436" s="3">
        <v>290.60000000000002</v>
      </c>
      <c r="AJ436" s="3">
        <v>291</v>
      </c>
      <c r="AK436" s="3">
        <v>332.7</v>
      </c>
      <c r="AL436" s="3">
        <v>333.2</v>
      </c>
      <c r="AM436" s="3">
        <v>335</v>
      </c>
      <c r="AN436" s="3">
        <v>343.7</v>
      </c>
      <c r="AO436" s="3">
        <v>354.9</v>
      </c>
      <c r="AP436" s="3">
        <v>355.6</v>
      </c>
      <c r="AQ436" s="3">
        <v>358.1</v>
      </c>
      <c r="AR436" s="3">
        <v>358.7</v>
      </c>
      <c r="AS436" s="3">
        <v>359.4</v>
      </c>
      <c r="AT436" s="3">
        <v>360.1</v>
      </c>
      <c r="AU436" s="3">
        <v>373.7</v>
      </c>
      <c r="AV436" s="3">
        <v>374.2</v>
      </c>
      <c r="AW436" s="3">
        <v>371.6</v>
      </c>
      <c r="AX436" s="3">
        <v>372</v>
      </c>
      <c r="AY436" s="3">
        <v>425.8</v>
      </c>
      <c r="AZ436" s="3">
        <v>426.1</v>
      </c>
      <c r="BA436" s="3">
        <v>443</v>
      </c>
      <c r="BB436" s="3">
        <v>443.1</v>
      </c>
      <c r="BC436" s="3">
        <v>486</v>
      </c>
      <c r="BD436" s="3">
        <v>486.4</v>
      </c>
      <c r="BE436" s="3">
        <v>444.2</v>
      </c>
      <c r="BF436" s="3">
        <v>444.5</v>
      </c>
      <c r="BG436" s="3">
        <v>453.6</v>
      </c>
      <c r="BH436" s="3">
        <v>453.9</v>
      </c>
      <c r="BI436" s="3">
        <v>498.4</v>
      </c>
      <c r="BJ436" s="3">
        <v>498.8</v>
      </c>
      <c r="BK436" s="3">
        <v>535.9</v>
      </c>
      <c r="BL436" s="3">
        <v>595.4</v>
      </c>
      <c r="BM436" s="3">
        <v>539.20000000000005</v>
      </c>
      <c r="BN436" s="3">
        <v>597.6</v>
      </c>
      <c r="BO436" s="3">
        <v>575.5</v>
      </c>
      <c r="BP436" s="3">
        <v>592.1</v>
      </c>
      <c r="BQ436" s="3">
        <v>688.5</v>
      </c>
      <c r="BR436" s="3">
        <v>693.3</v>
      </c>
      <c r="BS436" s="3">
        <v>652.79999999999995</v>
      </c>
      <c r="BT436" s="3">
        <v>655.4</v>
      </c>
      <c r="BU436" s="3">
        <v>713.5</v>
      </c>
      <c r="BV436" s="3">
        <v>1108.5999999999999</v>
      </c>
      <c r="BW436" s="3">
        <v>856.6</v>
      </c>
      <c r="BX436" s="3">
        <v>1115</v>
      </c>
      <c r="BY436" s="3">
        <v>997.6</v>
      </c>
      <c r="BZ436" s="3">
        <v>1097.4000000000001</v>
      </c>
      <c r="CA436" s="3">
        <v>1321.3</v>
      </c>
      <c r="CB436" s="3">
        <v>1339.7</v>
      </c>
      <c r="CC436" s="3">
        <v>1449.3</v>
      </c>
      <c r="CD436" s="3">
        <v>1471.4</v>
      </c>
      <c r="CE436" s="3">
        <v>1792.2</v>
      </c>
      <c r="CF436" s="3">
        <v>1798.4</v>
      </c>
      <c r="CG436" s="3">
        <v>1965.7</v>
      </c>
      <c r="CH436" s="3">
        <v>2152.3000000000002</v>
      </c>
      <c r="CI436" s="3">
        <v>2152.4</v>
      </c>
      <c r="CJ436" s="3">
        <v>2152.5</v>
      </c>
      <c r="CK436" s="3">
        <v>2588.3000000000002</v>
      </c>
      <c r="CL436" s="3">
        <v>2602.5</v>
      </c>
      <c r="CM436" s="3">
        <v>2626</v>
      </c>
      <c r="CN436" s="3">
        <v>2635.8</v>
      </c>
      <c r="CO436" s="3">
        <v>3172.4</v>
      </c>
      <c r="CP436" s="3">
        <v>3192.7</v>
      </c>
      <c r="CQ436" s="3">
        <v>3633.9</v>
      </c>
      <c r="CR436" s="3">
        <v>3657.1</v>
      </c>
      <c r="CS436" s="3">
        <v>3663.1</v>
      </c>
      <c r="CT436" s="3">
        <v>3669.2</v>
      </c>
    </row>
    <row r="437" spans="1:98">
      <c r="A437" s="4" t="s">
        <v>533</v>
      </c>
      <c r="B437" s="5">
        <v>100</v>
      </c>
      <c r="C437" s="5">
        <v>109.7</v>
      </c>
      <c r="D437" s="5">
        <v>110.3</v>
      </c>
      <c r="E437" s="5">
        <v>118</v>
      </c>
      <c r="F437" s="5">
        <v>118.4</v>
      </c>
      <c r="G437" s="5">
        <v>129.6</v>
      </c>
      <c r="H437" s="5">
        <v>130.19999999999999</v>
      </c>
      <c r="I437" s="5">
        <v>134.4</v>
      </c>
      <c r="J437" s="5">
        <v>134.4</v>
      </c>
      <c r="K437" s="5">
        <v>144.9</v>
      </c>
      <c r="L437" s="5">
        <v>145.19999999999999</v>
      </c>
      <c r="M437" s="5">
        <v>145.69999999999999</v>
      </c>
      <c r="N437" s="5">
        <v>145.80000000000001</v>
      </c>
      <c r="O437" s="5">
        <v>163.1</v>
      </c>
      <c r="P437" s="5">
        <v>163.1</v>
      </c>
      <c r="Q437" s="5">
        <v>171.8</v>
      </c>
      <c r="R437" s="5">
        <v>171.9</v>
      </c>
      <c r="S437" s="5">
        <v>189.4</v>
      </c>
      <c r="T437" s="5">
        <v>189.8</v>
      </c>
      <c r="U437" s="5">
        <v>194.8</v>
      </c>
      <c r="V437" s="5">
        <v>195.6</v>
      </c>
      <c r="W437" s="5">
        <v>213.7</v>
      </c>
      <c r="X437" s="5">
        <v>214.1</v>
      </c>
      <c r="Y437" s="5">
        <v>213.3</v>
      </c>
      <c r="Z437" s="5">
        <v>213.5</v>
      </c>
      <c r="AA437" s="5">
        <v>207.1</v>
      </c>
      <c r="AB437" s="5">
        <v>207.6</v>
      </c>
      <c r="AC437" s="5">
        <v>208.5</v>
      </c>
      <c r="AD437" s="5">
        <v>209</v>
      </c>
      <c r="AE437" s="5">
        <v>220.3</v>
      </c>
      <c r="AF437" s="5">
        <v>220.7</v>
      </c>
      <c r="AG437" s="5">
        <v>221.5</v>
      </c>
      <c r="AH437" s="5">
        <v>226.2</v>
      </c>
      <c r="AI437" s="5">
        <v>240.8</v>
      </c>
      <c r="AJ437" s="5">
        <v>242.2</v>
      </c>
      <c r="AK437" s="5">
        <v>259.8</v>
      </c>
      <c r="AL437" s="5">
        <v>261.3</v>
      </c>
      <c r="AM437" s="5">
        <v>282.3</v>
      </c>
      <c r="AN437" s="5">
        <v>292.2</v>
      </c>
      <c r="AO437" s="5">
        <v>390.4</v>
      </c>
      <c r="AP437" s="5">
        <v>392.8</v>
      </c>
      <c r="AQ437" s="5">
        <v>413.6</v>
      </c>
      <c r="AR437" s="5">
        <v>419.2</v>
      </c>
      <c r="AS437" s="5">
        <v>434.9</v>
      </c>
      <c r="AT437" s="5">
        <v>438.1</v>
      </c>
      <c r="AU437" s="5">
        <v>468.8</v>
      </c>
      <c r="AV437" s="5">
        <v>471.2</v>
      </c>
      <c r="AW437" s="5">
        <v>470</v>
      </c>
      <c r="AX437" s="5">
        <v>475.1</v>
      </c>
      <c r="AY437" s="5">
        <v>502.1</v>
      </c>
      <c r="AZ437" s="5">
        <v>503.4</v>
      </c>
      <c r="BA437" s="5">
        <v>508.6</v>
      </c>
      <c r="BB437" s="5">
        <v>509.6</v>
      </c>
      <c r="BC437" s="5">
        <v>539.5</v>
      </c>
      <c r="BD437" s="5">
        <v>541.1</v>
      </c>
      <c r="BE437" s="5">
        <v>554.1</v>
      </c>
      <c r="BF437" s="5">
        <v>555.6</v>
      </c>
      <c r="BG437" s="5">
        <v>607.1</v>
      </c>
      <c r="BH437" s="5">
        <v>627.1</v>
      </c>
      <c r="BI437" s="5">
        <v>614.20000000000005</v>
      </c>
      <c r="BJ437" s="5">
        <v>615.9</v>
      </c>
      <c r="BK437" s="5">
        <v>808.5</v>
      </c>
      <c r="BL437" s="5">
        <v>1068.2</v>
      </c>
      <c r="BM437" s="5">
        <v>839.6</v>
      </c>
      <c r="BN437" s="5">
        <v>1107.2</v>
      </c>
      <c r="BO437" s="5">
        <v>843.1</v>
      </c>
      <c r="BP437" s="5">
        <v>845.9</v>
      </c>
      <c r="BQ437" s="5">
        <v>1275.0999999999999</v>
      </c>
      <c r="BR437" s="5">
        <v>1318.3</v>
      </c>
      <c r="BS437" s="5">
        <v>1408.5</v>
      </c>
      <c r="BT437" s="5">
        <v>1417</v>
      </c>
      <c r="BU437" s="5">
        <v>1677.6</v>
      </c>
      <c r="BV437" s="5">
        <v>2326.1999999999998</v>
      </c>
      <c r="BW437" s="5">
        <v>1792</v>
      </c>
      <c r="BX437" s="5">
        <v>2472.8000000000002</v>
      </c>
      <c r="BY437" s="5">
        <v>1956.2</v>
      </c>
      <c r="BZ437" s="5">
        <v>2349.9</v>
      </c>
      <c r="CA437" s="5">
        <v>2849.7</v>
      </c>
      <c r="CB437" s="5">
        <v>3032.9</v>
      </c>
      <c r="CC437" s="5">
        <v>3180.9</v>
      </c>
      <c r="CD437" s="5">
        <v>3263.9</v>
      </c>
      <c r="CE437" s="5">
        <v>4090.6</v>
      </c>
      <c r="CF437" s="5">
        <v>4415</v>
      </c>
      <c r="CG437" s="5">
        <v>4805.6000000000004</v>
      </c>
      <c r="CH437" s="5">
        <v>5834.3</v>
      </c>
      <c r="CI437" s="5">
        <v>5834.5</v>
      </c>
      <c r="CJ437" s="5">
        <v>5834.7</v>
      </c>
      <c r="CK437" s="5">
        <v>6673.4</v>
      </c>
      <c r="CL437" s="5">
        <v>6724.6</v>
      </c>
      <c r="CM437" s="5">
        <v>6880.9</v>
      </c>
      <c r="CN437" s="5">
        <v>7061.4</v>
      </c>
      <c r="CO437" s="5">
        <v>7399.1</v>
      </c>
      <c r="CP437" s="5">
        <v>7476.8</v>
      </c>
      <c r="CQ437" s="5">
        <v>8388.4</v>
      </c>
      <c r="CR437" s="5">
        <v>8523.1</v>
      </c>
      <c r="CS437" s="5">
        <v>9229</v>
      </c>
      <c r="CT437" s="5">
        <v>9662.7999999999993</v>
      </c>
    </row>
    <row r="438" spans="1:98">
      <c r="A438" s="2" t="s">
        <v>534</v>
      </c>
      <c r="B438" s="3">
        <v>100</v>
      </c>
      <c r="C438" s="3">
        <v>106.1</v>
      </c>
      <c r="D438" s="3">
        <v>107</v>
      </c>
      <c r="E438" s="3">
        <v>107.5</v>
      </c>
      <c r="F438" s="3">
        <v>108</v>
      </c>
      <c r="G438" s="3">
        <v>111.6</v>
      </c>
      <c r="H438" s="3">
        <v>112.4</v>
      </c>
      <c r="I438" s="3">
        <v>132.6</v>
      </c>
      <c r="J438" s="3">
        <v>132.6</v>
      </c>
      <c r="K438" s="3">
        <v>134.19999999999999</v>
      </c>
      <c r="L438" s="3">
        <v>134.6</v>
      </c>
      <c r="M438" s="3">
        <v>150.4</v>
      </c>
      <c r="N438" s="3">
        <v>150.6</v>
      </c>
      <c r="O438" s="3">
        <v>171.8</v>
      </c>
      <c r="P438" s="3">
        <v>176.6</v>
      </c>
      <c r="Q438" s="3">
        <v>180.8</v>
      </c>
      <c r="R438" s="3">
        <v>180.9</v>
      </c>
      <c r="S438" s="3">
        <v>221.8</v>
      </c>
      <c r="T438" s="3">
        <v>221.2</v>
      </c>
      <c r="U438" s="3">
        <v>226.2</v>
      </c>
      <c r="V438" s="3">
        <v>230.8</v>
      </c>
      <c r="W438" s="3">
        <v>254.3</v>
      </c>
      <c r="X438" s="3">
        <v>254.9</v>
      </c>
      <c r="Y438" s="3">
        <v>256.3</v>
      </c>
      <c r="Z438" s="3">
        <v>234.4</v>
      </c>
      <c r="AA438" s="3">
        <v>303</v>
      </c>
      <c r="AB438" s="3">
        <v>310.39999999999998</v>
      </c>
      <c r="AC438" s="3">
        <v>305.5</v>
      </c>
      <c r="AD438" s="3">
        <v>323.8</v>
      </c>
      <c r="AE438" s="3">
        <v>290.39999999999998</v>
      </c>
      <c r="AF438" s="3">
        <v>285.7</v>
      </c>
      <c r="AG438" s="3">
        <v>333.9</v>
      </c>
      <c r="AH438" s="3">
        <v>346.2</v>
      </c>
      <c r="AI438" s="3">
        <v>387.4</v>
      </c>
      <c r="AJ438" s="3">
        <v>404.3</v>
      </c>
      <c r="AK438" s="3">
        <v>422.1</v>
      </c>
      <c r="AL438" s="3">
        <v>424.3</v>
      </c>
      <c r="AM438" s="3">
        <v>451.5</v>
      </c>
      <c r="AN438" s="3">
        <v>519.5</v>
      </c>
      <c r="AO438" s="3">
        <v>619.6</v>
      </c>
      <c r="AP438" s="3">
        <v>662.3</v>
      </c>
      <c r="AQ438" s="3">
        <v>729</v>
      </c>
      <c r="AR438" s="3">
        <v>689</v>
      </c>
      <c r="AS438" s="3">
        <v>708.9</v>
      </c>
      <c r="AT438" s="3">
        <v>711.5</v>
      </c>
      <c r="AU438" s="3">
        <v>781.6</v>
      </c>
      <c r="AV438" s="3">
        <v>790.2</v>
      </c>
      <c r="AW438" s="3">
        <v>795.9</v>
      </c>
      <c r="AX438" s="3">
        <v>797.2</v>
      </c>
      <c r="AY438" s="3">
        <v>789.3</v>
      </c>
      <c r="AZ438" s="3">
        <v>784.6</v>
      </c>
      <c r="BA438" s="3">
        <v>723</v>
      </c>
      <c r="BB438" s="3">
        <v>708.6</v>
      </c>
      <c r="BC438" s="3">
        <v>791.5</v>
      </c>
      <c r="BD438" s="3">
        <v>798.9</v>
      </c>
      <c r="BE438" s="3">
        <v>858.8</v>
      </c>
      <c r="BF438" s="3">
        <v>927.4</v>
      </c>
      <c r="BG438" s="3">
        <v>939.5</v>
      </c>
      <c r="BH438" s="3">
        <v>999.7</v>
      </c>
      <c r="BI438" s="3">
        <v>1104.2</v>
      </c>
      <c r="BJ438" s="3">
        <v>1131</v>
      </c>
      <c r="BK438" s="3">
        <v>1215.5</v>
      </c>
      <c r="BL438" s="3">
        <v>1882.5</v>
      </c>
      <c r="BM438" s="3">
        <v>1373</v>
      </c>
      <c r="BN438" s="3">
        <v>1924.9</v>
      </c>
      <c r="BO438" s="3">
        <v>1571.6</v>
      </c>
      <c r="BP438" s="3">
        <v>1633.7</v>
      </c>
      <c r="BQ438" s="3">
        <v>2344.8000000000002</v>
      </c>
      <c r="BR438" s="3">
        <v>2168.1999999999998</v>
      </c>
      <c r="BS438" s="3">
        <v>2182.6</v>
      </c>
      <c r="BT438" s="3">
        <v>2667.9</v>
      </c>
      <c r="BU438" s="3">
        <v>3081.2</v>
      </c>
      <c r="BV438" s="3">
        <v>5591.8</v>
      </c>
      <c r="BW438" s="3">
        <v>3879.3</v>
      </c>
      <c r="BX438" s="3">
        <v>6005.9</v>
      </c>
      <c r="BY438" s="3">
        <v>4273.3999999999996</v>
      </c>
      <c r="BZ438" s="3">
        <v>4318.8999999999996</v>
      </c>
      <c r="CA438" s="3">
        <v>7020.1</v>
      </c>
      <c r="CB438" s="3">
        <v>7433.1</v>
      </c>
      <c r="CC438" s="3">
        <v>7667.1</v>
      </c>
      <c r="CD438" s="3">
        <v>7585.9</v>
      </c>
      <c r="CE438" s="3">
        <v>8467.7999999999993</v>
      </c>
      <c r="CF438" s="3">
        <v>8152.2</v>
      </c>
      <c r="CG438" s="3">
        <v>9062</v>
      </c>
      <c r="CH438" s="3">
        <v>11156</v>
      </c>
      <c r="CI438" s="3">
        <v>11399.8</v>
      </c>
      <c r="CJ438" s="3">
        <v>11730.5</v>
      </c>
      <c r="CK438" s="3">
        <v>11946.5</v>
      </c>
      <c r="CL438" s="3">
        <v>11902.7</v>
      </c>
      <c r="CM438" s="3">
        <v>12091.9</v>
      </c>
      <c r="CN438" s="3">
        <v>12616.6</v>
      </c>
      <c r="CO438" s="3">
        <v>14782.4</v>
      </c>
      <c r="CP438" s="3">
        <v>14335.4</v>
      </c>
      <c r="CQ438" s="3">
        <v>14657.5</v>
      </c>
      <c r="CR438" s="3">
        <v>15638.2</v>
      </c>
      <c r="CS438" s="3">
        <v>16842.7</v>
      </c>
      <c r="CT438" s="3">
        <v>17395.7</v>
      </c>
    </row>
    <row r="439" spans="1:98">
      <c r="A439" s="4" t="s">
        <v>535</v>
      </c>
      <c r="B439" s="5">
        <v>100</v>
      </c>
      <c r="C439" s="5">
        <v>104.2</v>
      </c>
      <c r="D439" s="5">
        <v>103.5</v>
      </c>
      <c r="E439" s="5">
        <v>106.3</v>
      </c>
      <c r="F439" s="5">
        <v>115.1</v>
      </c>
      <c r="G439" s="5">
        <v>140.6</v>
      </c>
      <c r="H439" s="5">
        <v>146.80000000000001</v>
      </c>
      <c r="I439" s="5">
        <v>144.30000000000001</v>
      </c>
      <c r="J439" s="5">
        <v>141.19999999999999</v>
      </c>
      <c r="K439" s="5">
        <v>140.5</v>
      </c>
      <c r="L439" s="5">
        <v>137.1</v>
      </c>
      <c r="M439" s="5">
        <v>139.1</v>
      </c>
      <c r="N439" s="5">
        <v>137.69999999999999</v>
      </c>
      <c r="O439" s="5">
        <v>150.19999999999999</v>
      </c>
      <c r="P439" s="5">
        <v>159.4</v>
      </c>
      <c r="Q439" s="5">
        <v>172</v>
      </c>
      <c r="R439" s="5">
        <v>171.7</v>
      </c>
      <c r="S439" s="5">
        <v>186.9</v>
      </c>
      <c r="T439" s="5">
        <v>186.2</v>
      </c>
      <c r="U439" s="5">
        <v>200.8</v>
      </c>
      <c r="V439" s="5">
        <v>212.5</v>
      </c>
      <c r="W439" s="5">
        <v>220.2</v>
      </c>
      <c r="X439" s="5">
        <v>221.2</v>
      </c>
      <c r="Y439" s="5">
        <v>217.7</v>
      </c>
      <c r="Z439" s="5">
        <v>195.7</v>
      </c>
      <c r="AA439" s="5">
        <v>194.3</v>
      </c>
      <c r="AB439" s="5">
        <v>199.9</v>
      </c>
      <c r="AC439" s="5">
        <v>201.2</v>
      </c>
      <c r="AD439" s="5">
        <v>210.8</v>
      </c>
      <c r="AE439" s="5">
        <v>228.8</v>
      </c>
      <c r="AF439" s="5">
        <v>232</v>
      </c>
      <c r="AG439" s="5">
        <v>243.6</v>
      </c>
      <c r="AH439" s="5">
        <v>248.5</v>
      </c>
      <c r="AI439" s="5">
        <v>258.39999999999998</v>
      </c>
      <c r="AJ439" s="5">
        <v>260.2</v>
      </c>
      <c r="AK439" s="5">
        <v>263.5</v>
      </c>
      <c r="AL439" s="5">
        <v>265.7</v>
      </c>
      <c r="AM439" s="5">
        <v>284.60000000000002</v>
      </c>
      <c r="AN439" s="5">
        <v>319.60000000000002</v>
      </c>
      <c r="AO439" s="5">
        <v>377.6</v>
      </c>
      <c r="AP439" s="5">
        <v>397.4</v>
      </c>
      <c r="AQ439" s="5">
        <v>423.1</v>
      </c>
      <c r="AR439" s="5">
        <v>410.4</v>
      </c>
      <c r="AS439" s="5">
        <v>402.9</v>
      </c>
      <c r="AT439" s="5">
        <v>406.4</v>
      </c>
      <c r="AU439" s="5">
        <v>455</v>
      </c>
      <c r="AV439" s="5">
        <v>458.6</v>
      </c>
      <c r="AW439" s="5">
        <v>438.9</v>
      </c>
      <c r="AX439" s="5">
        <v>441.8</v>
      </c>
      <c r="AY439" s="5">
        <v>461.4</v>
      </c>
      <c r="AZ439" s="5">
        <v>463.3</v>
      </c>
      <c r="BA439" s="5">
        <v>442</v>
      </c>
      <c r="BB439" s="5">
        <v>437.6</v>
      </c>
      <c r="BC439" s="5">
        <v>485.9</v>
      </c>
      <c r="BD439" s="5">
        <v>489.2</v>
      </c>
      <c r="BE439" s="5">
        <v>512.6</v>
      </c>
      <c r="BF439" s="5">
        <v>514.70000000000005</v>
      </c>
      <c r="BG439" s="5">
        <v>540</v>
      </c>
      <c r="BH439" s="5">
        <v>564.6</v>
      </c>
      <c r="BI439" s="5">
        <v>608.6</v>
      </c>
      <c r="BJ439" s="5">
        <v>638.1</v>
      </c>
      <c r="BK439" s="5">
        <v>708.2</v>
      </c>
      <c r="BL439" s="5">
        <v>892.7</v>
      </c>
      <c r="BM439" s="5">
        <v>786.7</v>
      </c>
      <c r="BN439" s="5">
        <v>907.7</v>
      </c>
      <c r="BO439" s="5">
        <v>863.1</v>
      </c>
      <c r="BP439" s="5">
        <v>882.7</v>
      </c>
      <c r="BQ439" s="5">
        <v>1067.5</v>
      </c>
      <c r="BR439" s="5">
        <v>974.7</v>
      </c>
      <c r="BS439" s="5">
        <v>1000.3</v>
      </c>
      <c r="BT439" s="5">
        <v>1149.5999999999999</v>
      </c>
      <c r="BU439" s="5">
        <v>1318.2</v>
      </c>
      <c r="BV439" s="5">
        <v>1990.9</v>
      </c>
      <c r="BW439" s="5">
        <v>1688.8</v>
      </c>
      <c r="BX439" s="5">
        <v>2090</v>
      </c>
      <c r="BY439" s="5">
        <v>1834.6</v>
      </c>
      <c r="BZ439" s="5">
        <v>1917.9</v>
      </c>
      <c r="CA439" s="5">
        <v>2501.9</v>
      </c>
      <c r="CB439" s="5">
        <v>2644.9</v>
      </c>
      <c r="CC439" s="5">
        <v>2760.4</v>
      </c>
      <c r="CD439" s="5">
        <v>2774.8</v>
      </c>
      <c r="CE439" s="5">
        <v>3420.6</v>
      </c>
      <c r="CF439" s="5">
        <v>3546.3</v>
      </c>
      <c r="CG439" s="5">
        <v>3450.9</v>
      </c>
      <c r="CH439" s="5">
        <v>4006.4</v>
      </c>
      <c r="CI439" s="5">
        <v>4028.9</v>
      </c>
      <c r="CJ439" s="5">
        <v>4053.8</v>
      </c>
      <c r="CK439" s="5">
        <v>4447</v>
      </c>
      <c r="CL439" s="5">
        <v>4533.1000000000004</v>
      </c>
      <c r="CM439" s="5">
        <v>5041.8999999999996</v>
      </c>
      <c r="CN439" s="5">
        <v>5180.6000000000004</v>
      </c>
      <c r="CO439" s="5">
        <v>6274.5</v>
      </c>
      <c r="CP439" s="5">
        <v>6544.5</v>
      </c>
      <c r="CQ439" s="5">
        <v>6608.1</v>
      </c>
      <c r="CR439" s="5">
        <v>6875.1</v>
      </c>
      <c r="CS439" s="5">
        <v>7007.1</v>
      </c>
      <c r="CT439" s="5">
        <v>7178.2</v>
      </c>
    </row>
    <row r="440" spans="1:98">
      <c r="A440" s="2" t="s">
        <v>536</v>
      </c>
      <c r="B440" s="3">
        <v>100</v>
      </c>
      <c r="C440" s="3">
        <v>109</v>
      </c>
      <c r="D440" s="3">
        <v>112.8</v>
      </c>
      <c r="E440" s="3">
        <v>114.9</v>
      </c>
      <c r="F440" s="3">
        <v>117</v>
      </c>
      <c r="G440" s="3">
        <v>133.4</v>
      </c>
      <c r="H440" s="3">
        <v>137.1</v>
      </c>
      <c r="I440" s="3">
        <v>139.80000000000001</v>
      </c>
      <c r="J440" s="3">
        <v>139.80000000000001</v>
      </c>
      <c r="K440" s="3">
        <v>147.80000000000001</v>
      </c>
      <c r="L440" s="3">
        <v>149.9</v>
      </c>
      <c r="M440" s="3">
        <v>152.5</v>
      </c>
      <c r="N440" s="3">
        <v>153.30000000000001</v>
      </c>
      <c r="O440" s="3">
        <v>166.8</v>
      </c>
      <c r="P440" s="3">
        <v>170.5</v>
      </c>
      <c r="Q440" s="3">
        <v>171.4</v>
      </c>
      <c r="R440" s="3">
        <v>171.7</v>
      </c>
      <c r="S440" s="3">
        <v>189.7</v>
      </c>
      <c r="T440" s="3">
        <v>192.2</v>
      </c>
      <c r="U440" s="3">
        <v>198.6</v>
      </c>
      <c r="V440" s="3">
        <v>203</v>
      </c>
      <c r="W440" s="3">
        <v>226</v>
      </c>
      <c r="X440" s="3">
        <v>228.4</v>
      </c>
      <c r="Y440" s="3">
        <v>233.1</v>
      </c>
      <c r="Z440" s="3">
        <v>234.3</v>
      </c>
      <c r="AA440" s="3">
        <v>251.6</v>
      </c>
      <c r="AB440" s="3">
        <v>255.7</v>
      </c>
      <c r="AC440" s="3">
        <v>259.39999999999998</v>
      </c>
      <c r="AD440" s="3">
        <v>264.5</v>
      </c>
      <c r="AE440" s="3">
        <v>283.5</v>
      </c>
      <c r="AF440" s="3">
        <v>285.5</v>
      </c>
      <c r="AG440" s="3">
        <v>290.89999999999998</v>
      </c>
      <c r="AH440" s="3">
        <v>302.10000000000002</v>
      </c>
      <c r="AI440" s="3">
        <v>323.10000000000002</v>
      </c>
      <c r="AJ440" s="3">
        <v>329.7</v>
      </c>
      <c r="AK440" s="3">
        <v>337.1</v>
      </c>
      <c r="AL440" s="3">
        <v>342.6</v>
      </c>
      <c r="AM440" s="3">
        <v>380.3</v>
      </c>
      <c r="AN440" s="3">
        <v>399.9</v>
      </c>
      <c r="AO440" s="3">
        <v>420.3</v>
      </c>
      <c r="AP440" s="3">
        <v>429.7</v>
      </c>
      <c r="AQ440" s="3">
        <v>486.1</v>
      </c>
      <c r="AR440" s="3">
        <v>495.3</v>
      </c>
      <c r="AS440" s="3">
        <v>510.1</v>
      </c>
      <c r="AT440" s="3">
        <v>524.1</v>
      </c>
      <c r="AU440" s="3">
        <v>607.9</v>
      </c>
      <c r="AV440" s="3">
        <v>618.6</v>
      </c>
      <c r="AW440" s="3">
        <v>628.1</v>
      </c>
      <c r="AX440" s="3">
        <v>637.79999999999995</v>
      </c>
      <c r="AY440" s="3">
        <v>703.7</v>
      </c>
      <c r="AZ440" s="3">
        <v>709.7</v>
      </c>
      <c r="BA440" s="3">
        <v>715</v>
      </c>
      <c r="BB440" s="3">
        <v>720.4</v>
      </c>
      <c r="BC440" s="3">
        <v>778.8</v>
      </c>
      <c r="BD440" s="3">
        <v>786</v>
      </c>
      <c r="BE440" s="3">
        <v>793.2</v>
      </c>
      <c r="BF440" s="3">
        <v>800.4</v>
      </c>
      <c r="BG440" s="3">
        <v>871.2</v>
      </c>
      <c r="BH440" s="3">
        <v>875.6</v>
      </c>
      <c r="BI440" s="3">
        <v>888.4</v>
      </c>
      <c r="BJ440" s="3">
        <v>896.4</v>
      </c>
      <c r="BK440" s="3">
        <v>1029.0999999999999</v>
      </c>
      <c r="BL440" s="3">
        <v>1112.3</v>
      </c>
      <c r="BM440" s="3">
        <v>1075.7</v>
      </c>
      <c r="BN440" s="3">
        <v>1141</v>
      </c>
      <c r="BO440" s="3">
        <v>1085.5</v>
      </c>
      <c r="BP440" s="3">
        <v>1095</v>
      </c>
      <c r="BQ440" s="3">
        <v>1390.2</v>
      </c>
      <c r="BR440" s="3">
        <v>1452.4</v>
      </c>
      <c r="BS440" s="3">
        <v>1479.2</v>
      </c>
      <c r="BT440" s="3">
        <v>1514</v>
      </c>
      <c r="BU440" s="3">
        <v>1848.6</v>
      </c>
      <c r="BV440" s="3">
        <v>2266.5</v>
      </c>
      <c r="BW440" s="3">
        <v>2019.7</v>
      </c>
      <c r="BX440" s="3">
        <v>2380</v>
      </c>
      <c r="BY440" s="3">
        <v>2033.3</v>
      </c>
      <c r="BZ440" s="3">
        <v>2063.6</v>
      </c>
      <c r="CA440" s="3">
        <v>3124.9</v>
      </c>
      <c r="CB440" s="3">
        <v>3272.5</v>
      </c>
      <c r="CC440" s="3">
        <v>3279.6</v>
      </c>
      <c r="CD440" s="3">
        <v>3296.3</v>
      </c>
      <c r="CE440" s="3">
        <v>4285.2</v>
      </c>
      <c r="CF440" s="3">
        <v>4367.6000000000004</v>
      </c>
      <c r="CG440" s="3">
        <v>4641.2</v>
      </c>
      <c r="CH440" s="3">
        <v>4812.6000000000004</v>
      </c>
      <c r="CI440" s="3">
        <v>4812.6000000000004</v>
      </c>
      <c r="CJ440" s="3">
        <v>4812.6000000000004</v>
      </c>
      <c r="CK440" s="3">
        <v>5948.4</v>
      </c>
      <c r="CL440" s="3">
        <v>6150.5</v>
      </c>
      <c r="CM440" s="3">
        <v>6309.3</v>
      </c>
      <c r="CN440" s="3">
        <v>6472.9</v>
      </c>
      <c r="CO440" s="3">
        <v>8058.8</v>
      </c>
      <c r="CP440" s="3">
        <v>8375.9</v>
      </c>
      <c r="CQ440" s="3">
        <v>8388.9</v>
      </c>
      <c r="CR440" s="3">
        <v>8738.4</v>
      </c>
      <c r="CS440" s="3">
        <v>8816.1</v>
      </c>
      <c r="CT440" s="3">
        <v>8893.7999999999993</v>
      </c>
    </row>
    <row r="441" spans="1:98">
      <c r="A441" s="4" t="s">
        <v>537</v>
      </c>
      <c r="B441" s="5"/>
      <c r="C441" s="5"/>
      <c r="D441" s="5"/>
      <c r="E441" s="5"/>
      <c r="F441" s="5"/>
      <c r="G441" s="5">
        <v>104.2</v>
      </c>
      <c r="H441" s="5">
        <v>104.6</v>
      </c>
      <c r="I441" s="5">
        <v>110.9</v>
      </c>
      <c r="J441" s="5">
        <v>110.9</v>
      </c>
      <c r="K441" s="5">
        <v>111.8</v>
      </c>
      <c r="L441" s="5">
        <v>112.1</v>
      </c>
      <c r="M441" s="5">
        <v>124.9</v>
      </c>
      <c r="N441" s="5">
        <v>125</v>
      </c>
      <c r="O441" s="5">
        <v>125.9</v>
      </c>
      <c r="P441" s="5">
        <v>125.9</v>
      </c>
      <c r="Q441" s="5">
        <v>127.7</v>
      </c>
      <c r="R441" s="5">
        <v>127.7</v>
      </c>
      <c r="S441" s="5">
        <v>138.80000000000001</v>
      </c>
      <c r="T441" s="5">
        <v>139.1</v>
      </c>
      <c r="U441" s="5">
        <v>139.80000000000001</v>
      </c>
      <c r="V441" s="5">
        <v>140.4</v>
      </c>
      <c r="W441" s="5">
        <v>144.1</v>
      </c>
      <c r="X441" s="5">
        <v>144.4</v>
      </c>
      <c r="Y441" s="5">
        <v>142.69999999999999</v>
      </c>
      <c r="Z441" s="5">
        <v>142.9</v>
      </c>
      <c r="AA441" s="5">
        <v>124.4</v>
      </c>
      <c r="AB441" s="5">
        <v>124.8</v>
      </c>
      <c r="AC441" s="5">
        <v>128.30000000000001</v>
      </c>
      <c r="AD441" s="5">
        <v>128.69999999999999</v>
      </c>
      <c r="AE441" s="5">
        <v>136.6</v>
      </c>
      <c r="AF441" s="5">
        <v>136.9</v>
      </c>
      <c r="AG441" s="5">
        <v>142.6</v>
      </c>
      <c r="AH441" s="5">
        <v>149.9</v>
      </c>
      <c r="AI441" s="5">
        <v>153.80000000000001</v>
      </c>
      <c r="AJ441" s="5">
        <v>154.69999999999999</v>
      </c>
      <c r="AK441" s="5">
        <v>144.5</v>
      </c>
      <c r="AL441" s="5">
        <v>153.5</v>
      </c>
      <c r="AM441" s="5">
        <v>175.2</v>
      </c>
      <c r="AN441" s="5">
        <v>181.8</v>
      </c>
      <c r="AO441" s="5">
        <v>244.6</v>
      </c>
      <c r="AP441" s="5">
        <v>270.5</v>
      </c>
      <c r="AQ441" s="5">
        <v>277.5</v>
      </c>
      <c r="AR441" s="5">
        <v>279</v>
      </c>
      <c r="AS441" s="5">
        <v>281.2</v>
      </c>
      <c r="AT441" s="5">
        <v>283.2</v>
      </c>
      <c r="AU441" s="5">
        <v>293.5</v>
      </c>
      <c r="AV441" s="5">
        <v>295.10000000000002</v>
      </c>
      <c r="AW441" s="5">
        <v>313</v>
      </c>
      <c r="AX441" s="5">
        <v>314.2</v>
      </c>
      <c r="AY441" s="5">
        <v>322.60000000000002</v>
      </c>
      <c r="AZ441" s="5">
        <v>323.39999999999998</v>
      </c>
      <c r="BA441" s="5">
        <v>324</v>
      </c>
      <c r="BB441" s="5">
        <v>324.60000000000002</v>
      </c>
      <c r="BC441" s="5">
        <v>332.2</v>
      </c>
      <c r="BD441" s="5">
        <v>333.2</v>
      </c>
      <c r="BE441" s="5">
        <v>334.2</v>
      </c>
      <c r="BF441" s="5">
        <v>335.1</v>
      </c>
      <c r="BG441" s="5">
        <v>344</v>
      </c>
      <c r="BH441" s="5">
        <v>344.8</v>
      </c>
      <c r="BI441" s="5">
        <v>384.2</v>
      </c>
      <c r="BJ441" s="5">
        <v>385.3</v>
      </c>
      <c r="BK441" s="5">
        <v>451.7</v>
      </c>
      <c r="BL441" s="5">
        <v>639</v>
      </c>
      <c r="BM441" s="5">
        <v>516.4</v>
      </c>
      <c r="BN441" s="5">
        <v>644.20000000000005</v>
      </c>
      <c r="BO441" s="5">
        <v>544.5</v>
      </c>
      <c r="BP441" s="5">
        <v>574.20000000000005</v>
      </c>
      <c r="BQ441" s="5">
        <v>675.5</v>
      </c>
      <c r="BR441" s="5">
        <v>685.1</v>
      </c>
      <c r="BS441" s="5">
        <v>690</v>
      </c>
      <c r="BT441" s="5">
        <v>696.4</v>
      </c>
      <c r="BU441" s="5">
        <v>767.7</v>
      </c>
      <c r="BV441" s="5">
        <v>1246.7</v>
      </c>
      <c r="BW441" s="5">
        <v>930.7</v>
      </c>
      <c r="BX441" s="5">
        <v>1263.7</v>
      </c>
      <c r="BY441" s="5">
        <v>935.4</v>
      </c>
      <c r="BZ441" s="5">
        <v>998.5</v>
      </c>
      <c r="CA441" s="5">
        <v>1409.9</v>
      </c>
      <c r="CB441" s="5">
        <v>1440</v>
      </c>
      <c r="CC441" s="5">
        <v>1546.4</v>
      </c>
      <c r="CD441" s="5">
        <v>1553.3</v>
      </c>
      <c r="CE441" s="5">
        <v>1811.7</v>
      </c>
      <c r="CF441" s="5">
        <v>1826.8</v>
      </c>
      <c r="CG441" s="5">
        <v>2000.1</v>
      </c>
      <c r="CH441" s="5">
        <v>2145.1999999999998</v>
      </c>
      <c r="CI441" s="5">
        <v>2305.8000000000002</v>
      </c>
      <c r="CJ441" s="5">
        <v>2466.4</v>
      </c>
      <c r="CK441" s="5">
        <v>2918.8</v>
      </c>
      <c r="CL441" s="5">
        <v>2989.2</v>
      </c>
      <c r="CM441" s="5">
        <v>3168.8</v>
      </c>
      <c r="CN441" s="5">
        <v>3195.5</v>
      </c>
      <c r="CO441" s="5">
        <v>3800.6</v>
      </c>
      <c r="CP441" s="5">
        <v>3852.6</v>
      </c>
      <c r="CQ441" s="5">
        <v>4188.5</v>
      </c>
      <c r="CR441" s="5">
        <v>4247.6000000000004</v>
      </c>
      <c r="CS441" s="5">
        <v>4260.3</v>
      </c>
      <c r="CT441" s="5">
        <v>4375.8</v>
      </c>
    </row>
    <row r="442" spans="1:98">
      <c r="A442" s="2" t="s">
        <v>538</v>
      </c>
      <c r="B442" s="3">
        <v>100</v>
      </c>
      <c r="C442" s="3">
        <v>101.9</v>
      </c>
      <c r="D442" s="3">
        <v>104.6</v>
      </c>
      <c r="E442" s="3">
        <v>119.5</v>
      </c>
      <c r="F442" s="3">
        <v>120</v>
      </c>
      <c r="G442" s="3">
        <v>145.6</v>
      </c>
      <c r="H442" s="3">
        <v>146.5</v>
      </c>
      <c r="I442" s="3">
        <v>147.1</v>
      </c>
      <c r="J442" s="3">
        <v>147.1</v>
      </c>
      <c r="K442" s="3">
        <v>166.9</v>
      </c>
      <c r="L442" s="3">
        <v>167.3</v>
      </c>
      <c r="M442" s="3">
        <v>168.1</v>
      </c>
      <c r="N442" s="3">
        <v>168.3</v>
      </c>
      <c r="O442" s="3">
        <v>185.2</v>
      </c>
      <c r="P442" s="3">
        <v>185.2</v>
      </c>
      <c r="Q442" s="3">
        <v>187.3</v>
      </c>
      <c r="R442" s="3">
        <v>187.3</v>
      </c>
      <c r="S442" s="3">
        <v>208.9</v>
      </c>
      <c r="T442" s="3">
        <v>209.5</v>
      </c>
      <c r="U442" s="3">
        <v>211.4</v>
      </c>
      <c r="V442" s="3">
        <v>212.6</v>
      </c>
      <c r="W442" s="3">
        <v>267</v>
      </c>
      <c r="X442" s="3">
        <v>289.39999999999998</v>
      </c>
      <c r="Y442" s="3">
        <v>262.3</v>
      </c>
      <c r="Z442" s="3">
        <v>262.39999999999998</v>
      </c>
      <c r="AA442" s="3">
        <v>265.60000000000002</v>
      </c>
      <c r="AB442" s="3">
        <v>266.3</v>
      </c>
      <c r="AC442" s="3">
        <v>267.10000000000002</v>
      </c>
      <c r="AD442" s="3">
        <v>267.60000000000002</v>
      </c>
      <c r="AE442" s="3">
        <v>292.39999999999998</v>
      </c>
      <c r="AF442" s="3">
        <v>303.3</v>
      </c>
      <c r="AG442" s="3">
        <v>304.3</v>
      </c>
      <c r="AH442" s="3">
        <v>310.8</v>
      </c>
      <c r="AI442" s="3">
        <v>317.2</v>
      </c>
      <c r="AJ442" s="3">
        <v>319.39999999999998</v>
      </c>
      <c r="AK442" s="3">
        <v>321.8</v>
      </c>
      <c r="AL442" s="3">
        <v>324.2</v>
      </c>
      <c r="AM442" s="3">
        <v>332.6</v>
      </c>
      <c r="AN442" s="3">
        <v>336.9</v>
      </c>
      <c r="AO442" s="3">
        <v>344</v>
      </c>
      <c r="AP442" s="3">
        <v>347.2</v>
      </c>
      <c r="AQ442" s="3">
        <v>359.3</v>
      </c>
      <c r="AR442" s="3">
        <v>361.8</v>
      </c>
      <c r="AS442" s="3">
        <v>364.9</v>
      </c>
      <c r="AT442" s="3">
        <v>367.6</v>
      </c>
      <c r="AU442" s="3">
        <v>385.3</v>
      </c>
      <c r="AV442" s="3">
        <v>388</v>
      </c>
      <c r="AW442" s="3">
        <v>389</v>
      </c>
      <c r="AX442" s="3">
        <v>390</v>
      </c>
      <c r="AY442" s="3">
        <v>391</v>
      </c>
      <c r="AZ442" s="3">
        <v>392</v>
      </c>
      <c r="BA442" s="3">
        <v>393</v>
      </c>
      <c r="BB442" s="3">
        <v>394</v>
      </c>
      <c r="BC442" s="3">
        <v>395</v>
      </c>
      <c r="BD442" s="3">
        <v>396</v>
      </c>
      <c r="BE442" s="3">
        <v>397</v>
      </c>
      <c r="BF442" s="3">
        <v>398</v>
      </c>
      <c r="BG442" s="3">
        <v>399</v>
      </c>
      <c r="BH442" s="3">
        <v>400</v>
      </c>
      <c r="BI442" s="3">
        <v>401</v>
      </c>
      <c r="BJ442" s="3">
        <v>402</v>
      </c>
      <c r="BK442" s="3">
        <v>403</v>
      </c>
      <c r="BL442" s="3">
        <v>406</v>
      </c>
      <c r="BM442" s="3">
        <v>404</v>
      </c>
      <c r="BN442" s="3">
        <v>407</v>
      </c>
      <c r="BO442" s="3">
        <v>405</v>
      </c>
      <c r="BP442" s="3">
        <v>406</v>
      </c>
      <c r="BQ442" s="3">
        <v>408</v>
      </c>
      <c r="BR442" s="3">
        <v>409</v>
      </c>
      <c r="BS442" s="3">
        <v>410</v>
      </c>
      <c r="BT442" s="3">
        <v>411</v>
      </c>
      <c r="BU442" s="3">
        <v>412</v>
      </c>
      <c r="BV442" s="3">
        <v>1416</v>
      </c>
      <c r="BW442" s="3">
        <v>413</v>
      </c>
      <c r="BX442" s="3">
        <v>417</v>
      </c>
      <c r="BY442" s="3">
        <v>414</v>
      </c>
      <c r="BZ442" s="3">
        <v>415</v>
      </c>
      <c r="CA442" s="3">
        <v>418</v>
      </c>
      <c r="CB442" s="3">
        <v>419</v>
      </c>
      <c r="CC442" s="3">
        <v>420</v>
      </c>
      <c r="CD442" s="3">
        <v>421</v>
      </c>
      <c r="CE442" s="3">
        <v>422</v>
      </c>
      <c r="CF442" s="3">
        <v>423</v>
      </c>
      <c r="CG442" s="3">
        <v>424</v>
      </c>
      <c r="CH442" s="3">
        <v>425</v>
      </c>
      <c r="CI442" s="3">
        <v>425</v>
      </c>
      <c r="CJ442" s="3">
        <v>425</v>
      </c>
      <c r="CK442" s="3">
        <v>426</v>
      </c>
      <c r="CL442" s="3">
        <v>427</v>
      </c>
      <c r="CM442" s="3">
        <v>428</v>
      </c>
      <c r="CN442" s="3">
        <v>429</v>
      </c>
      <c r="CO442" s="3">
        <v>430</v>
      </c>
      <c r="CP442" s="3">
        <v>431</v>
      </c>
      <c r="CQ442" s="3">
        <v>432</v>
      </c>
      <c r="CR442" s="3">
        <v>433</v>
      </c>
      <c r="CS442" s="3">
        <v>433</v>
      </c>
      <c r="CT442" s="3">
        <v>433</v>
      </c>
    </row>
    <row r="443" spans="1:98">
      <c r="A443" s="4" t="s">
        <v>539</v>
      </c>
      <c r="B443" s="5">
        <v>100</v>
      </c>
      <c r="C443" s="5">
        <v>101.8</v>
      </c>
      <c r="D443" s="5">
        <v>102.6</v>
      </c>
      <c r="E443" s="5">
        <v>110</v>
      </c>
      <c r="F443" s="5">
        <v>118.3</v>
      </c>
      <c r="G443" s="5">
        <v>133.5</v>
      </c>
      <c r="H443" s="5">
        <v>135.19999999999999</v>
      </c>
      <c r="I443" s="5">
        <v>135.69999999999999</v>
      </c>
      <c r="J443" s="5">
        <v>137.9</v>
      </c>
      <c r="K443" s="5">
        <v>169.8</v>
      </c>
      <c r="L443" s="5">
        <v>175.2</v>
      </c>
      <c r="M443" s="5">
        <v>173.3</v>
      </c>
      <c r="N443" s="5">
        <v>187.5</v>
      </c>
      <c r="O443" s="5">
        <v>252</v>
      </c>
      <c r="P443" s="5">
        <v>265.3</v>
      </c>
      <c r="Q443" s="5">
        <v>268.10000000000002</v>
      </c>
      <c r="R443" s="5">
        <v>243.8</v>
      </c>
      <c r="S443" s="5">
        <v>298.7</v>
      </c>
      <c r="T443" s="5">
        <v>303.39999999999998</v>
      </c>
      <c r="U443" s="5">
        <v>305.3</v>
      </c>
      <c r="V443" s="5">
        <v>313.5</v>
      </c>
      <c r="W443" s="5">
        <v>340.1</v>
      </c>
      <c r="X443" s="5">
        <v>328.7</v>
      </c>
      <c r="Y443" s="5">
        <v>223</v>
      </c>
      <c r="Z443" s="5">
        <v>225.9</v>
      </c>
      <c r="AA443" s="5">
        <v>260.5</v>
      </c>
      <c r="AB443" s="5">
        <v>287.10000000000002</v>
      </c>
      <c r="AC443" s="5">
        <v>306.10000000000002</v>
      </c>
      <c r="AD443" s="5">
        <v>311.10000000000002</v>
      </c>
      <c r="AE443" s="5">
        <v>330.2</v>
      </c>
      <c r="AF443" s="5">
        <v>329.4</v>
      </c>
      <c r="AG443" s="5">
        <v>352.8</v>
      </c>
      <c r="AH443" s="5">
        <v>390.1</v>
      </c>
      <c r="AI443" s="5">
        <v>417.5</v>
      </c>
      <c r="AJ443" s="5">
        <v>422.8</v>
      </c>
      <c r="AK443" s="5">
        <v>511.9</v>
      </c>
      <c r="AL443" s="5">
        <v>513.29999999999995</v>
      </c>
      <c r="AM443" s="5">
        <v>526.6</v>
      </c>
      <c r="AN443" s="5">
        <v>587.9</v>
      </c>
      <c r="AO443" s="5">
        <v>771</v>
      </c>
      <c r="AP443" s="5">
        <v>787.8</v>
      </c>
      <c r="AQ443" s="5">
        <v>796.3</v>
      </c>
      <c r="AR443" s="5">
        <v>756.8</v>
      </c>
      <c r="AS443" s="5">
        <v>745.1</v>
      </c>
      <c r="AT443" s="5">
        <v>748</v>
      </c>
      <c r="AU443" s="5">
        <v>821.4</v>
      </c>
      <c r="AV443" s="5">
        <v>844.9</v>
      </c>
      <c r="AW443" s="5">
        <v>811.8</v>
      </c>
      <c r="AX443" s="5">
        <v>779.1</v>
      </c>
      <c r="AY443" s="5">
        <v>785.8</v>
      </c>
      <c r="AZ443" s="5">
        <v>731.6</v>
      </c>
      <c r="BA443" s="5">
        <v>697.7</v>
      </c>
      <c r="BB443" s="5">
        <v>690.4</v>
      </c>
      <c r="BC443" s="5">
        <v>684.4</v>
      </c>
      <c r="BD443" s="5">
        <v>698.9</v>
      </c>
      <c r="BE443" s="5">
        <v>769.6</v>
      </c>
      <c r="BF443" s="5">
        <v>824.6</v>
      </c>
      <c r="BG443" s="5">
        <v>852.7</v>
      </c>
      <c r="BH443" s="5">
        <v>923.6</v>
      </c>
      <c r="BI443" s="5">
        <v>1032.4000000000001</v>
      </c>
      <c r="BJ443" s="5">
        <v>1073.0999999999999</v>
      </c>
      <c r="BK443" s="5">
        <v>1131.2</v>
      </c>
      <c r="BL443" s="5">
        <v>1874.1</v>
      </c>
      <c r="BM443" s="5">
        <v>1270.0999999999999</v>
      </c>
      <c r="BN443" s="5">
        <v>1768.7</v>
      </c>
      <c r="BO443" s="5">
        <v>1360.1</v>
      </c>
      <c r="BP443" s="5">
        <v>1449.9</v>
      </c>
      <c r="BQ443" s="5">
        <v>2242.1</v>
      </c>
      <c r="BR443" s="5">
        <v>2273.1</v>
      </c>
      <c r="BS443" s="5">
        <v>2112.1</v>
      </c>
      <c r="BT443" s="5">
        <v>2197.8000000000002</v>
      </c>
      <c r="BU443" s="5">
        <v>2516.6999999999998</v>
      </c>
      <c r="BV443" s="5">
        <v>4798.2</v>
      </c>
      <c r="BW443" s="5">
        <v>2793.2</v>
      </c>
      <c r="BX443" s="5">
        <v>5559.2</v>
      </c>
      <c r="BY443" s="5">
        <v>3164.7</v>
      </c>
      <c r="BZ443" s="5">
        <v>3735.3</v>
      </c>
      <c r="CA443" s="5">
        <v>6073.9</v>
      </c>
      <c r="CB443" s="5">
        <v>6200</v>
      </c>
      <c r="CC443" s="5">
        <v>6521.4</v>
      </c>
      <c r="CD443" s="5">
        <v>6809.8</v>
      </c>
      <c r="CE443" s="5">
        <v>7388.8</v>
      </c>
      <c r="CF443" s="5">
        <v>7247.4</v>
      </c>
      <c r="CG443" s="5">
        <v>8068.4</v>
      </c>
      <c r="CH443" s="5">
        <v>9094.7000000000007</v>
      </c>
      <c r="CI443" s="5">
        <v>10244.1</v>
      </c>
      <c r="CJ443" s="5">
        <v>11244</v>
      </c>
      <c r="CK443" s="5">
        <v>10801.1</v>
      </c>
      <c r="CL443" s="5">
        <v>10580.8</v>
      </c>
      <c r="CM443" s="5">
        <v>10446.700000000001</v>
      </c>
      <c r="CN443" s="5">
        <v>10657.7</v>
      </c>
      <c r="CO443" s="5">
        <v>13860.6</v>
      </c>
      <c r="CP443" s="5">
        <v>13523.2</v>
      </c>
      <c r="CQ443" s="5">
        <v>13911.8</v>
      </c>
      <c r="CR443" s="5">
        <v>15192.3</v>
      </c>
      <c r="CS443" s="5">
        <v>17364.400000000001</v>
      </c>
      <c r="CT443" s="5">
        <v>19294.5</v>
      </c>
    </row>
    <row r="444" spans="1:98">
      <c r="A444" s="2" t="s">
        <v>540</v>
      </c>
      <c r="B444" s="3">
        <v>100</v>
      </c>
      <c r="C444" s="3">
        <v>112.2</v>
      </c>
      <c r="D444" s="3">
        <v>112.6</v>
      </c>
      <c r="E444" s="3">
        <v>112.8</v>
      </c>
      <c r="F444" s="3">
        <v>113</v>
      </c>
      <c r="G444" s="3">
        <v>128.9</v>
      </c>
      <c r="H444" s="3">
        <v>129.30000000000001</v>
      </c>
      <c r="I444" s="3">
        <v>129.6</v>
      </c>
      <c r="J444" s="3">
        <v>129.6</v>
      </c>
      <c r="K444" s="3">
        <v>141.9</v>
      </c>
      <c r="L444" s="3">
        <v>142.1</v>
      </c>
      <c r="M444" s="3">
        <v>149.69999999999999</v>
      </c>
      <c r="N444" s="3">
        <v>149.80000000000001</v>
      </c>
      <c r="O444" s="3">
        <v>153.19999999999999</v>
      </c>
      <c r="P444" s="3">
        <v>153.19999999999999</v>
      </c>
      <c r="Q444" s="3">
        <v>187.8</v>
      </c>
      <c r="R444" s="3">
        <v>187.8</v>
      </c>
      <c r="S444" s="3">
        <v>192.3</v>
      </c>
      <c r="T444" s="3">
        <v>192.6</v>
      </c>
      <c r="U444" s="3">
        <v>247.5</v>
      </c>
      <c r="V444" s="3">
        <v>248</v>
      </c>
      <c r="W444" s="3">
        <v>251.1</v>
      </c>
      <c r="X444" s="3">
        <v>251.4</v>
      </c>
      <c r="Y444" s="3">
        <v>252.5</v>
      </c>
      <c r="Z444" s="3">
        <v>250.2</v>
      </c>
      <c r="AA444" s="3">
        <v>251.8</v>
      </c>
      <c r="AB444" s="3">
        <v>252.1</v>
      </c>
      <c r="AC444" s="3">
        <v>252.6</v>
      </c>
      <c r="AD444" s="3">
        <v>253</v>
      </c>
      <c r="AE444" s="3">
        <v>275.8</v>
      </c>
      <c r="AF444" s="3">
        <v>276</v>
      </c>
      <c r="AG444" s="3">
        <v>276.89999999999998</v>
      </c>
      <c r="AH444" s="3">
        <v>279.5</v>
      </c>
      <c r="AI444" s="3">
        <v>316.10000000000002</v>
      </c>
      <c r="AJ444" s="3">
        <v>316.8</v>
      </c>
      <c r="AK444" s="3">
        <v>342.3</v>
      </c>
      <c r="AL444" s="3">
        <v>365</v>
      </c>
      <c r="AM444" s="3">
        <v>393</v>
      </c>
      <c r="AN444" s="3">
        <v>432.5</v>
      </c>
      <c r="AO444" s="3">
        <v>652.79999999999995</v>
      </c>
      <c r="AP444" s="3">
        <v>660.2</v>
      </c>
      <c r="AQ444" s="3">
        <v>666.4</v>
      </c>
      <c r="AR444" s="3">
        <v>667.2</v>
      </c>
      <c r="AS444" s="3">
        <v>709.4</v>
      </c>
      <c r="AT444" s="3">
        <v>710.5</v>
      </c>
      <c r="AU444" s="3">
        <v>719</v>
      </c>
      <c r="AV444" s="3">
        <v>720.1</v>
      </c>
      <c r="AW444" s="3">
        <v>713.8</v>
      </c>
      <c r="AX444" s="3">
        <v>714.6</v>
      </c>
      <c r="AY444" s="3">
        <v>775.6</v>
      </c>
      <c r="AZ444" s="3">
        <v>776.1</v>
      </c>
      <c r="BA444" s="3">
        <v>776.4</v>
      </c>
      <c r="BB444" s="3">
        <v>776.8</v>
      </c>
      <c r="BC444" s="3">
        <v>787.5</v>
      </c>
      <c r="BD444" s="3">
        <v>788.3</v>
      </c>
      <c r="BE444" s="3">
        <v>750.7</v>
      </c>
      <c r="BF444" s="3">
        <v>806.2</v>
      </c>
      <c r="BG444" s="3">
        <v>831.8</v>
      </c>
      <c r="BH444" s="3">
        <v>832</v>
      </c>
      <c r="BI444" s="3">
        <v>906.5</v>
      </c>
      <c r="BJ444" s="3">
        <v>911.9</v>
      </c>
      <c r="BK444" s="3">
        <v>1159.8</v>
      </c>
      <c r="BL444" s="3">
        <v>1913.4</v>
      </c>
      <c r="BM444" s="3">
        <v>1466.6</v>
      </c>
      <c r="BN444" s="3">
        <v>1917.4</v>
      </c>
      <c r="BO444" s="3">
        <v>1700.4</v>
      </c>
      <c r="BP444" s="3">
        <v>1825.5</v>
      </c>
      <c r="BQ444" s="3">
        <v>2158.1</v>
      </c>
      <c r="BR444" s="3">
        <v>2163.6999999999998</v>
      </c>
      <c r="BS444" s="3">
        <v>2325.8000000000002</v>
      </c>
      <c r="BT444" s="3">
        <v>2334.6999999999998</v>
      </c>
      <c r="BU444" s="3">
        <v>2685.2</v>
      </c>
      <c r="BV444" s="3">
        <v>3654</v>
      </c>
      <c r="BW444" s="3">
        <v>2772.8</v>
      </c>
      <c r="BX444" s="3">
        <v>3666.1</v>
      </c>
      <c r="BY444" s="3">
        <v>3274</v>
      </c>
      <c r="BZ444" s="3">
        <v>3303.4</v>
      </c>
      <c r="CA444" s="3">
        <v>4384.3999999999996</v>
      </c>
      <c r="CB444" s="3">
        <v>4512</v>
      </c>
      <c r="CC444" s="3">
        <v>4540.3</v>
      </c>
      <c r="CD444" s="3">
        <v>5066.3999999999996</v>
      </c>
      <c r="CE444" s="3">
        <v>5855.5</v>
      </c>
      <c r="CF444" s="3">
        <v>5962.3</v>
      </c>
      <c r="CG444" s="3">
        <v>6252.1</v>
      </c>
      <c r="CH444" s="3">
        <v>6970.6</v>
      </c>
      <c r="CI444" s="3">
        <v>6973.3</v>
      </c>
      <c r="CJ444" s="3">
        <v>6976.7</v>
      </c>
      <c r="CK444" s="3">
        <v>7087.5</v>
      </c>
      <c r="CL444" s="3">
        <v>7111.4</v>
      </c>
      <c r="CM444" s="3">
        <v>7945</v>
      </c>
      <c r="CN444" s="3">
        <v>7958.2</v>
      </c>
      <c r="CO444" s="3">
        <v>9736.2999999999993</v>
      </c>
      <c r="CP444" s="3">
        <v>9705.5</v>
      </c>
      <c r="CQ444" s="3">
        <v>10020.9</v>
      </c>
      <c r="CR444" s="3">
        <v>10159.5</v>
      </c>
      <c r="CS444" s="3">
        <v>10347.6</v>
      </c>
      <c r="CT444" s="3">
        <v>10444.1</v>
      </c>
    </row>
    <row r="445" spans="1:98">
      <c r="A445" s="4" t="s">
        <v>541</v>
      </c>
      <c r="B445" s="5">
        <v>100</v>
      </c>
      <c r="C445" s="5">
        <v>101.6</v>
      </c>
      <c r="D445" s="5">
        <v>102</v>
      </c>
      <c r="E445" s="5">
        <v>102.2</v>
      </c>
      <c r="F445" s="5">
        <v>102.4</v>
      </c>
      <c r="G445" s="5">
        <v>105.4</v>
      </c>
      <c r="H445" s="5">
        <v>105.8</v>
      </c>
      <c r="I445" s="5">
        <v>106</v>
      </c>
      <c r="J445" s="5">
        <v>106</v>
      </c>
      <c r="K445" s="5">
        <v>106.9</v>
      </c>
      <c r="L445" s="5">
        <v>107.1</v>
      </c>
      <c r="M445" s="5">
        <v>107.5</v>
      </c>
      <c r="N445" s="5">
        <v>107.6</v>
      </c>
      <c r="O445" s="5">
        <v>108.5</v>
      </c>
      <c r="P445" s="5">
        <v>108.5</v>
      </c>
      <c r="Q445" s="5">
        <v>215.7</v>
      </c>
      <c r="R445" s="5">
        <v>215.7</v>
      </c>
      <c r="S445" s="5">
        <v>230.1</v>
      </c>
      <c r="T445" s="5">
        <v>230.4</v>
      </c>
      <c r="U445" s="5">
        <v>251.3</v>
      </c>
      <c r="V445" s="5">
        <v>251.8</v>
      </c>
      <c r="W445" s="5">
        <v>310.89999999999998</v>
      </c>
      <c r="X445" s="5">
        <v>311.3</v>
      </c>
      <c r="Y445" s="5">
        <v>385.4</v>
      </c>
      <c r="Z445" s="5">
        <v>385.2</v>
      </c>
      <c r="AA445" s="5">
        <v>555.20000000000005</v>
      </c>
      <c r="AB445" s="5">
        <v>555.4</v>
      </c>
      <c r="AC445" s="5">
        <v>555.9</v>
      </c>
      <c r="AD445" s="5">
        <v>556.20000000000005</v>
      </c>
      <c r="AE445" s="5">
        <v>640.20000000000005</v>
      </c>
      <c r="AF445" s="5">
        <v>640.4</v>
      </c>
      <c r="AG445" s="5">
        <v>641.20000000000005</v>
      </c>
      <c r="AH445" s="5">
        <v>642.79999999999995</v>
      </c>
      <c r="AI445" s="5">
        <v>646.1</v>
      </c>
      <c r="AJ445" s="5">
        <v>646.6</v>
      </c>
      <c r="AK445" s="5">
        <v>647.79999999999995</v>
      </c>
      <c r="AL445" s="5">
        <v>648.70000000000005</v>
      </c>
      <c r="AM445" s="5">
        <v>724.9</v>
      </c>
      <c r="AN445" s="5">
        <v>809.5</v>
      </c>
      <c r="AO445" s="5">
        <v>817.6</v>
      </c>
      <c r="AP445" s="5">
        <v>823.2</v>
      </c>
      <c r="AQ445" s="5">
        <v>829</v>
      </c>
      <c r="AR445" s="5">
        <v>829.6</v>
      </c>
      <c r="AS445" s="5">
        <v>832.8</v>
      </c>
      <c r="AT445" s="5">
        <v>833.7</v>
      </c>
      <c r="AU445" s="5">
        <v>841.2</v>
      </c>
      <c r="AV445" s="5">
        <v>842.2</v>
      </c>
      <c r="AW445" s="5">
        <v>843.5</v>
      </c>
      <c r="AX445" s="5">
        <v>844.3</v>
      </c>
      <c r="AY445" s="5">
        <v>971.3</v>
      </c>
      <c r="AZ445" s="5">
        <v>971.8</v>
      </c>
      <c r="BA445" s="5">
        <v>972.1</v>
      </c>
      <c r="BB445" s="5">
        <v>972.5</v>
      </c>
      <c r="BC445" s="5">
        <v>1055</v>
      </c>
      <c r="BD445" s="5">
        <v>1055.8</v>
      </c>
      <c r="BE445" s="5">
        <v>1048.4000000000001</v>
      </c>
      <c r="BF445" s="5">
        <v>1056.9000000000001</v>
      </c>
      <c r="BG445" s="5">
        <v>1212.3</v>
      </c>
      <c r="BH445" s="5">
        <v>1212.9000000000001</v>
      </c>
      <c r="BI445" s="5">
        <v>1214.8</v>
      </c>
      <c r="BJ445" s="5">
        <v>1215.5999999999999</v>
      </c>
      <c r="BK445" s="5">
        <v>1453.6</v>
      </c>
      <c r="BL445" s="5">
        <v>2385.8000000000002</v>
      </c>
      <c r="BM445" s="5">
        <v>1805.8</v>
      </c>
      <c r="BN445" s="5">
        <v>2389.3000000000002</v>
      </c>
      <c r="BO445" s="5">
        <v>2151.1</v>
      </c>
      <c r="BP445" s="5">
        <v>2381.1999999999998</v>
      </c>
      <c r="BQ445" s="5">
        <v>3085.6</v>
      </c>
      <c r="BR445" s="5">
        <v>3091</v>
      </c>
      <c r="BS445" s="5">
        <v>3005.6</v>
      </c>
      <c r="BT445" s="5">
        <v>3013.2</v>
      </c>
      <c r="BU445" s="5">
        <v>3980.4</v>
      </c>
      <c r="BV445" s="5">
        <v>5571</v>
      </c>
      <c r="BW445" s="5">
        <v>4116.3</v>
      </c>
      <c r="BX445" s="5">
        <v>5583.1</v>
      </c>
      <c r="BY445" s="5">
        <v>4285.5</v>
      </c>
      <c r="BZ445" s="5">
        <v>5390</v>
      </c>
      <c r="CA445" s="5">
        <v>6884.1</v>
      </c>
      <c r="CB445" s="5">
        <v>6907</v>
      </c>
      <c r="CC445" s="5">
        <v>7168.4</v>
      </c>
      <c r="CD445" s="5">
        <v>8121.1</v>
      </c>
      <c r="CE445" s="5">
        <v>9253.5</v>
      </c>
      <c r="CF445" s="5">
        <v>9285.2000000000007</v>
      </c>
      <c r="CG445" s="5">
        <v>10572</v>
      </c>
      <c r="CH445" s="5">
        <v>11181.4</v>
      </c>
      <c r="CI445" s="5">
        <v>11185.3</v>
      </c>
      <c r="CJ445" s="5">
        <v>11191.7</v>
      </c>
      <c r="CK445" s="5">
        <v>11299</v>
      </c>
      <c r="CL445" s="5">
        <v>11321.3</v>
      </c>
      <c r="CM445" s="5">
        <v>12306.7</v>
      </c>
      <c r="CN445" s="5">
        <v>12321.9</v>
      </c>
      <c r="CO445" s="5">
        <v>12492.1</v>
      </c>
      <c r="CP445" s="5">
        <v>12545.2</v>
      </c>
      <c r="CQ445" s="5">
        <v>14552</v>
      </c>
      <c r="CR445" s="5">
        <v>14585.4</v>
      </c>
      <c r="CS445" s="5">
        <v>14595.1</v>
      </c>
      <c r="CT445" s="5">
        <v>14603.9</v>
      </c>
    </row>
    <row r="446" spans="1:98">
      <c r="A446" s="2" t="s">
        <v>542</v>
      </c>
      <c r="B446" s="3">
        <v>100</v>
      </c>
      <c r="C446" s="3">
        <v>102.6</v>
      </c>
      <c r="D446" s="3">
        <v>102.9</v>
      </c>
      <c r="E446" s="3">
        <v>103.1</v>
      </c>
      <c r="F446" s="3">
        <v>103.3</v>
      </c>
      <c r="G446" s="3">
        <v>109.3</v>
      </c>
      <c r="H446" s="3">
        <v>109.6</v>
      </c>
      <c r="I446" s="3">
        <v>109.8</v>
      </c>
      <c r="J446" s="3">
        <v>109.8</v>
      </c>
      <c r="K446" s="3">
        <v>110.9</v>
      </c>
      <c r="L446" s="3">
        <v>111</v>
      </c>
      <c r="M446" s="3">
        <v>111.6</v>
      </c>
      <c r="N446" s="3">
        <v>111.7</v>
      </c>
      <c r="O446" s="3">
        <v>113.3</v>
      </c>
      <c r="P446" s="3">
        <v>113.3</v>
      </c>
      <c r="Q446" s="3">
        <v>126.8</v>
      </c>
      <c r="R446" s="3">
        <v>126.8</v>
      </c>
      <c r="S446" s="3">
        <v>131.4</v>
      </c>
      <c r="T446" s="3">
        <v>131.69999999999999</v>
      </c>
      <c r="U446" s="3">
        <v>132.30000000000001</v>
      </c>
      <c r="V446" s="3">
        <v>132.69999999999999</v>
      </c>
      <c r="W446" s="3">
        <v>134.69999999999999</v>
      </c>
      <c r="X446" s="3">
        <v>135.1</v>
      </c>
      <c r="Y446" s="3">
        <v>172.7</v>
      </c>
      <c r="Z446" s="3">
        <v>172.5</v>
      </c>
      <c r="AA446" s="3">
        <v>239.2</v>
      </c>
      <c r="AB446" s="3">
        <v>239.4</v>
      </c>
      <c r="AC446" s="3">
        <v>239.8</v>
      </c>
      <c r="AD446" s="3">
        <v>240.2</v>
      </c>
      <c r="AE446" s="3">
        <v>279.7</v>
      </c>
      <c r="AF446" s="3">
        <v>279.89999999999998</v>
      </c>
      <c r="AG446" s="3">
        <v>282</v>
      </c>
      <c r="AH446" s="3">
        <v>284</v>
      </c>
      <c r="AI446" s="3">
        <v>290</v>
      </c>
      <c r="AJ446" s="3">
        <v>290.60000000000002</v>
      </c>
      <c r="AK446" s="3">
        <v>292.8</v>
      </c>
      <c r="AL446" s="3">
        <v>294.8</v>
      </c>
      <c r="AM446" s="3">
        <v>401.9</v>
      </c>
      <c r="AN446" s="3">
        <v>446.1</v>
      </c>
      <c r="AO446" s="3">
        <v>550.5</v>
      </c>
      <c r="AP446" s="3">
        <v>563</v>
      </c>
      <c r="AQ446" s="3">
        <v>570.4</v>
      </c>
      <c r="AR446" s="3">
        <v>571.20000000000005</v>
      </c>
      <c r="AS446" s="3">
        <v>582</v>
      </c>
      <c r="AT446" s="3">
        <v>583.29999999999995</v>
      </c>
      <c r="AU446" s="3">
        <v>592.9</v>
      </c>
      <c r="AV446" s="3">
        <v>594.1</v>
      </c>
      <c r="AW446" s="3">
        <v>624.9</v>
      </c>
      <c r="AX446" s="3">
        <v>625.9</v>
      </c>
      <c r="AY446" s="3">
        <v>730.4</v>
      </c>
      <c r="AZ446" s="3">
        <v>731.1</v>
      </c>
      <c r="BA446" s="3">
        <v>730.6</v>
      </c>
      <c r="BB446" s="3">
        <v>731.2</v>
      </c>
      <c r="BC446" s="3">
        <v>803.4</v>
      </c>
      <c r="BD446" s="3">
        <v>804.3</v>
      </c>
      <c r="BE446" s="3">
        <v>783.4</v>
      </c>
      <c r="BF446" s="3">
        <v>805.8</v>
      </c>
      <c r="BG446" s="3">
        <v>898.9</v>
      </c>
      <c r="BH446" s="3">
        <v>899.6</v>
      </c>
      <c r="BI446" s="3">
        <v>1076.5999999999999</v>
      </c>
      <c r="BJ446" s="3">
        <v>1077.5999999999999</v>
      </c>
      <c r="BK446" s="3">
        <v>1282.2</v>
      </c>
      <c r="BL446" s="3">
        <v>2234.3000000000002</v>
      </c>
      <c r="BM446" s="3">
        <v>1527.5</v>
      </c>
      <c r="BN446" s="3">
        <v>2240.1999999999998</v>
      </c>
      <c r="BO446" s="3">
        <v>1787.9</v>
      </c>
      <c r="BP446" s="3">
        <v>1960.2</v>
      </c>
      <c r="BQ446" s="3">
        <v>2792.7</v>
      </c>
      <c r="BR446" s="3">
        <v>2797.9</v>
      </c>
      <c r="BS446" s="3">
        <v>2827.4</v>
      </c>
      <c r="BT446" s="3">
        <v>2840.5</v>
      </c>
      <c r="BU446" s="3">
        <v>3599.4</v>
      </c>
      <c r="BV446" s="3">
        <v>4774</v>
      </c>
      <c r="BW446" s="3">
        <v>3642.1</v>
      </c>
      <c r="BX446" s="3">
        <v>4788.5</v>
      </c>
      <c r="BY446" s="3">
        <v>4364.8999999999996</v>
      </c>
      <c r="BZ446" s="3">
        <v>4397.3</v>
      </c>
      <c r="CA446" s="3">
        <v>6351.4</v>
      </c>
      <c r="CB446" s="3">
        <v>6386.5</v>
      </c>
      <c r="CC446" s="3">
        <v>6529.4</v>
      </c>
      <c r="CD446" s="3">
        <v>7097.6</v>
      </c>
      <c r="CE446" s="3">
        <v>8249.7000000000007</v>
      </c>
      <c r="CF446" s="3">
        <v>8275.1</v>
      </c>
      <c r="CG446" s="3">
        <v>9301.7000000000007</v>
      </c>
      <c r="CH446" s="3">
        <v>9370.1</v>
      </c>
      <c r="CI446" s="3">
        <v>9379.1</v>
      </c>
      <c r="CJ446" s="3">
        <v>9389.9</v>
      </c>
      <c r="CK446" s="3">
        <v>9528.2999999999993</v>
      </c>
      <c r="CL446" s="3">
        <v>9557.7000000000007</v>
      </c>
      <c r="CM446" s="3">
        <v>10749.8</v>
      </c>
      <c r="CN446" s="3">
        <v>10768.6</v>
      </c>
      <c r="CO446" s="3">
        <v>11017</v>
      </c>
      <c r="CP446" s="3">
        <v>11109.8</v>
      </c>
      <c r="CQ446" s="3">
        <v>12341.1</v>
      </c>
      <c r="CR446" s="3">
        <v>12386.8</v>
      </c>
      <c r="CS446" s="3">
        <v>12402.6</v>
      </c>
      <c r="CT446" s="3">
        <v>12416.1</v>
      </c>
    </row>
    <row r="447" spans="1:98" ht="38.25">
      <c r="A447" s="4" t="s">
        <v>543</v>
      </c>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c r="BP447" s="5"/>
      <c r="BQ447" s="5"/>
      <c r="BR447" s="5"/>
      <c r="BS447" s="5"/>
      <c r="BT447" s="5"/>
      <c r="BU447" s="5"/>
      <c r="BV447" s="5"/>
      <c r="BW447" s="5"/>
      <c r="BX447" s="5"/>
      <c r="BY447" s="5"/>
      <c r="BZ447" s="5"/>
      <c r="CA447" s="5"/>
      <c r="CB447" s="5"/>
      <c r="CC447" s="5"/>
      <c r="CD447" s="5">
        <v>3000</v>
      </c>
      <c r="CE447" s="5">
        <v>3814.5</v>
      </c>
      <c r="CF447" s="5">
        <v>3921</v>
      </c>
      <c r="CG447" s="5">
        <v>4137</v>
      </c>
      <c r="CH447" s="5">
        <v>4310.7</v>
      </c>
      <c r="CI447" s="5">
        <v>4310.7</v>
      </c>
      <c r="CJ447" s="5">
        <v>4310.7</v>
      </c>
      <c r="CK447" s="5">
        <v>5248.7</v>
      </c>
      <c r="CL447" s="5">
        <v>5473.8</v>
      </c>
      <c r="CM447" s="5">
        <v>5581.7</v>
      </c>
      <c r="CN447" s="5">
        <v>5753</v>
      </c>
      <c r="CO447" s="5">
        <v>7018.7</v>
      </c>
      <c r="CP447" s="5">
        <v>7351.1</v>
      </c>
      <c r="CQ447" s="5">
        <v>7351.1</v>
      </c>
      <c r="CR447" s="5">
        <v>7766.6</v>
      </c>
      <c r="CS447" s="5">
        <v>7851.1</v>
      </c>
      <c r="CT447" s="5">
        <v>7952.2</v>
      </c>
    </row>
    <row r="448" spans="1:98" ht="38.25">
      <c r="A448" s="2" t="s">
        <v>544</v>
      </c>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c r="BT448" s="3"/>
      <c r="BU448" s="3"/>
      <c r="BV448" s="3"/>
      <c r="BW448" s="3"/>
      <c r="BX448" s="3"/>
      <c r="BY448" s="3"/>
      <c r="BZ448" s="3"/>
      <c r="CA448" s="3"/>
      <c r="CB448" s="3"/>
      <c r="CC448" s="3"/>
      <c r="CD448" s="3">
        <v>3000</v>
      </c>
      <c r="CE448" s="3">
        <v>3928.5</v>
      </c>
      <c r="CF448" s="3">
        <v>4017</v>
      </c>
      <c r="CG448" s="3">
        <v>4173</v>
      </c>
      <c r="CH448" s="3">
        <v>4338.3</v>
      </c>
      <c r="CI448" s="3">
        <v>4338.3</v>
      </c>
      <c r="CJ448" s="3">
        <v>4338.3</v>
      </c>
      <c r="CK448" s="3">
        <v>5309.3</v>
      </c>
      <c r="CL448" s="3">
        <v>5506.9</v>
      </c>
      <c r="CM448" s="3">
        <v>5619</v>
      </c>
      <c r="CN448" s="3">
        <v>5782.1</v>
      </c>
      <c r="CO448" s="3">
        <v>7117.8</v>
      </c>
      <c r="CP448" s="3">
        <v>7425.6</v>
      </c>
      <c r="CQ448" s="3">
        <v>7430</v>
      </c>
      <c r="CR448" s="3">
        <v>7823.1</v>
      </c>
      <c r="CS448" s="3">
        <v>7902.4</v>
      </c>
      <c r="CT448" s="3">
        <v>8000.8</v>
      </c>
    </row>
    <row r="449" spans="1:98" ht="38.25">
      <c r="A449" s="4" t="s">
        <v>545</v>
      </c>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c r="BP449" s="5"/>
      <c r="BQ449" s="5"/>
      <c r="BR449" s="5"/>
      <c r="BS449" s="5"/>
      <c r="BT449" s="5"/>
      <c r="BU449" s="5"/>
      <c r="BV449" s="5"/>
      <c r="BW449" s="5"/>
      <c r="BX449" s="5"/>
      <c r="BY449" s="5"/>
      <c r="BZ449" s="5"/>
      <c r="CA449" s="5"/>
      <c r="CB449" s="5"/>
      <c r="CC449" s="5"/>
      <c r="CD449" s="5">
        <v>3000</v>
      </c>
      <c r="CE449" s="5">
        <v>3828.6</v>
      </c>
      <c r="CF449" s="5">
        <v>3933</v>
      </c>
      <c r="CG449" s="5">
        <v>4141.5</v>
      </c>
      <c r="CH449" s="5">
        <v>4314.1000000000004</v>
      </c>
      <c r="CI449" s="5">
        <v>4314.1000000000004</v>
      </c>
      <c r="CJ449" s="5">
        <v>4314.1000000000004</v>
      </c>
      <c r="CK449" s="5">
        <v>5171.3999999999996</v>
      </c>
      <c r="CL449" s="5">
        <v>5368.6</v>
      </c>
      <c r="CM449" s="5">
        <v>5437.6</v>
      </c>
      <c r="CN449" s="5">
        <v>5580.4</v>
      </c>
      <c r="CO449" s="5">
        <v>6841.6</v>
      </c>
      <c r="CP449" s="5">
        <v>7151</v>
      </c>
      <c r="CQ449" s="5">
        <v>7163.2</v>
      </c>
      <c r="CR449" s="5">
        <v>7549.6</v>
      </c>
      <c r="CS449" s="5">
        <v>7838.1</v>
      </c>
      <c r="CT449" s="5">
        <v>7838.1</v>
      </c>
    </row>
    <row r="450" spans="1:98" ht="38.25">
      <c r="A450" s="2" t="s">
        <v>546</v>
      </c>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3"/>
      <c r="AY450" s="3"/>
      <c r="AZ450" s="3"/>
      <c r="BA450" s="3"/>
      <c r="BB450" s="3"/>
      <c r="BC450" s="3"/>
      <c r="BD450" s="3"/>
      <c r="BE450" s="3"/>
      <c r="BF450" s="3"/>
      <c r="BG450" s="3"/>
      <c r="BH450" s="3"/>
      <c r="BI450" s="3"/>
      <c r="BJ450" s="3"/>
      <c r="BK450" s="3"/>
      <c r="BL450" s="3"/>
      <c r="BM450" s="3"/>
      <c r="BN450" s="3"/>
      <c r="BO450" s="3"/>
      <c r="BP450" s="3"/>
      <c r="BQ450" s="3"/>
      <c r="BR450" s="3"/>
      <c r="BS450" s="3"/>
      <c r="BT450" s="3"/>
      <c r="BU450" s="3"/>
      <c r="BV450" s="3"/>
      <c r="BW450" s="3"/>
      <c r="BX450" s="3"/>
      <c r="BY450" s="3"/>
      <c r="BZ450" s="3"/>
      <c r="CA450" s="3"/>
      <c r="CB450" s="3"/>
      <c r="CC450" s="3"/>
      <c r="CD450" s="3">
        <v>3000</v>
      </c>
      <c r="CE450" s="3">
        <v>3843</v>
      </c>
      <c r="CF450" s="3">
        <v>4029.9</v>
      </c>
      <c r="CG450" s="3">
        <v>4146</v>
      </c>
      <c r="CH450" s="3">
        <v>4317.6000000000004</v>
      </c>
      <c r="CI450" s="3">
        <v>4317.6000000000004</v>
      </c>
      <c r="CJ450" s="3">
        <v>4317.6000000000004</v>
      </c>
      <c r="CK450" s="3">
        <v>5256.4</v>
      </c>
      <c r="CL450" s="3">
        <v>5480.2</v>
      </c>
      <c r="CM450" s="3">
        <v>5589.4</v>
      </c>
      <c r="CN450" s="3">
        <v>5758.6</v>
      </c>
      <c r="CO450" s="3">
        <v>7031.3</v>
      </c>
      <c r="CP450" s="3">
        <v>7361.3</v>
      </c>
      <c r="CQ450" s="3">
        <v>7361.3</v>
      </c>
      <c r="CR450" s="3">
        <v>7781.3</v>
      </c>
      <c r="CS450" s="3">
        <v>7864.2</v>
      </c>
      <c r="CT450" s="3">
        <v>7963.7</v>
      </c>
    </row>
    <row r="451" spans="1:98" ht="51">
      <c r="A451" s="4" t="s">
        <v>547</v>
      </c>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c r="BP451" s="5"/>
      <c r="BQ451" s="5"/>
      <c r="BR451" s="5"/>
      <c r="BS451" s="5"/>
      <c r="BT451" s="5"/>
      <c r="BU451" s="5"/>
      <c r="BV451" s="5"/>
      <c r="BW451" s="5"/>
      <c r="BX451" s="5">
        <v>2500</v>
      </c>
      <c r="BY451" s="5"/>
      <c r="BZ451" s="5"/>
      <c r="CA451" s="5">
        <v>3273</v>
      </c>
      <c r="CB451" s="5">
        <v>3427.8</v>
      </c>
      <c r="CC451" s="5">
        <v>3462.5</v>
      </c>
      <c r="CD451" s="5">
        <v>3500</v>
      </c>
      <c r="CE451" s="5">
        <v>4683</v>
      </c>
      <c r="CF451" s="5">
        <v>4771.6000000000004</v>
      </c>
      <c r="CG451" s="5">
        <v>4900</v>
      </c>
      <c r="CH451" s="5">
        <v>5085.5</v>
      </c>
      <c r="CI451" s="5">
        <v>5085.5</v>
      </c>
      <c r="CJ451" s="5">
        <v>5085.5</v>
      </c>
      <c r="CK451" s="5">
        <v>6320.4</v>
      </c>
      <c r="CL451" s="5">
        <v>6528.9</v>
      </c>
      <c r="CM451" s="5">
        <v>6640.3</v>
      </c>
      <c r="CN451" s="5">
        <v>6833.7</v>
      </c>
      <c r="CO451" s="5">
        <v>8412.2999999999993</v>
      </c>
      <c r="CP451" s="5">
        <v>8788.1</v>
      </c>
      <c r="CQ451" s="5">
        <v>8883.7999999999993</v>
      </c>
      <c r="CR451" s="5">
        <v>9177.7000000000007</v>
      </c>
      <c r="CS451" s="5">
        <v>9246</v>
      </c>
      <c r="CT451" s="5">
        <v>9314.2999999999993</v>
      </c>
    </row>
    <row r="452" spans="1:98" ht="51">
      <c r="A452" s="2" t="s">
        <v>548</v>
      </c>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c r="BT452" s="3"/>
      <c r="BU452" s="3"/>
      <c r="BV452" s="3"/>
      <c r="BW452" s="3"/>
      <c r="BX452" s="3">
        <v>2500</v>
      </c>
      <c r="BY452" s="3"/>
      <c r="BZ452" s="3"/>
      <c r="CA452" s="3">
        <v>3252.8</v>
      </c>
      <c r="CB452" s="3">
        <v>3434.8</v>
      </c>
      <c r="CC452" s="3">
        <v>3506.3</v>
      </c>
      <c r="CD452" s="3">
        <v>3587.5</v>
      </c>
      <c r="CE452" s="3">
        <v>4680.6000000000004</v>
      </c>
      <c r="CF452" s="3">
        <v>4789.3999999999996</v>
      </c>
      <c r="CG452" s="3">
        <v>4984.8</v>
      </c>
      <c r="CH452" s="3">
        <v>5183.7</v>
      </c>
      <c r="CI452" s="3">
        <v>5183.7</v>
      </c>
      <c r="CJ452" s="3">
        <v>5183.7</v>
      </c>
      <c r="CK452" s="3">
        <v>6359.4</v>
      </c>
      <c r="CL452" s="3">
        <v>6608.9</v>
      </c>
      <c r="CM452" s="3">
        <v>6768.7</v>
      </c>
      <c r="CN452" s="3">
        <v>6965.5</v>
      </c>
      <c r="CO452" s="3">
        <v>8574.5</v>
      </c>
      <c r="CP452" s="3">
        <v>8957.6</v>
      </c>
      <c r="CQ452" s="3">
        <v>8956.2000000000007</v>
      </c>
      <c r="CR452" s="3">
        <v>9385.4</v>
      </c>
      <c r="CS452" s="3">
        <v>9475.7999999999993</v>
      </c>
      <c r="CT452" s="3">
        <v>9579.7000000000007</v>
      </c>
    </row>
    <row r="453" spans="1:98" ht="51">
      <c r="A453" s="4" t="s">
        <v>549</v>
      </c>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c r="BP453" s="5"/>
      <c r="BQ453" s="5"/>
      <c r="BR453" s="5"/>
      <c r="BS453" s="5"/>
      <c r="BT453" s="5"/>
      <c r="BU453" s="5"/>
      <c r="BV453" s="5"/>
      <c r="BW453" s="5"/>
      <c r="BX453" s="5">
        <v>2500</v>
      </c>
      <c r="BY453" s="5"/>
      <c r="BZ453" s="5"/>
      <c r="CA453" s="5">
        <v>3254.5</v>
      </c>
      <c r="CB453" s="5">
        <v>3455</v>
      </c>
      <c r="CC453" s="5">
        <v>3506.3</v>
      </c>
      <c r="CD453" s="5">
        <v>3587.5</v>
      </c>
      <c r="CE453" s="5">
        <v>4595.6000000000004</v>
      </c>
      <c r="CF453" s="5">
        <v>4819.1000000000004</v>
      </c>
      <c r="CG453" s="5">
        <v>4979.3999999999996</v>
      </c>
      <c r="CH453" s="5">
        <v>5179.6000000000004</v>
      </c>
      <c r="CI453" s="5">
        <v>5179.6000000000004</v>
      </c>
      <c r="CJ453" s="5">
        <v>5179.6000000000004</v>
      </c>
      <c r="CK453" s="5">
        <v>6354.3</v>
      </c>
      <c r="CL453" s="5">
        <v>6603.9</v>
      </c>
      <c r="CM453" s="5">
        <v>6762.4</v>
      </c>
      <c r="CN453" s="5">
        <v>6960.6</v>
      </c>
      <c r="CO453" s="5">
        <v>8568.5</v>
      </c>
      <c r="CP453" s="5">
        <v>8951.2999999999993</v>
      </c>
      <c r="CQ453" s="5">
        <v>8951.4</v>
      </c>
      <c r="CR453" s="5">
        <v>9380.2999999999993</v>
      </c>
      <c r="CS453" s="5">
        <v>9470</v>
      </c>
      <c r="CT453" s="5">
        <v>9572.7999999999993</v>
      </c>
    </row>
    <row r="454" spans="1:98">
      <c r="A454" s="2" t="s">
        <v>550</v>
      </c>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c r="AX454" s="3"/>
      <c r="AY454" s="3"/>
      <c r="AZ454" s="3"/>
      <c r="BA454" s="3"/>
      <c r="BB454" s="3"/>
      <c r="BC454" s="3"/>
      <c r="BD454" s="3"/>
      <c r="BE454" s="3"/>
      <c r="BF454" s="3"/>
      <c r="BG454" s="3"/>
      <c r="BH454" s="3"/>
      <c r="BI454" s="3"/>
      <c r="BJ454" s="3"/>
      <c r="BK454" s="3"/>
      <c r="BL454" s="3"/>
      <c r="BM454" s="3"/>
      <c r="BN454" s="3"/>
      <c r="BO454" s="3"/>
      <c r="BP454" s="3"/>
      <c r="BQ454" s="3"/>
      <c r="BR454" s="3"/>
      <c r="BS454" s="3"/>
      <c r="BT454" s="3"/>
      <c r="BU454" s="3"/>
      <c r="BV454" s="3"/>
      <c r="BW454" s="3"/>
      <c r="BX454" s="3"/>
      <c r="BY454" s="3"/>
      <c r="BZ454" s="3"/>
      <c r="CA454" s="3"/>
      <c r="CB454" s="3"/>
      <c r="CC454" s="3"/>
      <c r="CD454" s="3"/>
      <c r="CE454" s="3"/>
      <c r="CF454" s="3"/>
      <c r="CG454" s="3"/>
      <c r="CH454" s="3"/>
      <c r="CI454" s="3"/>
      <c r="CJ454" s="3">
        <v>5000</v>
      </c>
      <c r="CK454" s="3">
        <v>6429.3</v>
      </c>
      <c r="CL454" s="3">
        <v>6429.3</v>
      </c>
      <c r="CM454" s="3">
        <v>6430</v>
      </c>
      <c r="CN454" s="3">
        <v>6525</v>
      </c>
      <c r="CO454" s="3">
        <v>8704.4</v>
      </c>
      <c r="CP454" s="3">
        <v>8704.5</v>
      </c>
      <c r="CQ454" s="3">
        <v>8724</v>
      </c>
      <c r="CR454" s="3">
        <v>8777</v>
      </c>
      <c r="CS454" s="3">
        <v>8783</v>
      </c>
      <c r="CT454" s="3">
        <v>8783</v>
      </c>
    </row>
    <row r="455" spans="1:98">
      <c r="A455" s="4" t="s">
        <v>551</v>
      </c>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c r="BP455" s="5"/>
      <c r="BQ455" s="5"/>
      <c r="BR455" s="5"/>
      <c r="BS455" s="5"/>
      <c r="BT455" s="5"/>
      <c r="BU455" s="5"/>
      <c r="BV455" s="5"/>
      <c r="BW455" s="5"/>
      <c r="BX455" s="5"/>
      <c r="BY455" s="5"/>
      <c r="BZ455" s="5"/>
      <c r="CA455" s="5"/>
      <c r="CB455" s="5"/>
      <c r="CC455" s="5"/>
      <c r="CD455" s="5"/>
      <c r="CE455" s="5"/>
      <c r="CF455" s="5"/>
      <c r="CG455" s="5"/>
      <c r="CH455" s="5"/>
      <c r="CI455" s="5"/>
      <c r="CJ455" s="5">
        <v>5000</v>
      </c>
      <c r="CK455" s="5">
        <v>6097.1</v>
      </c>
      <c r="CL455" s="5">
        <v>6280.6</v>
      </c>
      <c r="CM455" s="5">
        <v>6315</v>
      </c>
      <c r="CN455" s="5">
        <v>6405</v>
      </c>
      <c r="CO455" s="5">
        <v>8185.6</v>
      </c>
      <c r="CP455" s="5">
        <v>8320.1</v>
      </c>
      <c r="CQ455" s="5">
        <v>8544</v>
      </c>
      <c r="CR455" s="5">
        <v>8634</v>
      </c>
      <c r="CS455" s="5">
        <v>8794</v>
      </c>
      <c r="CT455" s="5">
        <v>8929</v>
      </c>
    </row>
    <row r="456" spans="1:98">
      <c r="A456" s="2" t="s">
        <v>552</v>
      </c>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c r="BT456" s="3"/>
      <c r="BU456" s="3"/>
      <c r="BV456" s="3"/>
      <c r="BW456" s="3"/>
      <c r="BX456" s="3"/>
      <c r="BY456" s="3"/>
      <c r="BZ456" s="3"/>
      <c r="CA456" s="3"/>
      <c r="CB456" s="3"/>
      <c r="CC456" s="3"/>
      <c r="CD456" s="3"/>
      <c r="CE456" s="3"/>
      <c r="CF456" s="3"/>
      <c r="CG456" s="3"/>
      <c r="CH456" s="3"/>
      <c r="CI456" s="3"/>
      <c r="CJ456" s="3">
        <v>5000</v>
      </c>
      <c r="CK456" s="3">
        <v>6190.2</v>
      </c>
      <c r="CL456" s="3">
        <v>6396.4</v>
      </c>
      <c r="CM456" s="3">
        <v>6490</v>
      </c>
      <c r="CN456" s="3">
        <v>6585</v>
      </c>
      <c r="CO456" s="3">
        <v>8310.2000000000007</v>
      </c>
      <c r="CP456" s="3">
        <v>8501.2000000000007</v>
      </c>
      <c r="CQ456" s="3">
        <v>8594</v>
      </c>
      <c r="CR456" s="3">
        <v>8666</v>
      </c>
      <c r="CS456" s="3">
        <v>8943</v>
      </c>
      <c r="CT456" s="3">
        <v>9127</v>
      </c>
    </row>
    <row r="457" spans="1:98">
      <c r="A457" s="4" t="s">
        <v>553</v>
      </c>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c r="CB457" s="5"/>
      <c r="CC457" s="5"/>
      <c r="CD457" s="5"/>
      <c r="CE457" s="5"/>
      <c r="CF457" s="5"/>
      <c r="CG457" s="5"/>
      <c r="CH457" s="5"/>
      <c r="CI457" s="5"/>
      <c r="CJ457" s="5">
        <v>5000</v>
      </c>
      <c r="CK457" s="5">
        <v>6098</v>
      </c>
      <c r="CL457" s="5">
        <v>6315.8</v>
      </c>
      <c r="CM457" s="5">
        <v>6315</v>
      </c>
      <c r="CN457" s="5">
        <v>6335</v>
      </c>
      <c r="CO457" s="5">
        <v>7475.3</v>
      </c>
      <c r="CP457" s="5">
        <v>7869.1</v>
      </c>
      <c r="CQ457" s="5">
        <v>7976</v>
      </c>
      <c r="CR457" s="5">
        <v>8508</v>
      </c>
      <c r="CS457" s="5">
        <v>8704</v>
      </c>
      <c r="CT457" s="5">
        <v>8787</v>
      </c>
    </row>
    <row r="458" spans="1:98">
      <c r="A458" s="2" t="s">
        <v>554</v>
      </c>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c r="AP458" s="3"/>
      <c r="AQ458" s="3"/>
      <c r="AR458" s="3"/>
      <c r="AS458" s="3"/>
      <c r="AT458" s="3"/>
      <c r="AU458" s="3"/>
      <c r="AV458" s="3"/>
      <c r="AW458" s="3"/>
      <c r="AX458" s="3"/>
      <c r="AY458" s="3"/>
      <c r="AZ458" s="3"/>
      <c r="BA458" s="3"/>
      <c r="BB458" s="3"/>
      <c r="BC458" s="3"/>
      <c r="BD458" s="3"/>
      <c r="BE458" s="3"/>
      <c r="BF458" s="3"/>
      <c r="BG458" s="3"/>
      <c r="BH458" s="3"/>
      <c r="BI458" s="3"/>
      <c r="BJ458" s="3"/>
      <c r="BK458" s="3"/>
      <c r="BL458" s="3"/>
      <c r="BM458" s="3"/>
      <c r="BN458" s="3"/>
      <c r="BO458" s="3"/>
      <c r="BP458" s="3"/>
      <c r="BQ458" s="3"/>
      <c r="BR458" s="3"/>
      <c r="BS458" s="3"/>
      <c r="BT458" s="3"/>
      <c r="BU458" s="3"/>
      <c r="BV458" s="3"/>
      <c r="BW458" s="3"/>
      <c r="BX458" s="3"/>
      <c r="BY458" s="3"/>
      <c r="BZ458" s="3"/>
      <c r="CA458" s="3"/>
      <c r="CB458" s="3"/>
      <c r="CC458" s="3"/>
      <c r="CD458" s="3"/>
      <c r="CE458" s="3"/>
      <c r="CF458" s="3"/>
      <c r="CG458" s="3"/>
      <c r="CH458" s="3"/>
      <c r="CI458" s="3"/>
      <c r="CJ458" s="3">
        <v>5000</v>
      </c>
      <c r="CK458" s="3">
        <v>5500</v>
      </c>
      <c r="CL458" s="3">
        <v>5500</v>
      </c>
      <c r="CM458" s="3">
        <v>5265</v>
      </c>
      <c r="CN458" s="3">
        <v>5265</v>
      </c>
      <c r="CO458" s="3">
        <v>5959.9</v>
      </c>
      <c r="CP458" s="3">
        <v>6112.7</v>
      </c>
      <c r="CQ458" s="3">
        <v>6487</v>
      </c>
      <c r="CR458" s="3">
        <v>7166</v>
      </c>
      <c r="CS458" s="3">
        <v>7518</v>
      </c>
      <c r="CT458" s="3">
        <v>7592</v>
      </c>
    </row>
    <row r="459" spans="1:98">
      <c r="A459" s="4" t="s">
        <v>555</v>
      </c>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c r="BP459" s="5"/>
      <c r="BQ459" s="5"/>
      <c r="BR459" s="5"/>
      <c r="BS459" s="5"/>
      <c r="BT459" s="5"/>
      <c r="BU459" s="5"/>
      <c r="BV459" s="5"/>
      <c r="BW459" s="5"/>
      <c r="BX459" s="5"/>
      <c r="BY459" s="5"/>
      <c r="BZ459" s="5"/>
      <c r="CA459" s="5"/>
      <c r="CB459" s="5"/>
      <c r="CC459" s="5"/>
      <c r="CD459" s="5"/>
      <c r="CE459" s="5"/>
      <c r="CF459" s="5"/>
      <c r="CG459" s="5"/>
      <c r="CH459" s="5"/>
      <c r="CI459" s="5"/>
      <c r="CJ459" s="5">
        <v>5000</v>
      </c>
      <c r="CK459" s="5">
        <v>5523.3</v>
      </c>
      <c r="CL459" s="5">
        <v>5708.5</v>
      </c>
      <c r="CM459" s="5">
        <v>5955</v>
      </c>
      <c r="CN459" s="5">
        <v>5955</v>
      </c>
      <c r="CO459" s="5">
        <v>6401.6</v>
      </c>
      <c r="CP459" s="5">
        <v>6544.5</v>
      </c>
      <c r="CQ459" s="5">
        <v>7045</v>
      </c>
      <c r="CR459" s="5">
        <v>7045</v>
      </c>
      <c r="CS459" s="5">
        <v>7212</v>
      </c>
      <c r="CT459" s="5">
        <v>7414</v>
      </c>
    </row>
    <row r="460" spans="1:98">
      <c r="A460" s="2" t="s">
        <v>556</v>
      </c>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c r="BT460" s="3"/>
      <c r="BU460" s="3"/>
      <c r="BV460" s="3"/>
      <c r="BW460" s="3"/>
      <c r="BX460" s="3"/>
      <c r="BY460" s="3"/>
      <c r="BZ460" s="3"/>
      <c r="CA460" s="3"/>
      <c r="CB460" s="3"/>
      <c r="CC460" s="3"/>
      <c r="CD460" s="3"/>
      <c r="CE460" s="3"/>
      <c r="CF460" s="3"/>
      <c r="CG460" s="3"/>
      <c r="CH460" s="3"/>
      <c r="CI460" s="3"/>
      <c r="CJ460" s="3">
        <v>5000</v>
      </c>
      <c r="CK460" s="3">
        <v>5340.9</v>
      </c>
      <c r="CL460" s="3">
        <v>5565.3</v>
      </c>
      <c r="CM460" s="3">
        <v>5810</v>
      </c>
      <c r="CN460" s="3">
        <v>6095</v>
      </c>
      <c r="CO460" s="3">
        <v>6692.3</v>
      </c>
      <c r="CP460" s="3">
        <v>7051.9</v>
      </c>
      <c r="CQ460" s="3">
        <v>7576</v>
      </c>
      <c r="CR460" s="3">
        <v>8027</v>
      </c>
      <c r="CS460" s="3">
        <v>8478</v>
      </c>
      <c r="CT460" s="3">
        <v>8594</v>
      </c>
    </row>
    <row r="461" spans="1:98">
      <c r="A461" s="4" t="s">
        <v>557</v>
      </c>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c r="BP461" s="5"/>
      <c r="BQ461" s="5"/>
      <c r="BR461" s="5"/>
      <c r="BS461" s="5"/>
      <c r="BT461" s="5"/>
      <c r="BU461" s="5"/>
      <c r="BV461" s="5"/>
      <c r="BW461" s="5"/>
      <c r="BX461" s="5"/>
      <c r="BY461" s="5"/>
      <c r="BZ461" s="5"/>
      <c r="CA461" s="5"/>
      <c r="CB461" s="5"/>
      <c r="CC461" s="5"/>
      <c r="CD461" s="5"/>
      <c r="CE461" s="5"/>
      <c r="CF461" s="5"/>
      <c r="CG461" s="5"/>
      <c r="CH461" s="5"/>
      <c r="CI461" s="5"/>
      <c r="CJ461" s="5">
        <v>5000</v>
      </c>
      <c r="CK461" s="5">
        <v>6176.1</v>
      </c>
      <c r="CL461" s="5">
        <v>6358.6</v>
      </c>
      <c r="CM461" s="5">
        <v>6335</v>
      </c>
      <c r="CN461" s="5">
        <v>6390</v>
      </c>
      <c r="CO461" s="5">
        <v>8013.1</v>
      </c>
      <c r="CP461" s="5">
        <v>8230.9</v>
      </c>
      <c r="CQ461" s="5">
        <v>8263</v>
      </c>
      <c r="CR461" s="5">
        <v>8627</v>
      </c>
      <c r="CS461" s="5">
        <v>8703</v>
      </c>
      <c r="CT461" s="5">
        <v>8812</v>
      </c>
    </row>
    <row r="462" spans="1:98">
      <c r="A462" s="2" t="s">
        <v>558</v>
      </c>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c r="AP462" s="3"/>
      <c r="AQ462" s="3"/>
      <c r="AR462" s="3"/>
      <c r="AS462" s="3"/>
      <c r="AT462" s="3"/>
      <c r="AU462" s="3"/>
      <c r="AV462" s="3"/>
      <c r="AW462" s="3"/>
      <c r="AX462" s="3"/>
      <c r="AY462" s="3"/>
      <c r="AZ462" s="3"/>
      <c r="BA462" s="3"/>
      <c r="BB462" s="3"/>
      <c r="BC462" s="3"/>
      <c r="BD462" s="3"/>
      <c r="BE462" s="3"/>
      <c r="BF462" s="3"/>
      <c r="BG462" s="3"/>
      <c r="BH462" s="3"/>
      <c r="BI462" s="3"/>
      <c r="BJ462" s="3"/>
      <c r="BK462" s="3"/>
      <c r="BL462" s="3"/>
      <c r="BM462" s="3"/>
      <c r="BN462" s="3"/>
      <c r="BO462" s="3"/>
      <c r="BP462" s="3"/>
      <c r="BQ462" s="3"/>
      <c r="BR462" s="3"/>
      <c r="BS462" s="3"/>
      <c r="BT462" s="3"/>
      <c r="BU462" s="3"/>
      <c r="BV462" s="3"/>
      <c r="BW462" s="3"/>
      <c r="BX462" s="3"/>
      <c r="BY462" s="3"/>
      <c r="BZ462" s="3"/>
      <c r="CA462" s="3"/>
      <c r="CB462" s="3"/>
      <c r="CC462" s="3"/>
      <c r="CD462" s="3"/>
      <c r="CE462" s="3"/>
      <c r="CF462" s="3"/>
      <c r="CG462" s="3"/>
      <c r="CH462" s="3"/>
      <c r="CI462" s="3"/>
      <c r="CJ462" s="3">
        <v>5000</v>
      </c>
      <c r="CK462" s="3">
        <v>6013.1</v>
      </c>
      <c r="CL462" s="3">
        <v>6302.7</v>
      </c>
      <c r="CM462" s="3">
        <v>6275</v>
      </c>
      <c r="CN462" s="3">
        <v>6355</v>
      </c>
      <c r="CO462" s="3">
        <v>7626</v>
      </c>
      <c r="CP462" s="3">
        <v>7969.1</v>
      </c>
      <c r="CQ462" s="3">
        <v>8039</v>
      </c>
      <c r="CR462" s="3">
        <v>8465</v>
      </c>
      <c r="CS462" s="3">
        <v>8699</v>
      </c>
      <c r="CT462" s="3">
        <v>8859</v>
      </c>
    </row>
    <row r="463" spans="1:98">
      <c r="A463" s="4" t="s">
        <v>559</v>
      </c>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c r="BP463" s="5"/>
      <c r="BQ463" s="5"/>
      <c r="BR463" s="5"/>
      <c r="BS463" s="5"/>
      <c r="BT463" s="5"/>
      <c r="BU463" s="5"/>
      <c r="BV463" s="5"/>
      <c r="BW463" s="5"/>
      <c r="BX463" s="5"/>
      <c r="BY463" s="5"/>
      <c r="BZ463" s="5"/>
      <c r="CA463" s="5"/>
      <c r="CB463" s="5"/>
      <c r="CC463" s="5"/>
      <c r="CD463" s="5"/>
      <c r="CE463" s="5"/>
      <c r="CF463" s="5"/>
      <c r="CG463" s="5"/>
      <c r="CH463" s="5"/>
      <c r="CI463" s="5"/>
      <c r="CJ463" s="5">
        <v>5000</v>
      </c>
      <c r="CK463" s="5">
        <v>6128.3</v>
      </c>
      <c r="CL463" s="5">
        <v>6334.5</v>
      </c>
      <c r="CM463" s="5">
        <v>6280</v>
      </c>
      <c r="CN463" s="5">
        <v>6320</v>
      </c>
      <c r="CO463" s="5">
        <v>7849.4</v>
      </c>
      <c r="CP463" s="5">
        <v>8102.2</v>
      </c>
      <c r="CQ463" s="5">
        <v>8166</v>
      </c>
      <c r="CR463" s="5">
        <v>8418</v>
      </c>
      <c r="CS463" s="5">
        <v>8627</v>
      </c>
      <c r="CT463" s="5">
        <v>8735</v>
      </c>
    </row>
    <row r="464" spans="1:98">
      <c r="A464" s="2" t="s">
        <v>560</v>
      </c>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c r="BT464" s="3"/>
      <c r="BU464" s="3"/>
      <c r="BV464" s="3"/>
      <c r="BW464" s="3"/>
      <c r="BX464" s="3"/>
      <c r="BY464" s="3"/>
      <c r="BZ464" s="3"/>
      <c r="CA464" s="3"/>
      <c r="CB464" s="3"/>
      <c r="CC464" s="3"/>
      <c r="CD464" s="3"/>
      <c r="CE464" s="3"/>
      <c r="CF464" s="3"/>
      <c r="CG464" s="3"/>
      <c r="CH464" s="3"/>
      <c r="CI464" s="3"/>
      <c r="CJ464" s="3">
        <v>5000</v>
      </c>
      <c r="CK464" s="3">
        <v>6372.4</v>
      </c>
      <c r="CL464" s="3">
        <v>6408.5</v>
      </c>
      <c r="CM464" s="3">
        <v>6505</v>
      </c>
      <c r="CN464" s="3">
        <v>6560</v>
      </c>
      <c r="CO464" s="3">
        <v>8731.4</v>
      </c>
      <c r="CP464" s="3">
        <v>8796.9</v>
      </c>
      <c r="CQ464" s="3">
        <v>8817</v>
      </c>
      <c r="CR464" s="3">
        <v>8869</v>
      </c>
      <c r="CS464" s="3">
        <v>8889</v>
      </c>
      <c r="CT464" s="3">
        <v>8915</v>
      </c>
    </row>
    <row r="465" spans="1:98">
      <c r="A465" s="4" t="s">
        <v>561</v>
      </c>
      <c r="B465" s="5">
        <v>100</v>
      </c>
      <c r="C465" s="5">
        <v>108.1</v>
      </c>
      <c r="D465" s="5">
        <v>113</v>
      </c>
      <c r="E465" s="5">
        <v>115.3</v>
      </c>
      <c r="F465" s="5">
        <v>117.7</v>
      </c>
      <c r="G465" s="5">
        <v>137.5</v>
      </c>
      <c r="H465" s="5">
        <v>141.9</v>
      </c>
      <c r="I465" s="5">
        <v>144.30000000000001</v>
      </c>
      <c r="J465" s="5">
        <v>144.30000000000001</v>
      </c>
      <c r="K465" s="5">
        <v>149.5</v>
      </c>
      <c r="L465" s="5">
        <v>151.4</v>
      </c>
      <c r="M465" s="5">
        <v>156.69999999999999</v>
      </c>
      <c r="N465" s="5">
        <v>158</v>
      </c>
      <c r="O465" s="5">
        <v>166.5</v>
      </c>
      <c r="P465" s="5">
        <v>169.1</v>
      </c>
      <c r="Q465" s="5">
        <v>169.9</v>
      </c>
      <c r="R465" s="5">
        <v>170.1</v>
      </c>
      <c r="S465" s="5">
        <v>188.7</v>
      </c>
      <c r="T465" s="5">
        <v>191.7</v>
      </c>
      <c r="U465" s="5">
        <v>197.1</v>
      </c>
      <c r="V465" s="5">
        <v>202.1</v>
      </c>
      <c r="W465" s="5">
        <v>218.4</v>
      </c>
      <c r="X465" s="5">
        <v>221.3</v>
      </c>
      <c r="Y465" s="5">
        <v>220.5</v>
      </c>
      <c r="Z465" s="5">
        <v>220.9</v>
      </c>
      <c r="AA465" s="5">
        <v>229.1</v>
      </c>
      <c r="AB465" s="5">
        <v>232</v>
      </c>
      <c r="AC465" s="5">
        <v>234.6</v>
      </c>
      <c r="AD465" s="5">
        <v>236.3</v>
      </c>
      <c r="AE465" s="5">
        <v>252.2</v>
      </c>
      <c r="AF465" s="5">
        <v>254</v>
      </c>
      <c r="AG465" s="5">
        <v>255.2</v>
      </c>
      <c r="AH465" s="5">
        <v>281.3</v>
      </c>
      <c r="AI465" s="5">
        <v>294.60000000000002</v>
      </c>
      <c r="AJ465" s="5">
        <v>305.10000000000002</v>
      </c>
      <c r="AK465" s="5">
        <v>314.2</v>
      </c>
      <c r="AL465" s="5">
        <v>329.6</v>
      </c>
      <c r="AM465" s="5">
        <v>364.1</v>
      </c>
      <c r="AN465" s="5">
        <v>379.8</v>
      </c>
      <c r="AO465" s="5">
        <v>407.3</v>
      </c>
      <c r="AP465" s="5">
        <v>423.8</v>
      </c>
      <c r="AQ465" s="5">
        <v>470.7</v>
      </c>
      <c r="AR465" s="5">
        <v>483</v>
      </c>
      <c r="AS465" s="5">
        <v>493.5</v>
      </c>
      <c r="AT465" s="5">
        <v>502.4</v>
      </c>
      <c r="AU465" s="5">
        <v>563.79999999999995</v>
      </c>
      <c r="AV465" s="5">
        <v>576.6</v>
      </c>
      <c r="AW465" s="5">
        <v>588.29999999999995</v>
      </c>
      <c r="AX465" s="5">
        <v>590.1</v>
      </c>
      <c r="AY465" s="5">
        <v>620.20000000000005</v>
      </c>
      <c r="AZ465" s="5">
        <v>629</v>
      </c>
      <c r="BA465" s="5">
        <v>640.79999999999995</v>
      </c>
      <c r="BB465" s="5">
        <v>642.1</v>
      </c>
      <c r="BC465" s="5">
        <v>673.7</v>
      </c>
      <c r="BD465" s="5">
        <v>683.5</v>
      </c>
      <c r="BE465" s="5">
        <v>687.6</v>
      </c>
      <c r="BF465" s="5">
        <v>691.5</v>
      </c>
      <c r="BG465" s="5">
        <v>732.6</v>
      </c>
      <c r="BH465" s="5">
        <v>745.4</v>
      </c>
      <c r="BI465" s="5">
        <v>757.4</v>
      </c>
      <c r="BJ465" s="5">
        <v>764.3</v>
      </c>
      <c r="BK465" s="5">
        <v>859.3</v>
      </c>
      <c r="BL465" s="5">
        <v>1039</v>
      </c>
      <c r="BM465" s="5">
        <v>936.3</v>
      </c>
      <c r="BN465" s="5">
        <v>1082.5</v>
      </c>
      <c r="BO465" s="5">
        <v>993.5</v>
      </c>
      <c r="BP465" s="5">
        <v>1014.7</v>
      </c>
      <c r="BQ465" s="5">
        <v>1247</v>
      </c>
      <c r="BR465" s="5">
        <v>1309.7</v>
      </c>
      <c r="BS465" s="5">
        <v>1433.1</v>
      </c>
      <c r="BT465" s="5">
        <v>1487.9</v>
      </c>
      <c r="BU465" s="5">
        <v>1826.4</v>
      </c>
      <c r="BV465" s="5">
        <v>2542.1</v>
      </c>
      <c r="BW465" s="5">
        <v>2146.1</v>
      </c>
      <c r="BX465" s="5">
        <v>2661.4</v>
      </c>
      <c r="BY465" s="5">
        <v>2204.6999999999998</v>
      </c>
      <c r="BZ465" s="5">
        <v>2352.6999999999998</v>
      </c>
      <c r="CA465" s="5">
        <v>3358.6</v>
      </c>
      <c r="CB465" s="5">
        <v>3700.5</v>
      </c>
      <c r="CC465" s="5">
        <v>3785</v>
      </c>
      <c r="CD465" s="5">
        <v>3941.6</v>
      </c>
      <c r="CE465" s="5">
        <v>4904.2</v>
      </c>
      <c r="CF465" s="5">
        <v>5089</v>
      </c>
      <c r="CG465" s="5">
        <v>5466.9</v>
      </c>
      <c r="CH465" s="5">
        <v>5742.4</v>
      </c>
      <c r="CI465" s="5">
        <v>5759.1</v>
      </c>
      <c r="CJ465" s="5">
        <v>5773.8</v>
      </c>
      <c r="CK465" s="5">
        <v>6922.6</v>
      </c>
      <c r="CL465" s="5">
        <v>7334.6</v>
      </c>
      <c r="CM465" s="5">
        <v>7644.6</v>
      </c>
      <c r="CN465" s="5">
        <v>7802.3</v>
      </c>
      <c r="CO465" s="5">
        <v>9462.5</v>
      </c>
      <c r="CP465" s="5">
        <v>9947.2999999999993</v>
      </c>
      <c r="CQ465" s="5">
        <v>10089.4</v>
      </c>
      <c r="CR465" s="5">
        <v>10467</v>
      </c>
      <c r="CS465" s="5">
        <v>10719.8</v>
      </c>
      <c r="CT465" s="5">
        <v>10874.1</v>
      </c>
    </row>
    <row r="466" spans="1:98">
      <c r="A466" s="2" t="s">
        <v>562</v>
      </c>
      <c r="B466" s="3">
        <v>100</v>
      </c>
      <c r="C466" s="3">
        <v>108.9</v>
      </c>
      <c r="D466" s="3">
        <v>112.1</v>
      </c>
      <c r="E466" s="3">
        <v>113.9</v>
      </c>
      <c r="F466" s="3">
        <v>115.8</v>
      </c>
      <c r="G466" s="3">
        <v>131.30000000000001</v>
      </c>
      <c r="H466" s="3">
        <v>134.5</v>
      </c>
      <c r="I466" s="3">
        <v>137.30000000000001</v>
      </c>
      <c r="J466" s="3">
        <v>137.5</v>
      </c>
      <c r="K466" s="3">
        <v>145.19999999999999</v>
      </c>
      <c r="L466" s="3">
        <v>147.19999999999999</v>
      </c>
      <c r="M466" s="3">
        <v>150.1</v>
      </c>
      <c r="N466" s="3">
        <v>151</v>
      </c>
      <c r="O466" s="3">
        <v>165.4</v>
      </c>
      <c r="P466" s="3">
        <v>167.4</v>
      </c>
      <c r="Q466" s="3">
        <v>169.8</v>
      </c>
      <c r="R466" s="3">
        <v>170.4</v>
      </c>
      <c r="S466" s="3">
        <v>188.6</v>
      </c>
      <c r="T466" s="3">
        <v>191.7</v>
      </c>
      <c r="U466" s="3">
        <v>198.6</v>
      </c>
      <c r="V466" s="3">
        <v>203</v>
      </c>
      <c r="W466" s="3">
        <v>225.6</v>
      </c>
      <c r="X466" s="3">
        <v>229.5</v>
      </c>
      <c r="Y466" s="3">
        <v>233.4</v>
      </c>
      <c r="Z466" s="3">
        <v>233.9</v>
      </c>
      <c r="AA466" s="3">
        <v>252.7</v>
      </c>
      <c r="AB466" s="3">
        <v>255.1</v>
      </c>
      <c r="AC466" s="3">
        <v>259.3</v>
      </c>
      <c r="AD466" s="3">
        <v>262.8</v>
      </c>
      <c r="AE466" s="3">
        <v>281</v>
      </c>
      <c r="AF466" s="3">
        <v>282.7</v>
      </c>
      <c r="AG466" s="3">
        <v>289.39999999999998</v>
      </c>
      <c r="AH466" s="3">
        <v>299.5</v>
      </c>
      <c r="AI466" s="3">
        <v>320.3</v>
      </c>
      <c r="AJ466" s="3">
        <v>326.89999999999998</v>
      </c>
      <c r="AK466" s="3">
        <v>334.1</v>
      </c>
      <c r="AL466" s="3">
        <v>338.3</v>
      </c>
      <c r="AM466" s="3">
        <v>379.2</v>
      </c>
      <c r="AN466" s="3">
        <v>394.1</v>
      </c>
      <c r="AO466" s="3">
        <v>425.4</v>
      </c>
      <c r="AP466" s="3">
        <v>433</v>
      </c>
      <c r="AQ466" s="3">
        <v>487.5</v>
      </c>
      <c r="AR466" s="3">
        <v>495.6</v>
      </c>
      <c r="AS466" s="3">
        <v>510.7</v>
      </c>
      <c r="AT466" s="3">
        <v>520.5</v>
      </c>
      <c r="AU466" s="3">
        <v>601.79999999999995</v>
      </c>
      <c r="AV466" s="3">
        <v>612.9</v>
      </c>
      <c r="AW466" s="3">
        <v>622.5</v>
      </c>
      <c r="AX466" s="3">
        <v>631.6</v>
      </c>
      <c r="AY466" s="3">
        <v>693.5</v>
      </c>
      <c r="AZ466" s="3">
        <v>699.1</v>
      </c>
      <c r="BA466" s="3">
        <v>704.4</v>
      </c>
      <c r="BB466" s="3">
        <v>709.8</v>
      </c>
      <c r="BC466" s="3">
        <v>763.7</v>
      </c>
      <c r="BD466" s="3">
        <v>770.3</v>
      </c>
      <c r="BE466" s="3">
        <v>777.3</v>
      </c>
      <c r="BF466" s="3">
        <v>784.1</v>
      </c>
      <c r="BG466" s="3">
        <v>852.9</v>
      </c>
      <c r="BH466" s="3">
        <v>855.9</v>
      </c>
      <c r="BI466" s="3">
        <v>871.8</v>
      </c>
      <c r="BJ466" s="3">
        <v>879.4</v>
      </c>
      <c r="BK466" s="3">
        <v>1005.7</v>
      </c>
      <c r="BL466" s="3">
        <v>1080.0999999999999</v>
      </c>
      <c r="BM466" s="3">
        <v>1047.5</v>
      </c>
      <c r="BN466" s="3">
        <v>1105.0999999999999</v>
      </c>
      <c r="BO466" s="3">
        <v>1052.9000000000001</v>
      </c>
      <c r="BP466" s="3">
        <v>1058.0999999999999</v>
      </c>
      <c r="BQ466" s="3">
        <v>1358.5</v>
      </c>
      <c r="BR466" s="3">
        <v>1414.1</v>
      </c>
      <c r="BS466" s="3">
        <v>1436.1</v>
      </c>
      <c r="BT466" s="3">
        <v>1468.6</v>
      </c>
      <c r="BU466" s="3">
        <v>1817.2</v>
      </c>
      <c r="BV466" s="3">
        <v>2196.9</v>
      </c>
      <c r="BW466" s="3">
        <v>1982.2</v>
      </c>
      <c r="BX466" s="3">
        <v>2344.6999999999998</v>
      </c>
      <c r="BY466" s="3">
        <v>1991.4</v>
      </c>
      <c r="BZ466" s="3">
        <v>2010.5</v>
      </c>
      <c r="CA466" s="3">
        <v>3078.3</v>
      </c>
      <c r="CB466" s="3">
        <v>3215.5</v>
      </c>
      <c r="CC466" s="3">
        <v>3243</v>
      </c>
      <c r="CD466" s="3">
        <v>3270.9</v>
      </c>
      <c r="CE466" s="3">
        <v>4156.8999999999996</v>
      </c>
      <c r="CF466" s="3">
        <v>4223.7</v>
      </c>
      <c r="CG466" s="3">
        <v>4584.8999999999996</v>
      </c>
      <c r="CH466" s="3">
        <v>4765.1000000000004</v>
      </c>
      <c r="CI466" s="3">
        <v>4768.7</v>
      </c>
      <c r="CJ466" s="3">
        <v>4770.1000000000004</v>
      </c>
      <c r="CK466" s="3">
        <v>5851.9</v>
      </c>
      <c r="CL466" s="3">
        <v>6029.2</v>
      </c>
      <c r="CM466" s="3">
        <v>6244.5</v>
      </c>
      <c r="CN466" s="3">
        <v>6388.8</v>
      </c>
      <c r="CO466" s="3">
        <v>7921.5</v>
      </c>
      <c r="CP466" s="3">
        <v>8223.1</v>
      </c>
      <c r="CQ466" s="3">
        <v>8348.4</v>
      </c>
      <c r="CR466" s="3">
        <v>8675.4</v>
      </c>
      <c r="CS466" s="3">
        <v>8744.1</v>
      </c>
      <c r="CT466" s="3">
        <v>8827.1</v>
      </c>
    </row>
    <row r="467" spans="1:98">
      <c r="A467" s="4" t="s">
        <v>563</v>
      </c>
      <c r="B467" s="5">
        <v>100</v>
      </c>
      <c r="C467" s="5">
        <v>108.2</v>
      </c>
      <c r="D467" s="5">
        <v>112.1</v>
      </c>
      <c r="E467" s="5">
        <v>114.8</v>
      </c>
      <c r="F467" s="5">
        <v>117.4</v>
      </c>
      <c r="G467" s="5">
        <v>136.19999999999999</v>
      </c>
      <c r="H467" s="5">
        <v>140.5</v>
      </c>
      <c r="I467" s="5">
        <v>142.9</v>
      </c>
      <c r="J467" s="5">
        <v>142.9</v>
      </c>
      <c r="K467" s="5">
        <v>151.19999999999999</v>
      </c>
      <c r="L467" s="5">
        <v>153.6</v>
      </c>
      <c r="M467" s="5">
        <v>157.19999999999999</v>
      </c>
      <c r="N467" s="5">
        <v>158.4</v>
      </c>
      <c r="O467" s="5">
        <v>169.2</v>
      </c>
      <c r="P467" s="5">
        <v>170.6</v>
      </c>
      <c r="Q467" s="5">
        <v>171.5</v>
      </c>
      <c r="R467" s="5">
        <v>171.7</v>
      </c>
      <c r="S467" s="5">
        <v>186.8</v>
      </c>
      <c r="T467" s="5">
        <v>188.9</v>
      </c>
      <c r="U467" s="5">
        <v>196.1</v>
      </c>
      <c r="V467" s="5">
        <v>202.6</v>
      </c>
      <c r="W467" s="5">
        <v>222.3</v>
      </c>
      <c r="X467" s="5">
        <v>224.6</v>
      </c>
      <c r="Y467" s="5">
        <v>227.3</v>
      </c>
      <c r="Z467" s="5">
        <v>228</v>
      </c>
      <c r="AA467" s="5">
        <v>240</v>
      </c>
      <c r="AB467" s="5">
        <v>244.2</v>
      </c>
      <c r="AC467" s="5">
        <v>247</v>
      </c>
      <c r="AD467" s="5">
        <v>249</v>
      </c>
      <c r="AE467" s="5">
        <v>264.8</v>
      </c>
      <c r="AF467" s="5">
        <v>266.39999999999998</v>
      </c>
      <c r="AG467" s="5">
        <v>268.3</v>
      </c>
      <c r="AH467" s="5">
        <v>319.5</v>
      </c>
      <c r="AI467" s="5">
        <v>330.2</v>
      </c>
      <c r="AJ467" s="5">
        <v>342.3</v>
      </c>
      <c r="AK467" s="5">
        <v>359.1</v>
      </c>
      <c r="AL467" s="5">
        <v>374</v>
      </c>
      <c r="AM467" s="5">
        <v>407.8</v>
      </c>
      <c r="AN467" s="5">
        <v>431.6</v>
      </c>
      <c r="AO467" s="5">
        <v>475.6</v>
      </c>
      <c r="AP467" s="5">
        <v>495.8</v>
      </c>
      <c r="AQ467" s="5">
        <v>544</v>
      </c>
      <c r="AR467" s="5">
        <v>557.4</v>
      </c>
      <c r="AS467" s="5">
        <v>568.1</v>
      </c>
      <c r="AT467" s="5">
        <v>579.20000000000005</v>
      </c>
      <c r="AU467" s="5">
        <v>648.9</v>
      </c>
      <c r="AV467" s="5">
        <v>661.7</v>
      </c>
      <c r="AW467" s="5">
        <v>668.1</v>
      </c>
      <c r="AX467" s="5">
        <v>675.7</v>
      </c>
      <c r="AY467" s="5">
        <v>729.9</v>
      </c>
      <c r="AZ467" s="5">
        <v>734.4</v>
      </c>
      <c r="BA467" s="5">
        <v>736.2</v>
      </c>
      <c r="BB467" s="5">
        <v>738.3</v>
      </c>
      <c r="BC467" s="5">
        <v>784.8</v>
      </c>
      <c r="BD467" s="5">
        <v>792.2</v>
      </c>
      <c r="BE467" s="5">
        <v>799.6</v>
      </c>
      <c r="BF467" s="5">
        <v>806.9</v>
      </c>
      <c r="BG467" s="5">
        <v>864.3</v>
      </c>
      <c r="BH467" s="5">
        <v>866.6</v>
      </c>
      <c r="BI467" s="5">
        <v>885.7</v>
      </c>
      <c r="BJ467" s="5">
        <v>893.8</v>
      </c>
      <c r="BK467" s="5">
        <v>1005.1</v>
      </c>
      <c r="BL467" s="5">
        <v>1203.2</v>
      </c>
      <c r="BM467" s="5">
        <v>1103</v>
      </c>
      <c r="BN467" s="5">
        <v>1268.0999999999999</v>
      </c>
      <c r="BO467" s="5">
        <v>1144.8</v>
      </c>
      <c r="BP467" s="5">
        <v>1185.3</v>
      </c>
      <c r="BQ467" s="5">
        <v>1487.6</v>
      </c>
      <c r="BR467" s="5">
        <v>1577.5</v>
      </c>
      <c r="BS467" s="5">
        <v>1643.8</v>
      </c>
      <c r="BT467" s="5">
        <v>1722.8</v>
      </c>
      <c r="BU467" s="5">
        <v>2053.3000000000002</v>
      </c>
      <c r="BV467" s="5">
        <v>2847.8</v>
      </c>
      <c r="BW467" s="5">
        <v>2344.1</v>
      </c>
      <c r="BX467" s="5">
        <v>3004.8</v>
      </c>
      <c r="BY467" s="5">
        <v>2420.6999999999998</v>
      </c>
      <c r="BZ467" s="5">
        <v>2581.1999999999998</v>
      </c>
      <c r="CA467" s="5">
        <v>3894.8</v>
      </c>
      <c r="CB467" s="5">
        <v>4183.7</v>
      </c>
      <c r="CC467" s="5">
        <v>4215.1000000000004</v>
      </c>
      <c r="CD467" s="5">
        <v>4326.8999999999996</v>
      </c>
      <c r="CE467" s="5">
        <v>5460.6</v>
      </c>
      <c r="CF467" s="5">
        <v>5615.9</v>
      </c>
      <c r="CG467" s="5">
        <v>5940.6</v>
      </c>
      <c r="CH467" s="5">
        <v>6302.5</v>
      </c>
      <c r="CI467" s="5">
        <v>6302.5</v>
      </c>
      <c r="CJ467" s="5">
        <v>6302.5</v>
      </c>
      <c r="CK467" s="5">
        <v>7628.4</v>
      </c>
      <c r="CL467" s="5">
        <v>7975.5</v>
      </c>
      <c r="CM467" s="5">
        <v>8100.1</v>
      </c>
      <c r="CN467" s="5">
        <v>8356.6</v>
      </c>
      <c r="CO467" s="5">
        <v>10130.4</v>
      </c>
      <c r="CP467" s="5">
        <v>10626.5</v>
      </c>
      <c r="CQ467" s="5">
        <v>10628.2</v>
      </c>
      <c r="CR467" s="5">
        <v>11306.2</v>
      </c>
      <c r="CS467" s="5">
        <v>11440.5</v>
      </c>
      <c r="CT467" s="5">
        <v>11607.1</v>
      </c>
    </row>
    <row r="468" spans="1:98">
      <c r="A468" s="2" t="s">
        <v>564</v>
      </c>
      <c r="B468" s="3">
        <v>100</v>
      </c>
      <c r="C468" s="3">
        <v>108.1</v>
      </c>
      <c r="D468" s="3">
        <v>112</v>
      </c>
      <c r="E468" s="3">
        <v>115</v>
      </c>
      <c r="F468" s="3">
        <v>117.9</v>
      </c>
      <c r="G468" s="3">
        <v>138.5</v>
      </c>
      <c r="H468" s="3">
        <v>143.1</v>
      </c>
      <c r="I468" s="3">
        <v>145.5</v>
      </c>
      <c r="J468" s="3">
        <v>145.5</v>
      </c>
      <c r="K468" s="3">
        <v>154.19999999999999</v>
      </c>
      <c r="L468" s="3">
        <v>157</v>
      </c>
      <c r="M468" s="3">
        <v>161.19999999999999</v>
      </c>
      <c r="N468" s="3">
        <v>162.6</v>
      </c>
      <c r="O468" s="3">
        <v>171.9</v>
      </c>
      <c r="P468" s="3">
        <v>173</v>
      </c>
      <c r="Q468" s="3">
        <v>173.7</v>
      </c>
      <c r="R468" s="3">
        <v>173.8</v>
      </c>
      <c r="S468" s="3">
        <v>187.6</v>
      </c>
      <c r="T468" s="3">
        <v>189.6</v>
      </c>
      <c r="U468" s="3">
        <v>197.8</v>
      </c>
      <c r="V468" s="3">
        <v>205.7</v>
      </c>
      <c r="W468" s="3">
        <v>223.6</v>
      </c>
      <c r="X468" s="3">
        <v>226.1</v>
      </c>
      <c r="Y468" s="3">
        <v>227.5</v>
      </c>
      <c r="Z468" s="3">
        <v>227.8</v>
      </c>
      <c r="AA468" s="3">
        <v>236.6</v>
      </c>
      <c r="AB468" s="3">
        <v>241.6</v>
      </c>
      <c r="AC468" s="3">
        <v>243</v>
      </c>
      <c r="AD468" s="3">
        <v>243.9</v>
      </c>
      <c r="AE468" s="3">
        <v>257.7</v>
      </c>
      <c r="AF468" s="3">
        <v>259</v>
      </c>
      <c r="AG468" s="3">
        <v>259.39999999999998</v>
      </c>
      <c r="AH468" s="3">
        <v>330.4</v>
      </c>
      <c r="AI468" s="3">
        <v>335.4</v>
      </c>
      <c r="AJ468" s="3">
        <v>351</v>
      </c>
      <c r="AK468" s="3">
        <v>372.8</v>
      </c>
      <c r="AL468" s="3">
        <v>392.9</v>
      </c>
      <c r="AM468" s="3">
        <v>425.3</v>
      </c>
      <c r="AN468" s="3">
        <v>453.5</v>
      </c>
      <c r="AO468" s="3">
        <v>508.4</v>
      </c>
      <c r="AP468" s="3">
        <v>534.5</v>
      </c>
      <c r="AQ468" s="3">
        <v>579.20000000000005</v>
      </c>
      <c r="AR468" s="3">
        <v>594.9</v>
      </c>
      <c r="AS468" s="3">
        <v>605.70000000000005</v>
      </c>
      <c r="AT468" s="3">
        <v>616.70000000000005</v>
      </c>
      <c r="AU468" s="3">
        <v>681</v>
      </c>
      <c r="AV468" s="3">
        <v>695</v>
      </c>
      <c r="AW468" s="3">
        <v>699.9</v>
      </c>
      <c r="AX468" s="3">
        <v>706.4</v>
      </c>
      <c r="AY468" s="3">
        <v>755.2</v>
      </c>
      <c r="AZ468" s="3">
        <v>759</v>
      </c>
      <c r="BA468" s="3">
        <v>759.1</v>
      </c>
      <c r="BB468" s="3">
        <v>759.6</v>
      </c>
      <c r="BC468" s="3">
        <v>799.6</v>
      </c>
      <c r="BD468" s="3">
        <v>807.2</v>
      </c>
      <c r="BE468" s="3">
        <v>814.8</v>
      </c>
      <c r="BF468" s="3">
        <v>822.4</v>
      </c>
      <c r="BG468" s="3">
        <v>873.8</v>
      </c>
      <c r="BH468" s="3">
        <v>874.3</v>
      </c>
      <c r="BI468" s="3">
        <v>897.8</v>
      </c>
      <c r="BJ468" s="3">
        <v>906</v>
      </c>
      <c r="BK468" s="3">
        <v>1007.1</v>
      </c>
      <c r="BL468" s="3">
        <v>1271.5</v>
      </c>
      <c r="BM468" s="3">
        <v>1134.7</v>
      </c>
      <c r="BN468" s="3">
        <v>1353.1</v>
      </c>
      <c r="BO468" s="3">
        <v>1194.7</v>
      </c>
      <c r="BP468" s="3">
        <v>1253.0999999999999</v>
      </c>
      <c r="BQ468" s="3">
        <v>1562.8</v>
      </c>
      <c r="BR468" s="3">
        <v>1668.4</v>
      </c>
      <c r="BS468" s="3">
        <v>1758</v>
      </c>
      <c r="BT468" s="3">
        <v>1861</v>
      </c>
      <c r="BU468" s="3">
        <v>2200.8000000000002</v>
      </c>
      <c r="BV468" s="3">
        <v>3204.6</v>
      </c>
      <c r="BW468" s="3">
        <v>2560.6999999999998</v>
      </c>
      <c r="BX468" s="3">
        <v>3387.2</v>
      </c>
      <c r="BY468" s="3">
        <v>2670.6</v>
      </c>
      <c r="BZ468" s="3">
        <v>2900.8</v>
      </c>
      <c r="CA468" s="3">
        <v>4373.8</v>
      </c>
      <c r="CB468" s="3">
        <v>4736.7</v>
      </c>
      <c r="CC468" s="3">
        <v>4781.1000000000004</v>
      </c>
      <c r="CD468" s="3">
        <v>4941.5</v>
      </c>
      <c r="CE468" s="3">
        <v>6162.6</v>
      </c>
      <c r="CF468" s="3">
        <v>6355.9</v>
      </c>
      <c r="CG468" s="3">
        <v>6768.5</v>
      </c>
      <c r="CH468" s="3">
        <v>7200</v>
      </c>
      <c r="CI468" s="3">
        <v>7200</v>
      </c>
      <c r="CJ468" s="3">
        <v>7200.9</v>
      </c>
      <c r="CK468" s="3">
        <v>8655.9</v>
      </c>
      <c r="CL468" s="3">
        <v>9081.2000000000007</v>
      </c>
      <c r="CM468" s="3">
        <v>9190.2000000000007</v>
      </c>
      <c r="CN468" s="3">
        <v>9496.1</v>
      </c>
      <c r="CO468" s="3">
        <v>11410</v>
      </c>
      <c r="CP468" s="3">
        <v>12001.5</v>
      </c>
      <c r="CQ468" s="3">
        <v>12004</v>
      </c>
      <c r="CR468" s="3">
        <v>12863.4</v>
      </c>
      <c r="CS468" s="3">
        <v>13030.4</v>
      </c>
      <c r="CT468" s="3">
        <v>13242.7</v>
      </c>
    </row>
    <row r="469" spans="1:98">
      <c r="A469" s="4" t="s">
        <v>565</v>
      </c>
      <c r="B469" s="5">
        <v>100</v>
      </c>
      <c r="C469" s="5">
        <v>104.1</v>
      </c>
      <c r="D469" s="5">
        <v>105.1</v>
      </c>
      <c r="E469" s="5">
        <v>108</v>
      </c>
      <c r="F469" s="5">
        <v>109.1</v>
      </c>
      <c r="G469" s="5">
        <v>132.19999999999999</v>
      </c>
      <c r="H469" s="5">
        <v>133.19999999999999</v>
      </c>
      <c r="I469" s="5">
        <v>133.80000000000001</v>
      </c>
      <c r="J469" s="5">
        <v>133.80000000000001</v>
      </c>
      <c r="K469" s="5">
        <v>145.6</v>
      </c>
      <c r="L469" s="5">
        <v>146.1</v>
      </c>
      <c r="M469" s="5">
        <v>146.9</v>
      </c>
      <c r="N469" s="5">
        <v>147.19999999999999</v>
      </c>
      <c r="O469" s="5">
        <v>149.30000000000001</v>
      </c>
      <c r="P469" s="5">
        <v>149.30000000000001</v>
      </c>
      <c r="Q469" s="5">
        <v>150.5</v>
      </c>
      <c r="R469" s="5">
        <v>150.6</v>
      </c>
      <c r="S469" s="5">
        <v>169.9</v>
      </c>
      <c r="T469" s="5">
        <v>170.4</v>
      </c>
      <c r="U469" s="5">
        <v>170.7</v>
      </c>
      <c r="V469" s="5">
        <v>172.7</v>
      </c>
      <c r="W469" s="5">
        <v>199.4</v>
      </c>
      <c r="X469" s="5">
        <v>203.1</v>
      </c>
      <c r="Y469" s="5">
        <v>197</v>
      </c>
      <c r="Z469" s="5">
        <v>191.3</v>
      </c>
      <c r="AA469" s="5">
        <v>185.3</v>
      </c>
      <c r="AB469" s="5">
        <v>193.8</v>
      </c>
      <c r="AC469" s="5">
        <v>195.8</v>
      </c>
      <c r="AD469" s="5">
        <v>194.1</v>
      </c>
      <c r="AE469" s="5">
        <v>201</v>
      </c>
      <c r="AF469" s="5">
        <v>197.1</v>
      </c>
      <c r="AG469" s="5">
        <v>215.3</v>
      </c>
      <c r="AH469" s="5">
        <v>226.7</v>
      </c>
      <c r="AI469" s="5">
        <v>239.4</v>
      </c>
      <c r="AJ469" s="5">
        <v>253.2</v>
      </c>
      <c r="AK469" s="5">
        <v>268.7</v>
      </c>
      <c r="AL469" s="5">
        <v>277.8</v>
      </c>
      <c r="AM469" s="5">
        <v>308.8</v>
      </c>
      <c r="AN469" s="5">
        <v>350.3</v>
      </c>
      <c r="AO469" s="5">
        <v>391.7</v>
      </c>
      <c r="AP469" s="5">
        <v>509.7</v>
      </c>
      <c r="AQ469" s="5">
        <v>510.2</v>
      </c>
      <c r="AR469" s="5">
        <v>505.2</v>
      </c>
      <c r="AS469" s="5">
        <v>506.3</v>
      </c>
      <c r="AT469" s="5">
        <v>508.7</v>
      </c>
      <c r="AU469" s="5">
        <v>547</v>
      </c>
      <c r="AV469" s="5">
        <v>550</v>
      </c>
      <c r="AW469" s="5">
        <v>553.20000000000005</v>
      </c>
      <c r="AX469" s="5">
        <v>555.1</v>
      </c>
      <c r="AY469" s="5">
        <v>538.20000000000005</v>
      </c>
      <c r="AZ469" s="5">
        <v>539.29999999999995</v>
      </c>
      <c r="BA469" s="5">
        <v>532.1</v>
      </c>
      <c r="BB469" s="5">
        <v>532.79999999999995</v>
      </c>
      <c r="BC469" s="5">
        <v>567.9</v>
      </c>
      <c r="BD469" s="5">
        <v>568.9</v>
      </c>
      <c r="BE469" s="5">
        <v>633.6</v>
      </c>
      <c r="BF469" s="5">
        <v>646.4</v>
      </c>
      <c r="BG469" s="5">
        <v>660.3</v>
      </c>
      <c r="BH469" s="5">
        <v>698.8</v>
      </c>
      <c r="BI469" s="5">
        <v>746.1</v>
      </c>
      <c r="BJ469" s="5">
        <v>772</v>
      </c>
      <c r="BK469" s="5">
        <v>882.1</v>
      </c>
      <c r="BL469" s="5">
        <v>1116.5999999999999</v>
      </c>
      <c r="BM469" s="5">
        <v>886.1</v>
      </c>
      <c r="BN469" s="5">
        <v>1144</v>
      </c>
      <c r="BO469" s="5">
        <v>1079</v>
      </c>
      <c r="BP469" s="5">
        <v>1175.4000000000001</v>
      </c>
      <c r="BQ469" s="5">
        <v>1452.6</v>
      </c>
      <c r="BR469" s="5">
        <v>1434.2</v>
      </c>
      <c r="BS469" s="5">
        <v>1391.1</v>
      </c>
      <c r="BT469" s="5">
        <v>1587.9</v>
      </c>
      <c r="BU469" s="5">
        <v>2021.8</v>
      </c>
      <c r="BV469" s="5">
        <v>3243.7</v>
      </c>
      <c r="BW469" s="5">
        <v>2717.8</v>
      </c>
      <c r="BX469" s="5">
        <v>3501.9</v>
      </c>
      <c r="BY469" s="5">
        <v>2652.8</v>
      </c>
      <c r="BZ469" s="5">
        <v>2921.3</v>
      </c>
      <c r="CA469" s="5">
        <v>4251.3</v>
      </c>
      <c r="CB469" s="5">
        <v>4523.3</v>
      </c>
      <c r="CC469" s="5">
        <v>4387.8</v>
      </c>
      <c r="CD469" s="5">
        <v>4056.3</v>
      </c>
      <c r="CE469" s="5">
        <v>4395.3</v>
      </c>
      <c r="CF469" s="5">
        <v>4233</v>
      </c>
      <c r="CG469" s="5">
        <v>4550.5</v>
      </c>
      <c r="CH469" s="5">
        <v>4935.3999999999996</v>
      </c>
      <c r="CI469" s="5">
        <v>5494.5</v>
      </c>
      <c r="CJ469" s="5">
        <v>6062.7</v>
      </c>
      <c r="CK469" s="5">
        <v>6610.1</v>
      </c>
      <c r="CL469" s="5">
        <v>6435.3</v>
      </c>
      <c r="CM469" s="5">
        <v>6581.4</v>
      </c>
      <c r="CN469" s="5">
        <v>6816.3</v>
      </c>
      <c r="CO469" s="5">
        <v>7667.9</v>
      </c>
      <c r="CP469" s="5">
        <v>7647.9</v>
      </c>
      <c r="CQ469" s="5">
        <v>7481.5</v>
      </c>
      <c r="CR469" s="5">
        <v>7762.8</v>
      </c>
      <c r="CS469" s="5">
        <v>8050.4</v>
      </c>
      <c r="CT469" s="5">
        <v>8337.2999999999993</v>
      </c>
    </row>
    <row r="470" spans="1:98">
      <c r="A470" s="2" t="s">
        <v>566</v>
      </c>
      <c r="B470" s="3">
        <v>100</v>
      </c>
      <c r="C470" s="3">
        <v>108.6</v>
      </c>
      <c r="D470" s="3">
        <v>112.3</v>
      </c>
      <c r="E470" s="3">
        <v>115</v>
      </c>
      <c r="F470" s="3">
        <v>117.9</v>
      </c>
      <c r="G470" s="3">
        <v>135.1</v>
      </c>
      <c r="H470" s="3">
        <v>138.9</v>
      </c>
      <c r="I470" s="3">
        <v>141.30000000000001</v>
      </c>
      <c r="J470" s="3">
        <v>141.30000000000001</v>
      </c>
      <c r="K470" s="3">
        <v>148.5</v>
      </c>
      <c r="L470" s="3">
        <v>150.69999999999999</v>
      </c>
      <c r="M470" s="3">
        <v>153.6</v>
      </c>
      <c r="N470" s="3">
        <v>154.6</v>
      </c>
      <c r="O470" s="3">
        <v>166.1</v>
      </c>
      <c r="P470" s="3">
        <v>168</v>
      </c>
      <c r="Q470" s="3">
        <v>169.2</v>
      </c>
      <c r="R470" s="3">
        <v>169.5</v>
      </c>
      <c r="S470" s="3">
        <v>185.7</v>
      </c>
      <c r="T470" s="3">
        <v>187.7</v>
      </c>
      <c r="U470" s="3">
        <v>194.1</v>
      </c>
      <c r="V470" s="3">
        <v>199.1</v>
      </c>
      <c r="W470" s="3">
        <v>221.3</v>
      </c>
      <c r="X470" s="3">
        <v>224.7</v>
      </c>
      <c r="Y470" s="3">
        <v>227.9</v>
      </c>
      <c r="Z470" s="3">
        <v>228.9</v>
      </c>
      <c r="AA470" s="3">
        <v>242</v>
      </c>
      <c r="AB470" s="3">
        <v>245.2</v>
      </c>
      <c r="AC470" s="3">
        <v>249.5</v>
      </c>
      <c r="AD470" s="3">
        <v>252.4</v>
      </c>
      <c r="AE470" s="3">
        <v>268.89999999999998</v>
      </c>
      <c r="AF470" s="3">
        <v>270.8</v>
      </c>
      <c r="AG470" s="3">
        <v>273.5</v>
      </c>
      <c r="AH470" s="3">
        <v>307</v>
      </c>
      <c r="AI470" s="3">
        <v>321.89999999999998</v>
      </c>
      <c r="AJ470" s="3">
        <v>331.3</v>
      </c>
      <c r="AK470" s="3">
        <v>342.8</v>
      </c>
      <c r="AL470" s="3">
        <v>354.5</v>
      </c>
      <c r="AM470" s="3">
        <v>387.5</v>
      </c>
      <c r="AN470" s="3">
        <v>407.1</v>
      </c>
      <c r="AO470" s="3">
        <v>441.6</v>
      </c>
      <c r="AP470" s="3">
        <v>456.8</v>
      </c>
      <c r="AQ470" s="3">
        <v>504.8</v>
      </c>
      <c r="AR470" s="3">
        <v>515.9</v>
      </c>
      <c r="AS470" s="3">
        <v>527</v>
      </c>
      <c r="AT470" s="3">
        <v>538.20000000000005</v>
      </c>
      <c r="AU470" s="3">
        <v>607.4</v>
      </c>
      <c r="AV470" s="3">
        <v>622.79999999999995</v>
      </c>
      <c r="AW470" s="3">
        <v>630.70000000000005</v>
      </c>
      <c r="AX470" s="3">
        <v>638.20000000000005</v>
      </c>
      <c r="AY470" s="3">
        <v>691.9</v>
      </c>
      <c r="AZ470" s="3">
        <v>697</v>
      </c>
      <c r="BA470" s="3">
        <v>700.1</v>
      </c>
      <c r="BB470" s="3">
        <v>703.2</v>
      </c>
      <c r="BC470" s="3">
        <v>751.7</v>
      </c>
      <c r="BD470" s="3">
        <v>758.8</v>
      </c>
      <c r="BE470" s="3">
        <v>767.3</v>
      </c>
      <c r="BF470" s="3">
        <v>774.3</v>
      </c>
      <c r="BG470" s="3">
        <v>834</v>
      </c>
      <c r="BH470" s="3">
        <v>839.5</v>
      </c>
      <c r="BI470" s="3">
        <v>854.2</v>
      </c>
      <c r="BJ470" s="3">
        <v>862.6</v>
      </c>
      <c r="BK470" s="3">
        <v>978.2</v>
      </c>
      <c r="BL470" s="3">
        <v>1116.2</v>
      </c>
      <c r="BM470" s="3">
        <v>1046.8</v>
      </c>
      <c r="BN470" s="3">
        <v>1154.0999999999999</v>
      </c>
      <c r="BO470" s="3">
        <v>1075.7</v>
      </c>
      <c r="BP470" s="3">
        <v>1098.8</v>
      </c>
      <c r="BQ470" s="3">
        <v>1366.1</v>
      </c>
      <c r="BR470" s="3">
        <v>1444.1</v>
      </c>
      <c r="BS470" s="3">
        <v>1495.8</v>
      </c>
      <c r="BT470" s="3">
        <v>1552.4</v>
      </c>
      <c r="BU470" s="3">
        <v>1863.9</v>
      </c>
      <c r="BV470" s="3">
        <v>2438.3000000000002</v>
      </c>
      <c r="BW470" s="3">
        <v>2098.5</v>
      </c>
      <c r="BX470" s="3">
        <v>2559.3000000000002</v>
      </c>
      <c r="BY470" s="3">
        <v>2154.8000000000002</v>
      </c>
      <c r="BZ470" s="3">
        <v>2249.4</v>
      </c>
      <c r="CA470" s="3">
        <v>3311.4</v>
      </c>
      <c r="CB470" s="3">
        <v>3553.1</v>
      </c>
      <c r="CC470" s="3">
        <v>3635.8</v>
      </c>
      <c r="CD470" s="3">
        <v>3704.1</v>
      </c>
      <c r="CE470" s="3">
        <v>4709.3999999999996</v>
      </c>
      <c r="CF470" s="3">
        <v>4848</v>
      </c>
      <c r="CG470" s="3">
        <v>5070.1000000000004</v>
      </c>
      <c r="CH470" s="3">
        <v>5375</v>
      </c>
      <c r="CI470" s="3">
        <v>5387</v>
      </c>
      <c r="CJ470" s="3">
        <v>5426.4</v>
      </c>
      <c r="CK470" s="3">
        <v>6579.5</v>
      </c>
      <c r="CL470" s="3">
        <v>6850.5</v>
      </c>
      <c r="CM470" s="3">
        <v>7023.7</v>
      </c>
      <c r="CN470" s="3">
        <v>7229.3</v>
      </c>
      <c r="CO470" s="3">
        <v>8816.9</v>
      </c>
      <c r="CP470" s="3">
        <v>9263.4</v>
      </c>
      <c r="CQ470" s="3">
        <v>9276.2000000000007</v>
      </c>
      <c r="CR470" s="3">
        <v>9755.6</v>
      </c>
      <c r="CS470" s="3">
        <v>9897.5</v>
      </c>
      <c r="CT470" s="3">
        <v>10059.6</v>
      </c>
    </row>
    <row r="471" spans="1:98">
      <c r="A471" s="4" t="s">
        <v>567</v>
      </c>
      <c r="B471" s="5">
        <v>100</v>
      </c>
      <c r="C471" s="5">
        <v>111</v>
      </c>
      <c r="D471" s="5">
        <v>113.2</v>
      </c>
      <c r="E471" s="5">
        <v>118.9</v>
      </c>
      <c r="F471" s="5">
        <v>127.1</v>
      </c>
      <c r="G471" s="5">
        <v>142.69999999999999</v>
      </c>
      <c r="H471" s="5">
        <v>144.9</v>
      </c>
      <c r="I471" s="5">
        <v>148.19999999999999</v>
      </c>
      <c r="J471" s="5">
        <v>148.19999999999999</v>
      </c>
      <c r="K471" s="5">
        <v>155.5</v>
      </c>
      <c r="L471" s="5">
        <v>159.6</v>
      </c>
      <c r="M471" s="5">
        <v>161.5</v>
      </c>
      <c r="N471" s="5">
        <v>162.1</v>
      </c>
      <c r="O471" s="5">
        <v>169.2</v>
      </c>
      <c r="P471" s="5">
        <v>170.3</v>
      </c>
      <c r="Q471" s="5">
        <v>173</v>
      </c>
      <c r="R471" s="5">
        <v>173.1</v>
      </c>
      <c r="S471" s="5">
        <v>190.6</v>
      </c>
      <c r="T471" s="5">
        <v>192.1</v>
      </c>
      <c r="U471" s="5">
        <v>197.1</v>
      </c>
      <c r="V471" s="5">
        <v>199.9</v>
      </c>
      <c r="W471" s="5">
        <v>225.3</v>
      </c>
      <c r="X471" s="5">
        <v>240.1</v>
      </c>
      <c r="Y471" s="5">
        <v>240</v>
      </c>
      <c r="Z471" s="5">
        <v>236.2</v>
      </c>
      <c r="AA471" s="5">
        <v>245.8</v>
      </c>
      <c r="AB471" s="5">
        <v>247.8</v>
      </c>
      <c r="AC471" s="5">
        <v>251.1</v>
      </c>
      <c r="AD471" s="5">
        <v>253</v>
      </c>
      <c r="AE471" s="5">
        <v>263.60000000000002</v>
      </c>
      <c r="AF471" s="5">
        <v>264.7</v>
      </c>
      <c r="AG471" s="5">
        <v>269.39999999999998</v>
      </c>
      <c r="AH471" s="5">
        <v>284.5</v>
      </c>
      <c r="AI471" s="5">
        <v>297.2</v>
      </c>
      <c r="AJ471" s="5">
        <v>311.2</v>
      </c>
      <c r="AK471" s="5">
        <v>315.39999999999998</v>
      </c>
      <c r="AL471" s="5">
        <v>326.2</v>
      </c>
      <c r="AM471" s="5">
        <v>350.3</v>
      </c>
      <c r="AN471" s="5">
        <v>364.5</v>
      </c>
      <c r="AO471" s="5">
        <v>397</v>
      </c>
      <c r="AP471" s="5">
        <v>405.5</v>
      </c>
      <c r="AQ471" s="5">
        <v>445</v>
      </c>
      <c r="AR471" s="5">
        <v>459.8</v>
      </c>
      <c r="AS471" s="5">
        <v>473.1</v>
      </c>
      <c r="AT471" s="5">
        <v>480.5</v>
      </c>
      <c r="AU471" s="5">
        <v>530.20000000000005</v>
      </c>
      <c r="AV471" s="5">
        <v>566.29999999999995</v>
      </c>
      <c r="AW471" s="5">
        <v>568.70000000000005</v>
      </c>
      <c r="AX471" s="5">
        <v>573.4</v>
      </c>
      <c r="AY471" s="5">
        <v>607.20000000000005</v>
      </c>
      <c r="AZ471" s="5">
        <v>610.9</v>
      </c>
      <c r="BA471" s="5">
        <v>608.5</v>
      </c>
      <c r="BB471" s="5">
        <v>611.29999999999995</v>
      </c>
      <c r="BC471" s="5">
        <v>644.70000000000005</v>
      </c>
      <c r="BD471" s="5">
        <v>652.6</v>
      </c>
      <c r="BE471" s="5">
        <v>670.9</v>
      </c>
      <c r="BF471" s="5">
        <v>678.5</v>
      </c>
      <c r="BG471" s="5">
        <v>733.3</v>
      </c>
      <c r="BH471" s="5">
        <v>741.9</v>
      </c>
      <c r="BI471" s="5">
        <v>750.8</v>
      </c>
      <c r="BJ471" s="5">
        <v>757.1</v>
      </c>
      <c r="BK471" s="5">
        <v>858.4</v>
      </c>
      <c r="BL471" s="5">
        <v>959.2</v>
      </c>
      <c r="BM471" s="5">
        <v>895.2</v>
      </c>
      <c r="BN471" s="5">
        <v>983.4</v>
      </c>
      <c r="BO471" s="5">
        <v>926.2</v>
      </c>
      <c r="BP471" s="5">
        <v>931.9</v>
      </c>
      <c r="BQ471" s="5">
        <v>1143.0999999999999</v>
      </c>
      <c r="BR471" s="5">
        <v>1252.2</v>
      </c>
      <c r="BS471" s="5">
        <v>1305.3</v>
      </c>
      <c r="BT471" s="5">
        <v>1347.5</v>
      </c>
      <c r="BU471" s="5">
        <v>1620.9</v>
      </c>
      <c r="BV471" s="5">
        <v>2126.1999999999998</v>
      </c>
      <c r="BW471" s="5">
        <v>1823.4</v>
      </c>
      <c r="BX471" s="5">
        <v>2204.3000000000002</v>
      </c>
      <c r="BY471" s="5">
        <v>1857.6</v>
      </c>
      <c r="BZ471" s="5">
        <v>1921</v>
      </c>
      <c r="CA471" s="5">
        <v>2835.3</v>
      </c>
      <c r="CB471" s="5">
        <v>3207.8</v>
      </c>
      <c r="CC471" s="5">
        <v>3156.9</v>
      </c>
      <c r="CD471" s="5">
        <v>3221.6</v>
      </c>
      <c r="CE471" s="5">
        <v>3928.2</v>
      </c>
      <c r="CF471" s="5">
        <v>4130.3</v>
      </c>
      <c r="CG471" s="5">
        <v>4386.3</v>
      </c>
      <c r="CH471" s="5">
        <v>4588</v>
      </c>
      <c r="CI471" s="5">
        <v>4611</v>
      </c>
      <c r="CJ471" s="5">
        <v>4867.1000000000004</v>
      </c>
      <c r="CK471" s="5">
        <v>5731.8</v>
      </c>
      <c r="CL471" s="5">
        <v>6056.4</v>
      </c>
      <c r="CM471" s="5">
        <v>6339.1</v>
      </c>
      <c r="CN471" s="5">
        <v>6471.8</v>
      </c>
      <c r="CO471" s="5">
        <v>7748.9</v>
      </c>
      <c r="CP471" s="5">
        <v>8501.6</v>
      </c>
      <c r="CQ471" s="5">
        <v>8567.7999999999993</v>
      </c>
      <c r="CR471" s="5">
        <v>8924.6</v>
      </c>
      <c r="CS471" s="5">
        <v>9153.7999999999993</v>
      </c>
      <c r="CT471" s="5">
        <v>9403.5</v>
      </c>
    </row>
    <row r="472" spans="1:98">
      <c r="A472" s="2" t="s">
        <v>568</v>
      </c>
      <c r="B472" s="3">
        <v>100</v>
      </c>
      <c r="C472" s="3">
        <v>107</v>
      </c>
      <c r="D472" s="3">
        <v>110.3</v>
      </c>
      <c r="E472" s="3">
        <v>115.3</v>
      </c>
      <c r="F472" s="3">
        <v>117.3</v>
      </c>
      <c r="G472" s="3">
        <v>133.9</v>
      </c>
      <c r="H472" s="3">
        <v>138</v>
      </c>
      <c r="I472" s="3">
        <v>140</v>
      </c>
      <c r="J472" s="3">
        <v>140</v>
      </c>
      <c r="K472" s="3">
        <v>147.1</v>
      </c>
      <c r="L472" s="3">
        <v>149.30000000000001</v>
      </c>
      <c r="M472" s="3">
        <v>153.30000000000001</v>
      </c>
      <c r="N472" s="3">
        <v>154.30000000000001</v>
      </c>
      <c r="O472" s="3">
        <v>165.5</v>
      </c>
      <c r="P472" s="3">
        <v>167.2</v>
      </c>
      <c r="Q472" s="3">
        <v>168.1</v>
      </c>
      <c r="R472" s="3">
        <v>168.3</v>
      </c>
      <c r="S472" s="3">
        <v>183.6</v>
      </c>
      <c r="T472" s="3">
        <v>186.1</v>
      </c>
      <c r="U472" s="3">
        <v>193</v>
      </c>
      <c r="V472" s="3">
        <v>199</v>
      </c>
      <c r="W472" s="3">
        <v>218.9</v>
      </c>
      <c r="X472" s="3">
        <v>221.9</v>
      </c>
      <c r="Y472" s="3">
        <v>225.4</v>
      </c>
      <c r="Z472" s="3">
        <v>225.4</v>
      </c>
      <c r="AA472" s="3">
        <v>238.4</v>
      </c>
      <c r="AB472" s="3">
        <v>242</v>
      </c>
      <c r="AC472" s="3">
        <v>245.3</v>
      </c>
      <c r="AD472" s="3">
        <v>247.8</v>
      </c>
      <c r="AE472" s="3">
        <v>264.5</v>
      </c>
      <c r="AF472" s="3">
        <v>266.2</v>
      </c>
      <c r="AG472" s="3">
        <v>268.7</v>
      </c>
      <c r="AH472" s="3">
        <v>302.39999999999998</v>
      </c>
      <c r="AI472" s="3">
        <v>315.8</v>
      </c>
      <c r="AJ472" s="3">
        <v>325.39999999999998</v>
      </c>
      <c r="AK472" s="3">
        <v>339.1</v>
      </c>
      <c r="AL472" s="3">
        <v>350.9</v>
      </c>
      <c r="AM472" s="3">
        <v>384.7</v>
      </c>
      <c r="AN472" s="3">
        <v>405.2</v>
      </c>
      <c r="AO472" s="3">
        <v>445</v>
      </c>
      <c r="AP472" s="3">
        <v>462.5</v>
      </c>
      <c r="AQ472" s="3">
        <v>510.5</v>
      </c>
      <c r="AR472" s="3">
        <v>521.20000000000005</v>
      </c>
      <c r="AS472" s="3">
        <v>531.4</v>
      </c>
      <c r="AT472" s="3">
        <v>541</v>
      </c>
      <c r="AU472" s="3">
        <v>610.4</v>
      </c>
      <c r="AV472" s="3">
        <v>621.9</v>
      </c>
      <c r="AW472" s="3">
        <v>628.70000000000005</v>
      </c>
      <c r="AX472" s="3">
        <v>636.4</v>
      </c>
      <c r="AY472" s="3">
        <v>690</v>
      </c>
      <c r="AZ472" s="3">
        <v>694.6</v>
      </c>
      <c r="BA472" s="3">
        <v>697</v>
      </c>
      <c r="BB472" s="3">
        <v>699.8</v>
      </c>
      <c r="BC472" s="3">
        <v>747.1</v>
      </c>
      <c r="BD472" s="3">
        <v>754.2</v>
      </c>
      <c r="BE472" s="3">
        <v>760.8</v>
      </c>
      <c r="BF472" s="3">
        <v>767.7</v>
      </c>
      <c r="BG472" s="3">
        <v>825.9</v>
      </c>
      <c r="BH472" s="3">
        <v>829.1</v>
      </c>
      <c r="BI472" s="3">
        <v>845</v>
      </c>
      <c r="BJ472" s="3">
        <v>852.5</v>
      </c>
      <c r="BK472" s="3">
        <v>963.9</v>
      </c>
      <c r="BL472" s="3">
        <v>1127.9000000000001</v>
      </c>
      <c r="BM472" s="3">
        <v>1044.8</v>
      </c>
      <c r="BN472" s="3">
        <v>1168.0999999999999</v>
      </c>
      <c r="BO472" s="3">
        <v>1075.5</v>
      </c>
      <c r="BP472" s="3">
        <v>1105.3</v>
      </c>
      <c r="BQ472" s="3">
        <v>1378.7</v>
      </c>
      <c r="BR472" s="3">
        <v>1455.1</v>
      </c>
      <c r="BS472" s="3">
        <v>1505.3</v>
      </c>
      <c r="BT472" s="3">
        <v>1566.9</v>
      </c>
      <c r="BU472" s="3">
        <v>1877.7</v>
      </c>
      <c r="BV472" s="3">
        <v>2528.3000000000002</v>
      </c>
      <c r="BW472" s="3">
        <v>2123.9</v>
      </c>
      <c r="BX472" s="3">
        <v>2665.3</v>
      </c>
      <c r="BY472" s="3">
        <v>2179</v>
      </c>
      <c r="BZ472" s="3">
        <v>2299.1999999999998</v>
      </c>
      <c r="CA472" s="3">
        <v>3455.6</v>
      </c>
      <c r="CB472" s="3">
        <v>3694.9</v>
      </c>
      <c r="CC472" s="3">
        <v>3720.8</v>
      </c>
      <c r="CD472" s="3">
        <v>3802.3</v>
      </c>
      <c r="CE472" s="3">
        <v>4839.6000000000004</v>
      </c>
      <c r="CF472" s="3">
        <v>4971.3999999999996</v>
      </c>
      <c r="CG472" s="3">
        <v>5219.5</v>
      </c>
      <c r="CH472" s="3">
        <v>5535.2</v>
      </c>
      <c r="CI472" s="3">
        <v>5543.6</v>
      </c>
      <c r="CJ472" s="3">
        <v>5560.2</v>
      </c>
      <c r="CK472" s="3">
        <v>6751.5</v>
      </c>
      <c r="CL472" s="3">
        <v>7040.4</v>
      </c>
      <c r="CM472" s="3">
        <v>7163.4</v>
      </c>
      <c r="CN472" s="3">
        <v>7379.1</v>
      </c>
      <c r="CO472" s="3">
        <v>8982.1</v>
      </c>
      <c r="CP472" s="3">
        <v>9406.5</v>
      </c>
      <c r="CQ472" s="3">
        <v>9415</v>
      </c>
      <c r="CR472" s="3">
        <v>9958.9</v>
      </c>
      <c r="CS472" s="3">
        <v>10067.9</v>
      </c>
      <c r="CT472" s="3">
        <v>10200.4</v>
      </c>
    </row>
    <row r="473" spans="1:98">
      <c r="A473" s="4" t="s">
        <v>569</v>
      </c>
      <c r="B473" s="5"/>
      <c r="C473" s="5"/>
      <c r="D473" s="5"/>
      <c r="E473" s="5"/>
      <c r="F473" s="5"/>
      <c r="G473" s="5">
        <v>134.69999999999999</v>
      </c>
      <c r="H473" s="5">
        <v>138.80000000000001</v>
      </c>
      <c r="I473" s="5">
        <v>141.6</v>
      </c>
      <c r="J473" s="5">
        <v>140.6</v>
      </c>
      <c r="K473" s="5">
        <v>146.5</v>
      </c>
      <c r="L473" s="5">
        <v>147.4</v>
      </c>
      <c r="M473" s="5">
        <v>149.9</v>
      </c>
      <c r="N473" s="5">
        <v>150.4</v>
      </c>
      <c r="O473" s="5">
        <v>160.6</v>
      </c>
      <c r="P473" s="5">
        <v>164.9</v>
      </c>
      <c r="Q473" s="5">
        <v>167.9</v>
      </c>
      <c r="R473" s="5">
        <v>168.9</v>
      </c>
      <c r="S473" s="5">
        <v>186.8</v>
      </c>
      <c r="T473" s="5">
        <v>187.9</v>
      </c>
      <c r="U473" s="5">
        <v>193.4</v>
      </c>
      <c r="V473" s="5">
        <v>201.4</v>
      </c>
      <c r="W473" s="5">
        <v>225.5</v>
      </c>
      <c r="X473" s="5">
        <v>235.4</v>
      </c>
      <c r="Y473" s="5">
        <v>223.7</v>
      </c>
      <c r="Z473" s="5">
        <v>216.5</v>
      </c>
      <c r="AA473" s="5">
        <v>224.8</v>
      </c>
      <c r="AB473" s="5">
        <v>231.2</v>
      </c>
      <c r="AC473" s="5">
        <v>232.9</v>
      </c>
      <c r="AD473" s="5">
        <v>237</v>
      </c>
      <c r="AE473" s="5">
        <v>251.2</v>
      </c>
      <c r="AF473" s="5">
        <v>253.3</v>
      </c>
      <c r="AG473" s="5">
        <v>258.89999999999998</v>
      </c>
      <c r="AH473" s="5">
        <v>293.10000000000002</v>
      </c>
      <c r="AI473" s="5">
        <v>302.39999999999998</v>
      </c>
      <c r="AJ473" s="5">
        <v>314.60000000000002</v>
      </c>
      <c r="AK473" s="5">
        <v>330.4</v>
      </c>
      <c r="AL473" s="5">
        <v>347</v>
      </c>
      <c r="AM473" s="5">
        <v>379.8</v>
      </c>
      <c r="AN473" s="5">
        <v>413.8</v>
      </c>
      <c r="AO473" s="5">
        <v>473.4</v>
      </c>
      <c r="AP473" s="5">
        <v>494.8</v>
      </c>
      <c r="AQ473" s="5">
        <v>525</v>
      </c>
      <c r="AR473" s="5">
        <v>535.6</v>
      </c>
      <c r="AS473" s="5">
        <v>546.5</v>
      </c>
      <c r="AT473" s="5">
        <v>551.6</v>
      </c>
      <c r="AU473" s="5">
        <v>614.79999999999995</v>
      </c>
      <c r="AV473" s="5">
        <v>626.1</v>
      </c>
      <c r="AW473" s="5">
        <v>632.1</v>
      </c>
      <c r="AX473" s="5">
        <v>631.29999999999995</v>
      </c>
      <c r="AY473" s="5">
        <v>667.3</v>
      </c>
      <c r="AZ473" s="5">
        <v>669.3</v>
      </c>
      <c r="BA473" s="5">
        <v>661.8</v>
      </c>
      <c r="BB473" s="5">
        <v>659.1</v>
      </c>
      <c r="BC473" s="5">
        <v>704.5</v>
      </c>
      <c r="BD473" s="5">
        <v>711.9</v>
      </c>
      <c r="BE473" s="5">
        <v>734.4</v>
      </c>
      <c r="BF473" s="5">
        <v>741.5</v>
      </c>
      <c r="BG473" s="5">
        <v>785.1</v>
      </c>
      <c r="BH473" s="5">
        <v>805.7</v>
      </c>
      <c r="BI473" s="5">
        <v>828.8</v>
      </c>
      <c r="BJ473" s="5">
        <v>843.4</v>
      </c>
      <c r="BK473" s="5">
        <v>954.2</v>
      </c>
      <c r="BL473" s="5">
        <v>1205.5999999999999</v>
      </c>
      <c r="BM473" s="5">
        <v>1043.2</v>
      </c>
      <c r="BN473" s="5">
        <v>1235.2</v>
      </c>
      <c r="BO473" s="5">
        <v>1133.2</v>
      </c>
      <c r="BP473" s="5">
        <v>1187.5</v>
      </c>
      <c r="BQ473" s="5">
        <v>1447.2</v>
      </c>
      <c r="BR473" s="5">
        <v>1492.2</v>
      </c>
      <c r="BS473" s="5">
        <v>1547.4</v>
      </c>
      <c r="BT473" s="5">
        <v>1667.9</v>
      </c>
      <c r="BU473" s="5">
        <v>1958.9</v>
      </c>
      <c r="BV473" s="5">
        <v>2937.2</v>
      </c>
      <c r="BW473" s="5">
        <v>2317.4</v>
      </c>
      <c r="BX473" s="5">
        <v>3114</v>
      </c>
      <c r="BY473" s="5">
        <v>2459.9</v>
      </c>
      <c r="BZ473" s="5">
        <v>2630.5</v>
      </c>
      <c r="CA473" s="5">
        <v>3823.1</v>
      </c>
      <c r="CB473" s="5">
        <v>4191.1000000000004</v>
      </c>
      <c r="CC473" s="5">
        <v>4187.8999999999996</v>
      </c>
      <c r="CD473" s="5">
        <v>4254.3</v>
      </c>
      <c r="CE473" s="5">
        <v>5168.1000000000004</v>
      </c>
      <c r="CF473" s="5">
        <v>5182.8999999999996</v>
      </c>
      <c r="CG473" s="5">
        <v>5395.8</v>
      </c>
      <c r="CH473" s="5">
        <v>5863.2</v>
      </c>
      <c r="CI473" s="5">
        <v>5979.7</v>
      </c>
      <c r="CJ473" s="5">
        <v>6210.1</v>
      </c>
      <c r="CK473" s="5">
        <v>7180.3</v>
      </c>
      <c r="CL473" s="5">
        <v>7329.9</v>
      </c>
      <c r="CM473" s="5">
        <v>7446.9</v>
      </c>
      <c r="CN473" s="5">
        <v>7719.2</v>
      </c>
      <c r="CO473" s="5">
        <v>9080.7999999999993</v>
      </c>
      <c r="CP473" s="5">
        <v>9517.7999999999993</v>
      </c>
      <c r="CQ473" s="5">
        <v>9575.7999999999993</v>
      </c>
      <c r="CR473" s="5">
        <v>10194.6</v>
      </c>
      <c r="CS473" s="5">
        <v>10427.299999999999</v>
      </c>
      <c r="CT473" s="5">
        <v>10735.6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R128"/>
  <sheetViews>
    <sheetView rightToLeft="1" workbookViewId="0">
      <selection sqref="A1:G1"/>
    </sheetView>
  </sheetViews>
  <sheetFormatPr defaultRowHeight="13.5"/>
  <cols>
    <col min="1" max="1" width="8" customWidth="1"/>
    <col min="2" max="2" width="42" customWidth="1"/>
    <col min="3" max="3" width="16" customWidth="1"/>
    <col min="4" max="4" width="12" customWidth="1"/>
    <col min="5" max="7" width="14" customWidth="1"/>
    <col min="8" max="8" width="16" customWidth="1"/>
    <col min="9" max="9" width="12" customWidth="1"/>
    <col min="10" max="12" width="14" customWidth="1"/>
    <col min="13" max="13" width="16" customWidth="1"/>
    <col min="14" max="14" width="12" customWidth="1"/>
    <col min="15" max="18" width="14" customWidth="1"/>
  </cols>
  <sheetData>
    <row r="1" spans="1:18" ht="32" customHeight="1">
      <c r="A1" s="290" t="s">
        <v>732</v>
      </c>
      <c r="B1" s="291"/>
      <c r="C1" s="291"/>
      <c r="D1" s="291"/>
      <c r="E1" s="291"/>
      <c r="F1" s="291"/>
      <c r="G1" s="292"/>
      <c r="H1" s="6"/>
      <c r="I1" s="6"/>
      <c r="J1" s="6"/>
      <c r="K1" s="6"/>
      <c r="L1" s="6"/>
      <c r="M1" s="6"/>
      <c r="N1" s="6"/>
      <c r="O1" s="6"/>
      <c r="P1" s="6"/>
      <c r="Q1" s="6"/>
      <c r="R1" s="6"/>
    </row>
    <row r="2" spans="1:18" ht="28.05" customHeight="1">
      <c r="A2" s="146"/>
      <c r="B2" s="7" t="s">
        <v>733</v>
      </c>
      <c r="C2" s="147" t="s">
        <v>1</v>
      </c>
      <c r="D2" s="146"/>
      <c r="E2" s="146"/>
      <c r="F2" s="146"/>
      <c r="G2" s="146"/>
      <c r="H2" s="146"/>
      <c r="I2" s="146"/>
      <c r="J2" s="146"/>
      <c r="K2" s="146"/>
      <c r="L2" s="146"/>
      <c r="M2" s="146"/>
      <c r="N2" s="146"/>
      <c r="O2" s="146"/>
      <c r="P2" s="146"/>
      <c r="Q2" s="146"/>
      <c r="R2" s="146"/>
    </row>
    <row r="3" spans="1:18" ht="28.05" customHeight="1">
      <c r="A3" s="146"/>
      <c r="B3" s="7" t="s">
        <v>734</v>
      </c>
      <c r="C3" s="147" t="s">
        <v>97</v>
      </c>
      <c r="D3" s="146"/>
      <c r="E3" s="146"/>
      <c r="F3" s="146"/>
      <c r="G3" s="146"/>
      <c r="H3" s="146"/>
      <c r="I3" s="146"/>
      <c r="J3" s="146"/>
      <c r="K3" s="146"/>
      <c r="L3" s="146"/>
      <c r="M3" s="146"/>
      <c r="N3" s="146"/>
      <c r="O3" s="146"/>
      <c r="P3" s="146"/>
      <c r="Q3" s="146"/>
      <c r="R3" s="146"/>
    </row>
    <row r="4" spans="1:18" ht="8" customHeight="1"/>
    <row r="5" spans="1:18" ht="28.05" customHeight="1">
      <c r="A5" s="1" t="s">
        <v>588</v>
      </c>
      <c r="B5" s="1" t="s">
        <v>735</v>
      </c>
      <c r="C5" s="1" t="s">
        <v>736</v>
      </c>
      <c r="D5" s="1" t="s">
        <v>593</v>
      </c>
      <c r="E5" s="1" t="s">
        <v>594</v>
      </c>
      <c r="F5" s="1" t="s">
        <v>595</v>
      </c>
      <c r="G5" s="1" t="s">
        <v>596</v>
      </c>
      <c r="H5" s="1" t="s">
        <v>737</v>
      </c>
      <c r="I5" s="1" t="s">
        <v>593</v>
      </c>
      <c r="J5" s="1" t="s">
        <v>594</v>
      </c>
      <c r="K5" s="1" t="s">
        <v>595</v>
      </c>
      <c r="L5" s="1" t="s">
        <v>596</v>
      </c>
      <c r="M5" s="1" t="s">
        <v>738</v>
      </c>
      <c r="N5" s="1" t="s">
        <v>593</v>
      </c>
      <c r="O5" s="1" t="s">
        <v>594</v>
      </c>
      <c r="P5" s="1" t="s">
        <v>595</v>
      </c>
      <c r="Q5" s="1" t="s">
        <v>596</v>
      </c>
      <c r="R5" s="1" t="s">
        <v>601</v>
      </c>
    </row>
    <row r="6" spans="1:18" ht="22.05" customHeight="1">
      <c r="A6" s="148">
        <v>1</v>
      </c>
      <c r="B6" s="149" t="s">
        <v>602</v>
      </c>
      <c r="C6" s="150" t="s">
        <v>739</v>
      </c>
      <c r="D6" s="151">
        <v>1</v>
      </c>
      <c r="E6" s="152">
        <f>IFERROR(INDEX(Database!$B$2:$CT$473,MATCH("مکانیک-24",Database!$A$2:$A$473,0),MATCH($C$2,Database!$B$1:$CT$1,0)),0)</f>
        <v>100</v>
      </c>
      <c r="F6" s="152">
        <f>IFERROR(INDEX(Database!$B$2:$CT$473,MATCH("مکانیک-24",Database!$A$2:$A$473,0),MATCH($C$3,Database!$B$1:$CT$1,0)),0)</f>
        <v>6686.9</v>
      </c>
      <c r="G6" s="152">
        <f t="shared" ref="G6:G37" si="0">IF(E6=0,0,(F6/E6)*D6)</f>
        <v>66.869</v>
      </c>
      <c r="H6" s="150"/>
      <c r="I6" s="150"/>
      <c r="J6" s="150"/>
      <c r="K6" s="150"/>
      <c r="L6" s="150"/>
      <c r="M6" s="150"/>
      <c r="N6" s="150"/>
      <c r="O6" s="150"/>
      <c r="P6" s="150"/>
      <c r="Q6" s="150"/>
      <c r="R6" s="152">
        <f>G6</f>
        <v>66.869</v>
      </c>
    </row>
    <row r="7" spans="1:18" ht="22.05" customHeight="1">
      <c r="A7" s="153">
        <v>2</v>
      </c>
      <c r="B7" s="154" t="s">
        <v>603</v>
      </c>
      <c r="C7" s="155" t="s">
        <v>739</v>
      </c>
      <c r="D7" s="156">
        <v>0.8</v>
      </c>
      <c r="E7" s="157">
        <f>IFERROR(INDEX(Database!$B$2:$CT$473,MATCH("مکانیک-24",Database!$A$2:$A$473,0),MATCH($C$2,Database!$B$1:$CT$1,0)),0)</f>
        <v>100</v>
      </c>
      <c r="F7" s="157">
        <f>IFERROR(INDEX(Database!$B$2:$CT$473,MATCH("مکانیک-24",Database!$A$2:$A$473,0),MATCH($C$3,Database!$B$1:$CT$1,0)),0)</f>
        <v>6686.9</v>
      </c>
      <c r="G7" s="157">
        <f t="shared" si="0"/>
        <v>53.495200000000004</v>
      </c>
      <c r="H7" s="155"/>
      <c r="I7" s="155"/>
      <c r="J7" s="155"/>
      <c r="K7" s="155"/>
      <c r="L7" s="155"/>
      <c r="M7" s="155"/>
      <c r="N7" s="155"/>
      <c r="O7" s="155"/>
      <c r="P7" s="155"/>
      <c r="Q7" s="155"/>
      <c r="R7" s="157">
        <f>G7</f>
        <v>53.495200000000004</v>
      </c>
    </row>
    <row r="8" spans="1:18" ht="22.05" customHeight="1">
      <c r="A8" s="148">
        <v>3</v>
      </c>
      <c r="B8" s="149" t="s">
        <v>740</v>
      </c>
      <c r="C8" s="150" t="s">
        <v>739</v>
      </c>
      <c r="D8" s="151">
        <v>0.2</v>
      </c>
      <c r="E8" s="152">
        <f>IFERROR(INDEX(Database!$B$2:$CT$473,MATCH("مکانیک-24",Database!$A$2:$A$473,0),MATCH($C$2,Database!$B$1:$CT$1,0)),0)</f>
        <v>100</v>
      </c>
      <c r="F8" s="152">
        <f>IFERROR(INDEX(Database!$B$2:$CT$473,MATCH("مکانیک-24",Database!$A$2:$A$473,0),MATCH($C$3,Database!$B$1:$CT$1,0)),0)</f>
        <v>6686.9</v>
      </c>
      <c r="G8" s="152">
        <f t="shared" si="0"/>
        <v>13.373800000000001</v>
      </c>
      <c r="H8" s="150" t="s">
        <v>741</v>
      </c>
      <c r="I8" s="151">
        <v>0.6</v>
      </c>
      <c r="J8" s="152">
        <f>IFERROR(INDEX(Database!$B$2:$CT$473,MATCH("ابنیه-16",Database!$A$2:$A$473,0),MATCH($C$2,Database!$B$1:$CT$1,0)),0)</f>
        <v>100</v>
      </c>
      <c r="K8" s="152">
        <f>IFERROR(INDEX(Database!$B$2:$CT$473,MATCH("ابنیه-16",Database!$A$2:$A$473,0),MATCH($C$3,Database!$B$1:$CT$1,0)),0)</f>
        <v>9344.2000000000007</v>
      </c>
      <c r="L8" s="152">
        <f>IF(J8=0,0,(K8/J8)*I8)</f>
        <v>56.065200000000004</v>
      </c>
      <c r="M8" s="150"/>
      <c r="N8" s="150"/>
      <c r="O8" s="150"/>
      <c r="P8" s="150"/>
      <c r="Q8" s="150"/>
      <c r="R8" s="152">
        <f>G8+L8</f>
        <v>69.439000000000007</v>
      </c>
    </row>
    <row r="9" spans="1:18" ht="22.05" customHeight="1">
      <c r="A9" s="153">
        <v>4</v>
      </c>
      <c r="B9" s="154" t="s">
        <v>605</v>
      </c>
      <c r="C9" s="155" t="s">
        <v>741</v>
      </c>
      <c r="D9" s="156">
        <v>0.75</v>
      </c>
      <c r="E9" s="157">
        <f>IFERROR(INDEX(Database!$B$2:$CT$473,MATCH("ابنیه-16",Database!$A$2:$A$473,0),MATCH($C$2,Database!$B$1:$CT$1,0)),0)</f>
        <v>100</v>
      </c>
      <c r="F9" s="157">
        <f>IFERROR(INDEX(Database!$B$2:$CT$473,MATCH("ابنیه-16",Database!$A$2:$A$473,0),MATCH($C$3,Database!$B$1:$CT$1,0)),0)</f>
        <v>9344.2000000000007</v>
      </c>
      <c r="G9" s="157">
        <f t="shared" si="0"/>
        <v>70.081500000000005</v>
      </c>
      <c r="H9" s="155" t="s">
        <v>742</v>
      </c>
      <c r="I9" s="156">
        <v>0.25</v>
      </c>
      <c r="J9" s="157">
        <f>IFERROR(INDEX(Database!$B$2:$CT$473,MATCH("مکانیک-7",Database!$A$2:$A$473,0),MATCH($C$2,Database!$B$1:$CT$1,0)),0)</f>
        <v>100</v>
      </c>
      <c r="K9" s="157">
        <f>IFERROR(INDEX(Database!$B$2:$CT$473,MATCH("مکانیک-7",Database!$A$2:$A$473,0),MATCH($C$3,Database!$B$1:$CT$1,0)),0)</f>
        <v>10444.1</v>
      </c>
      <c r="L9" s="157">
        <f>IF(J9=0,0,(K9/J9)*I9)</f>
        <v>26.110250000000001</v>
      </c>
      <c r="M9" s="155"/>
      <c r="N9" s="155"/>
      <c r="O9" s="155"/>
      <c r="P9" s="155"/>
      <c r="Q9" s="155"/>
      <c r="R9" s="157">
        <f>G9+L9</f>
        <v>96.191750000000013</v>
      </c>
    </row>
    <row r="10" spans="1:18" ht="22.05" customHeight="1">
      <c r="A10" s="148">
        <v>5</v>
      </c>
      <c r="B10" s="149" t="s">
        <v>743</v>
      </c>
      <c r="C10" s="150" t="s">
        <v>741</v>
      </c>
      <c r="D10" s="151">
        <v>0.3</v>
      </c>
      <c r="E10" s="152">
        <f>IFERROR(INDEX(Database!$B$2:$CT$473,MATCH("ابنیه-16",Database!$A$2:$A$473,0),MATCH($C$2,Database!$B$1:$CT$1,0)),0)</f>
        <v>100</v>
      </c>
      <c r="F10" s="152">
        <f>IFERROR(INDEX(Database!$B$2:$CT$473,MATCH("ابنیه-16",Database!$A$2:$A$473,0),MATCH($C$3,Database!$B$1:$CT$1,0)),0)</f>
        <v>9344.2000000000007</v>
      </c>
      <c r="G10" s="152">
        <f t="shared" si="0"/>
        <v>28.032600000000002</v>
      </c>
      <c r="H10" s="150" t="s">
        <v>742</v>
      </c>
      <c r="I10" s="151">
        <v>0.1</v>
      </c>
      <c r="J10" s="152">
        <f>IFERROR(INDEX(Database!$B$2:$CT$473,MATCH("مکانیک-7",Database!$A$2:$A$473,0),MATCH($C$2,Database!$B$1:$CT$1,0)),0)</f>
        <v>100</v>
      </c>
      <c r="K10" s="152">
        <f>IFERROR(INDEX(Database!$B$2:$CT$473,MATCH("مکانیک-7",Database!$A$2:$A$473,0),MATCH($C$3,Database!$B$1:$CT$1,0)),0)</f>
        <v>10444.1</v>
      </c>
      <c r="L10" s="152">
        <f>IF(J10=0,0,(K10/J10)*I10)</f>
        <v>10.444100000000001</v>
      </c>
      <c r="M10" s="150"/>
      <c r="N10" s="150"/>
      <c r="O10" s="150"/>
      <c r="P10" s="150"/>
      <c r="Q10" s="150"/>
      <c r="R10" s="152">
        <f>G10+L10</f>
        <v>38.476700000000001</v>
      </c>
    </row>
    <row r="11" spans="1:18" ht="22.05" customHeight="1">
      <c r="A11" s="153">
        <v>6</v>
      </c>
      <c r="B11" s="154" t="s">
        <v>744</v>
      </c>
      <c r="C11" s="155" t="s">
        <v>741</v>
      </c>
      <c r="D11" s="156">
        <v>0.4</v>
      </c>
      <c r="E11" s="157">
        <f>IFERROR(INDEX(Database!$B$2:$CT$473,MATCH("ابنیه-16",Database!$A$2:$A$473,0),MATCH($C$2,Database!$B$1:$CT$1,0)),0)</f>
        <v>100</v>
      </c>
      <c r="F11" s="157">
        <f>IFERROR(INDEX(Database!$B$2:$CT$473,MATCH("ابنیه-16",Database!$A$2:$A$473,0),MATCH($C$3,Database!$B$1:$CT$1,0)),0)</f>
        <v>9344.2000000000007</v>
      </c>
      <c r="G11" s="157">
        <f t="shared" si="0"/>
        <v>37.376800000000003</v>
      </c>
      <c r="H11" s="155" t="s">
        <v>742</v>
      </c>
      <c r="I11" s="156">
        <v>0.1</v>
      </c>
      <c r="J11" s="157">
        <f>IFERROR(INDEX(Database!$B$2:$CT$473,MATCH("مکانیک-7",Database!$A$2:$A$473,0),MATCH($C$2,Database!$B$1:$CT$1,0)),0)</f>
        <v>100</v>
      </c>
      <c r="K11" s="157">
        <f>IFERROR(INDEX(Database!$B$2:$CT$473,MATCH("مکانیک-7",Database!$A$2:$A$473,0),MATCH($C$3,Database!$B$1:$CT$1,0)),0)</f>
        <v>10444.1</v>
      </c>
      <c r="L11" s="157">
        <f>IF(J11=0,0,(K11/J11)*I11)</f>
        <v>10.444100000000001</v>
      </c>
      <c r="M11" s="155"/>
      <c r="N11" s="155"/>
      <c r="O11" s="155"/>
      <c r="P11" s="155"/>
      <c r="Q11" s="155"/>
      <c r="R11" s="157">
        <f>G11+L11</f>
        <v>47.820900000000002</v>
      </c>
    </row>
    <row r="12" spans="1:18" ht="22.05" customHeight="1">
      <c r="A12" s="148">
        <v>7</v>
      </c>
      <c r="B12" s="149" t="s">
        <v>745</v>
      </c>
      <c r="C12" s="150" t="s">
        <v>741</v>
      </c>
      <c r="D12" s="151">
        <v>0.25</v>
      </c>
      <c r="E12" s="152">
        <f>IFERROR(INDEX(Database!$B$2:$CT$473,MATCH("ابنیه-16",Database!$A$2:$A$473,0),MATCH($C$2,Database!$B$1:$CT$1,0)),0)</f>
        <v>100</v>
      </c>
      <c r="F12" s="152">
        <f>IFERROR(INDEX(Database!$B$2:$CT$473,MATCH("ابنیه-16",Database!$A$2:$A$473,0),MATCH($C$3,Database!$B$1:$CT$1,0)),0)</f>
        <v>9344.2000000000007</v>
      </c>
      <c r="G12" s="152">
        <f t="shared" si="0"/>
        <v>23.360500000000002</v>
      </c>
      <c r="H12" s="150" t="s">
        <v>742</v>
      </c>
      <c r="I12" s="151">
        <v>0.1</v>
      </c>
      <c r="J12" s="152">
        <f>IFERROR(INDEX(Database!$B$2:$CT$473,MATCH("مکانیک-7",Database!$A$2:$A$473,0),MATCH($C$2,Database!$B$1:$CT$1,0)),0)</f>
        <v>100</v>
      </c>
      <c r="K12" s="152">
        <f>IFERROR(INDEX(Database!$B$2:$CT$473,MATCH("مکانیک-7",Database!$A$2:$A$473,0),MATCH($C$3,Database!$B$1:$CT$1,0)),0)</f>
        <v>10444.1</v>
      </c>
      <c r="L12" s="152">
        <f>IF(J12=0,0,(K12/J12)*I12)</f>
        <v>10.444100000000001</v>
      </c>
      <c r="M12" s="150"/>
      <c r="N12" s="150"/>
      <c r="O12" s="150"/>
      <c r="P12" s="150"/>
      <c r="Q12" s="150"/>
      <c r="R12" s="152">
        <f>G12+L12</f>
        <v>33.804600000000001</v>
      </c>
    </row>
    <row r="13" spans="1:18" ht="22.05" customHeight="1">
      <c r="A13" s="153">
        <v>8</v>
      </c>
      <c r="B13" s="154" t="s">
        <v>609</v>
      </c>
      <c r="C13" s="155" t="s">
        <v>741</v>
      </c>
      <c r="D13" s="156">
        <v>1</v>
      </c>
      <c r="E13" s="157">
        <f>IFERROR(INDEX(Database!$B$2:$CT$473,MATCH("ابنیه-16",Database!$A$2:$A$473,0),MATCH($C$2,Database!$B$1:$CT$1,0)),0)</f>
        <v>100</v>
      </c>
      <c r="F13" s="157">
        <f>IFERROR(INDEX(Database!$B$2:$CT$473,MATCH("ابنیه-16",Database!$A$2:$A$473,0),MATCH($C$3,Database!$B$1:$CT$1,0)),0)</f>
        <v>9344.2000000000007</v>
      </c>
      <c r="G13" s="157">
        <f t="shared" si="0"/>
        <v>93.442000000000007</v>
      </c>
      <c r="H13" s="155"/>
      <c r="I13" s="155"/>
      <c r="J13" s="155"/>
      <c r="K13" s="155"/>
      <c r="L13" s="155"/>
      <c r="M13" s="155"/>
      <c r="N13" s="155"/>
      <c r="O13" s="155"/>
      <c r="P13" s="155"/>
      <c r="Q13" s="155"/>
      <c r="R13" s="157">
        <f>G13</f>
        <v>93.442000000000007</v>
      </c>
    </row>
    <row r="14" spans="1:18" ht="22.05" customHeight="1">
      <c r="A14" s="148">
        <v>9</v>
      </c>
      <c r="B14" s="149" t="s">
        <v>746</v>
      </c>
      <c r="C14" s="150" t="s">
        <v>741</v>
      </c>
      <c r="D14" s="151">
        <v>0.5</v>
      </c>
      <c r="E14" s="152">
        <f>IFERROR(INDEX(Database!$B$2:$CT$473,MATCH("ابنیه-16",Database!$A$2:$A$473,0),MATCH($C$2,Database!$B$1:$CT$1,0)),0)</f>
        <v>100</v>
      </c>
      <c r="F14" s="152">
        <f>IFERROR(INDEX(Database!$B$2:$CT$473,MATCH("ابنیه-16",Database!$A$2:$A$473,0),MATCH($C$3,Database!$B$1:$CT$1,0)),0)</f>
        <v>9344.2000000000007</v>
      </c>
      <c r="G14" s="152">
        <f t="shared" si="0"/>
        <v>46.721000000000004</v>
      </c>
      <c r="H14" s="150"/>
      <c r="I14" s="150"/>
      <c r="J14" s="150"/>
      <c r="K14" s="150"/>
      <c r="L14" s="150"/>
      <c r="M14" s="150"/>
      <c r="N14" s="150"/>
      <c r="O14" s="150"/>
      <c r="P14" s="150"/>
      <c r="Q14" s="150"/>
      <c r="R14" s="152">
        <f>G14</f>
        <v>46.721000000000004</v>
      </c>
    </row>
    <row r="15" spans="1:18" ht="22.05" customHeight="1">
      <c r="A15" s="153">
        <v>10</v>
      </c>
      <c r="B15" s="154" t="s">
        <v>611</v>
      </c>
      <c r="C15" s="155" t="s">
        <v>741</v>
      </c>
      <c r="D15" s="156">
        <v>1</v>
      </c>
      <c r="E15" s="157">
        <f>IFERROR(INDEX(Database!$B$2:$CT$473,MATCH("ابنیه-16",Database!$A$2:$A$473,0),MATCH($C$2,Database!$B$1:$CT$1,0)),0)</f>
        <v>100</v>
      </c>
      <c r="F15" s="157">
        <f>IFERROR(INDEX(Database!$B$2:$CT$473,MATCH("ابنیه-16",Database!$A$2:$A$473,0),MATCH($C$3,Database!$B$1:$CT$1,0)),0)</f>
        <v>9344.2000000000007</v>
      </c>
      <c r="G15" s="157">
        <f t="shared" si="0"/>
        <v>93.442000000000007</v>
      </c>
      <c r="H15" s="155"/>
      <c r="I15" s="155"/>
      <c r="J15" s="155"/>
      <c r="K15" s="155"/>
      <c r="L15" s="155"/>
      <c r="M15" s="155"/>
      <c r="N15" s="155"/>
      <c r="O15" s="155"/>
      <c r="P15" s="155"/>
      <c r="Q15" s="155"/>
      <c r="R15" s="157">
        <f>G15</f>
        <v>93.442000000000007</v>
      </c>
    </row>
    <row r="16" spans="1:18" ht="22.05" customHeight="1">
      <c r="A16" s="148">
        <v>11</v>
      </c>
      <c r="B16" s="149" t="s">
        <v>747</v>
      </c>
      <c r="C16" s="150" t="s">
        <v>741</v>
      </c>
      <c r="D16" s="151">
        <v>0.5</v>
      </c>
      <c r="E16" s="152">
        <f>IFERROR(INDEX(Database!$B$2:$CT$473,MATCH("ابنیه-16",Database!$A$2:$A$473,0),MATCH($C$2,Database!$B$1:$CT$1,0)),0)</f>
        <v>100</v>
      </c>
      <c r="F16" s="152">
        <f>IFERROR(INDEX(Database!$B$2:$CT$473,MATCH("ابنیه-16",Database!$A$2:$A$473,0),MATCH($C$3,Database!$B$1:$CT$1,0)),0)</f>
        <v>9344.2000000000007</v>
      </c>
      <c r="G16" s="152">
        <f t="shared" si="0"/>
        <v>46.721000000000004</v>
      </c>
      <c r="H16" s="150"/>
      <c r="I16" s="150"/>
      <c r="J16" s="150"/>
      <c r="K16" s="150"/>
      <c r="L16" s="150"/>
      <c r="M16" s="150"/>
      <c r="N16" s="150"/>
      <c r="O16" s="150"/>
      <c r="P16" s="150"/>
      <c r="Q16" s="150"/>
      <c r="R16" s="152">
        <f>G16</f>
        <v>46.721000000000004</v>
      </c>
    </row>
    <row r="17" spans="1:18" ht="22.05" customHeight="1">
      <c r="A17" s="153">
        <v>12</v>
      </c>
      <c r="B17" s="154" t="s">
        <v>613</v>
      </c>
      <c r="C17" s="155" t="s">
        <v>741</v>
      </c>
      <c r="D17" s="156">
        <v>0.5</v>
      </c>
      <c r="E17" s="157">
        <f>IFERROR(INDEX(Database!$B$2:$CT$473,MATCH("ابنیه-16",Database!$A$2:$A$473,0),MATCH($C$2,Database!$B$1:$CT$1,0)),0)</f>
        <v>100</v>
      </c>
      <c r="F17" s="157">
        <f>IFERROR(INDEX(Database!$B$2:$CT$473,MATCH("ابنیه-16",Database!$A$2:$A$473,0),MATCH($C$3,Database!$B$1:$CT$1,0)),0)</f>
        <v>9344.2000000000007</v>
      </c>
      <c r="G17" s="157">
        <f t="shared" si="0"/>
        <v>46.721000000000004</v>
      </c>
      <c r="H17" s="155" t="s">
        <v>739</v>
      </c>
      <c r="I17" s="156">
        <v>0.5</v>
      </c>
      <c r="J17" s="157">
        <f>IFERROR(INDEX(Database!$B$2:$CT$473,MATCH("مکانیک-24",Database!$A$2:$A$473,0),MATCH($C$2,Database!$B$1:$CT$1,0)),0)</f>
        <v>100</v>
      </c>
      <c r="K17" s="157">
        <f>IFERROR(INDEX(Database!$B$2:$CT$473,MATCH("مکانیک-24",Database!$A$2:$A$473,0),MATCH($C$3,Database!$B$1:$CT$1,0)),0)</f>
        <v>6686.9</v>
      </c>
      <c r="L17" s="157">
        <f t="shared" ref="L17:L22" si="1">IF(J17=0,0,(K17/J17)*I17)</f>
        <v>33.4345</v>
      </c>
      <c r="M17" s="155"/>
      <c r="N17" s="155"/>
      <c r="O17" s="155"/>
      <c r="P17" s="155"/>
      <c r="Q17" s="155"/>
      <c r="R17" s="157">
        <f t="shared" ref="R17:R22" si="2">G17+L17</f>
        <v>80.155500000000004</v>
      </c>
    </row>
    <row r="18" spans="1:18" ht="22.05" customHeight="1">
      <c r="A18" s="148">
        <v>13</v>
      </c>
      <c r="B18" s="149" t="s">
        <v>748</v>
      </c>
      <c r="C18" s="150" t="s">
        <v>741</v>
      </c>
      <c r="D18" s="151">
        <v>0.25</v>
      </c>
      <c r="E18" s="152">
        <f>IFERROR(INDEX(Database!$B$2:$CT$473,MATCH("ابنیه-16",Database!$A$2:$A$473,0),MATCH($C$2,Database!$B$1:$CT$1,0)),0)</f>
        <v>100</v>
      </c>
      <c r="F18" s="152">
        <f>IFERROR(INDEX(Database!$B$2:$CT$473,MATCH("ابنیه-16",Database!$A$2:$A$473,0),MATCH($C$3,Database!$B$1:$CT$1,0)),0)</f>
        <v>9344.2000000000007</v>
      </c>
      <c r="G18" s="152">
        <f t="shared" si="0"/>
        <v>23.360500000000002</v>
      </c>
      <c r="H18" s="150" t="s">
        <v>739</v>
      </c>
      <c r="I18" s="151">
        <v>0.25</v>
      </c>
      <c r="J18" s="152">
        <f>IFERROR(INDEX(Database!$B$2:$CT$473,MATCH("مکانیک-24",Database!$A$2:$A$473,0),MATCH($C$2,Database!$B$1:$CT$1,0)),0)</f>
        <v>100</v>
      </c>
      <c r="K18" s="152">
        <f>IFERROR(INDEX(Database!$B$2:$CT$473,MATCH("مکانیک-24",Database!$A$2:$A$473,0),MATCH($C$3,Database!$B$1:$CT$1,0)),0)</f>
        <v>6686.9</v>
      </c>
      <c r="L18" s="152">
        <f t="shared" si="1"/>
        <v>16.71725</v>
      </c>
      <c r="M18" s="150"/>
      <c r="N18" s="150"/>
      <c r="O18" s="150"/>
      <c r="P18" s="150"/>
      <c r="Q18" s="150"/>
      <c r="R18" s="152">
        <f t="shared" si="2"/>
        <v>40.077750000000002</v>
      </c>
    </row>
    <row r="19" spans="1:18" ht="22.05" customHeight="1">
      <c r="A19" s="153">
        <v>14</v>
      </c>
      <c r="B19" s="154" t="s">
        <v>749</v>
      </c>
      <c r="C19" s="155" t="s">
        <v>741</v>
      </c>
      <c r="D19" s="156">
        <v>0.5</v>
      </c>
      <c r="E19" s="157">
        <f>IFERROR(INDEX(Database!$B$2:$CT$473,MATCH("ابنیه-16",Database!$A$2:$A$473,0),MATCH($C$2,Database!$B$1:$CT$1,0)),0)</f>
        <v>100</v>
      </c>
      <c r="F19" s="157">
        <f>IFERROR(INDEX(Database!$B$2:$CT$473,MATCH("ابنیه-16",Database!$A$2:$A$473,0),MATCH($C$3,Database!$B$1:$CT$1,0)),0)</f>
        <v>9344.2000000000007</v>
      </c>
      <c r="G19" s="157">
        <f t="shared" si="0"/>
        <v>46.721000000000004</v>
      </c>
      <c r="H19" s="155" t="s">
        <v>739</v>
      </c>
      <c r="I19" s="156">
        <v>0.5</v>
      </c>
      <c r="J19" s="157">
        <f>IFERROR(INDEX(Database!$B$2:$CT$473,MATCH("مکانیک-24",Database!$A$2:$A$473,0),MATCH($C$2,Database!$B$1:$CT$1,0)),0)</f>
        <v>100</v>
      </c>
      <c r="K19" s="157">
        <f>IFERROR(INDEX(Database!$B$2:$CT$473,MATCH("مکانیک-24",Database!$A$2:$A$473,0),MATCH($C$3,Database!$B$1:$CT$1,0)),0)</f>
        <v>6686.9</v>
      </c>
      <c r="L19" s="157">
        <f t="shared" si="1"/>
        <v>33.4345</v>
      </c>
      <c r="M19" s="155"/>
      <c r="N19" s="155"/>
      <c r="O19" s="155"/>
      <c r="P19" s="155"/>
      <c r="Q19" s="155"/>
      <c r="R19" s="157">
        <f t="shared" si="2"/>
        <v>80.155500000000004</v>
      </c>
    </row>
    <row r="20" spans="1:18" ht="22.05" customHeight="1">
      <c r="A20" s="148">
        <v>15</v>
      </c>
      <c r="B20" s="149" t="s">
        <v>616</v>
      </c>
      <c r="C20" s="150" t="s">
        <v>741</v>
      </c>
      <c r="D20" s="151">
        <v>0.25</v>
      </c>
      <c r="E20" s="152">
        <f>IFERROR(INDEX(Database!$B$2:$CT$473,MATCH("ابنیه-16",Database!$A$2:$A$473,0),MATCH($C$2,Database!$B$1:$CT$1,0)),0)</f>
        <v>100</v>
      </c>
      <c r="F20" s="152">
        <f>IFERROR(INDEX(Database!$B$2:$CT$473,MATCH("ابنیه-16",Database!$A$2:$A$473,0),MATCH($C$3,Database!$B$1:$CT$1,0)),0)</f>
        <v>9344.2000000000007</v>
      </c>
      <c r="G20" s="152">
        <f t="shared" si="0"/>
        <v>23.360500000000002</v>
      </c>
      <c r="H20" s="150" t="s">
        <v>739</v>
      </c>
      <c r="I20" s="151">
        <v>0.25</v>
      </c>
      <c r="J20" s="152">
        <f>IFERROR(INDEX(Database!$B$2:$CT$473,MATCH("مکانیک-24",Database!$A$2:$A$473,0),MATCH($C$2,Database!$B$1:$CT$1,0)),0)</f>
        <v>100</v>
      </c>
      <c r="K20" s="152">
        <f>IFERROR(INDEX(Database!$B$2:$CT$473,MATCH("مکانیک-24",Database!$A$2:$A$473,0),MATCH($C$3,Database!$B$1:$CT$1,0)),0)</f>
        <v>6686.9</v>
      </c>
      <c r="L20" s="152">
        <f t="shared" si="1"/>
        <v>16.71725</v>
      </c>
      <c r="M20" s="150"/>
      <c r="N20" s="150"/>
      <c r="O20" s="150"/>
      <c r="P20" s="150"/>
      <c r="Q20" s="150"/>
      <c r="R20" s="152">
        <f t="shared" si="2"/>
        <v>40.077750000000002</v>
      </c>
    </row>
    <row r="21" spans="1:18" ht="22.05" customHeight="1">
      <c r="A21" s="153">
        <v>16</v>
      </c>
      <c r="B21" s="154" t="s">
        <v>750</v>
      </c>
      <c r="C21" s="155" t="s">
        <v>741</v>
      </c>
      <c r="D21" s="156">
        <v>0.25</v>
      </c>
      <c r="E21" s="157">
        <f>IFERROR(INDEX(Database!$B$2:$CT$473,MATCH("ابنیه-16",Database!$A$2:$A$473,0),MATCH($C$2,Database!$B$1:$CT$1,0)),0)</f>
        <v>100</v>
      </c>
      <c r="F21" s="157">
        <f>IFERROR(INDEX(Database!$B$2:$CT$473,MATCH("ابنیه-16",Database!$A$2:$A$473,0),MATCH($C$3,Database!$B$1:$CT$1,0)),0)</f>
        <v>9344.2000000000007</v>
      </c>
      <c r="G21" s="157">
        <f t="shared" si="0"/>
        <v>23.360500000000002</v>
      </c>
      <c r="H21" s="155" t="s">
        <v>739</v>
      </c>
      <c r="I21" s="156">
        <v>0.25</v>
      </c>
      <c r="J21" s="157">
        <f>IFERROR(INDEX(Database!$B$2:$CT$473,MATCH("مکانیک-24",Database!$A$2:$A$473,0),MATCH($C$2,Database!$B$1:$CT$1,0)),0)</f>
        <v>100</v>
      </c>
      <c r="K21" s="157">
        <f>IFERROR(INDEX(Database!$B$2:$CT$473,MATCH("مکانیک-24",Database!$A$2:$A$473,0),MATCH($C$3,Database!$B$1:$CT$1,0)),0)</f>
        <v>6686.9</v>
      </c>
      <c r="L21" s="157">
        <f t="shared" si="1"/>
        <v>16.71725</v>
      </c>
      <c r="M21" s="155"/>
      <c r="N21" s="155"/>
      <c r="O21" s="155"/>
      <c r="P21" s="155"/>
      <c r="Q21" s="155"/>
      <c r="R21" s="157">
        <f t="shared" si="2"/>
        <v>40.077750000000002</v>
      </c>
    </row>
    <row r="22" spans="1:18" ht="22.05" customHeight="1">
      <c r="A22" s="148">
        <v>17</v>
      </c>
      <c r="B22" s="149" t="s">
        <v>751</v>
      </c>
      <c r="C22" s="150" t="s">
        <v>741</v>
      </c>
      <c r="D22" s="151">
        <v>0.15</v>
      </c>
      <c r="E22" s="152">
        <f>IFERROR(INDEX(Database!$B$2:$CT$473,MATCH("ابنیه-16",Database!$A$2:$A$473,0),MATCH($C$2,Database!$B$1:$CT$1,0)),0)</f>
        <v>100</v>
      </c>
      <c r="F22" s="152">
        <f>IFERROR(INDEX(Database!$B$2:$CT$473,MATCH("ابنیه-16",Database!$A$2:$A$473,0),MATCH($C$3,Database!$B$1:$CT$1,0)),0)</f>
        <v>9344.2000000000007</v>
      </c>
      <c r="G22" s="152">
        <f t="shared" si="0"/>
        <v>14.016300000000001</v>
      </c>
      <c r="H22" s="150" t="s">
        <v>739</v>
      </c>
      <c r="I22" s="151">
        <v>0.15</v>
      </c>
      <c r="J22" s="152">
        <f>IFERROR(INDEX(Database!$B$2:$CT$473,MATCH("مکانیک-24",Database!$A$2:$A$473,0),MATCH($C$2,Database!$B$1:$CT$1,0)),0)</f>
        <v>100</v>
      </c>
      <c r="K22" s="152">
        <f>IFERROR(INDEX(Database!$B$2:$CT$473,MATCH("مکانیک-24",Database!$A$2:$A$473,0),MATCH($C$3,Database!$B$1:$CT$1,0)),0)</f>
        <v>6686.9</v>
      </c>
      <c r="L22" s="152">
        <f t="shared" si="1"/>
        <v>10.03035</v>
      </c>
      <c r="M22" s="150"/>
      <c r="N22" s="150"/>
      <c r="O22" s="150"/>
      <c r="P22" s="150"/>
      <c r="Q22" s="150"/>
      <c r="R22" s="152">
        <f t="shared" si="2"/>
        <v>24.04665</v>
      </c>
    </row>
    <row r="23" spans="1:18" ht="22.05" customHeight="1">
      <c r="A23" s="153">
        <v>18</v>
      </c>
      <c r="B23" s="154" t="s">
        <v>619</v>
      </c>
      <c r="C23" s="155" t="s">
        <v>741</v>
      </c>
      <c r="D23" s="156">
        <v>1</v>
      </c>
      <c r="E23" s="157">
        <f>IFERROR(INDEX(Database!$B$2:$CT$473,MATCH("ابنیه-16",Database!$A$2:$A$473,0),MATCH($C$2,Database!$B$1:$CT$1,0)),0)</f>
        <v>100</v>
      </c>
      <c r="F23" s="157">
        <f>IFERROR(INDEX(Database!$B$2:$CT$473,MATCH("ابنیه-16",Database!$A$2:$A$473,0),MATCH($C$3,Database!$B$1:$CT$1,0)),0)</f>
        <v>9344.2000000000007</v>
      </c>
      <c r="G23" s="157">
        <f t="shared" si="0"/>
        <v>93.442000000000007</v>
      </c>
      <c r="H23" s="155"/>
      <c r="I23" s="155"/>
      <c r="J23" s="155"/>
      <c r="K23" s="155"/>
      <c r="L23" s="155"/>
      <c r="M23" s="155"/>
      <c r="N23" s="155"/>
      <c r="O23" s="155"/>
      <c r="P23" s="155"/>
      <c r="Q23" s="155"/>
      <c r="R23" s="157">
        <f t="shared" ref="R23:R28" si="3">G23</f>
        <v>93.442000000000007</v>
      </c>
    </row>
    <row r="24" spans="1:18" ht="22.05" customHeight="1">
      <c r="A24" s="148">
        <v>19</v>
      </c>
      <c r="B24" s="149" t="s">
        <v>752</v>
      </c>
      <c r="C24" s="150" t="s">
        <v>741</v>
      </c>
      <c r="D24" s="151">
        <v>0.3</v>
      </c>
      <c r="E24" s="152">
        <f>IFERROR(INDEX(Database!$B$2:$CT$473,MATCH("ابنیه-16",Database!$A$2:$A$473,0),MATCH($C$2,Database!$B$1:$CT$1,0)),0)</f>
        <v>100</v>
      </c>
      <c r="F24" s="152">
        <f>IFERROR(INDEX(Database!$B$2:$CT$473,MATCH("ابنیه-16",Database!$A$2:$A$473,0),MATCH($C$3,Database!$B$1:$CT$1,0)),0)</f>
        <v>9344.2000000000007</v>
      </c>
      <c r="G24" s="152">
        <f t="shared" si="0"/>
        <v>28.032600000000002</v>
      </c>
      <c r="H24" s="150"/>
      <c r="I24" s="150"/>
      <c r="J24" s="150"/>
      <c r="K24" s="150"/>
      <c r="L24" s="150"/>
      <c r="M24" s="150"/>
      <c r="N24" s="150"/>
      <c r="O24" s="150"/>
      <c r="P24" s="150"/>
      <c r="Q24" s="150"/>
      <c r="R24" s="152">
        <f t="shared" si="3"/>
        <v>28.032600000000002</v>
      </c>
    </row>
    <row r="25" spans="1:18" ht="22.05" customHeight="1">
      <c r="A25" s="153">
        <v>20</v>
      </c>
      <c r="B25" s="154" t="s">
        <v>753</v>
      </c>
      <c r="C25" s="155" t="s">
        <v>754</v>
      </c>
      <c r="D25" s="156">
        <v>1</v>
      </c>
      <c r="E25" s="157">
        <f>IFERROR(INDEX(Database!$B$2:$CT$473,MATCH("ابنیه-23",Database!$A$2:$A$473,0),MATCH($C$2,Database!$B$1:$CT$1,0)),0)</f>
        <v>100</v>
      </c>
      <c r="F25" s="157">
        <f>IFERROR(INDEX(Database!$B$2:$CT$473,MATCH("ابنیه-23",Database!$A$2:$A$473,0),MATCH($C$3,Database!$B$1:$CT$1,0)),0)</f>
        <v>7368</v>
      </c>
      <c r="G25" s="157">
        <f t="shared" si="0"/>
        <v>73.680000000000007</v>
      </c>
      <c r="H25" s="155"/>
      <c r="I25" s="155"/>
      <c r="J25" s="155"/>
      <c r="K25" s="155"/>
      <c r="L25" s="155"/>
      <c r="M25" s="155"/>
      <c r="N25" s="155"/>
      <c r="O25" s="155"/>
      <c r="P25" s="155"/>
      <c r="Q25" s="155"/>
      <c r="R25" s="157">
        <f t="shared" si="3"/>
        <v>73.680000000000007</v>
      </c>
    </row>
    <row r="26" spans="1:18" ht="22.05" customHeight="1">
      <c r="A26" s="148">
        <v>21</v>
      </c>
      <c r="B26" s="149" t="s">
        <v>622</v>
      </c>
      <c r="C26" s="150" t="s">
        <v>741</v>
      </c>
      <c r="D26" s="151">
        <v>0.7</v>
      </c>
      <c r="E26" s="152">
        <f>IFERROR(INDEX(Database!$B$2:$CT$473,MATCH("ابنیه-16",Database!$A$2:$A$473,0),MATCH($C$2,Database!$B$1:$CT$1,0)),0)</f>
        <v>100</v>
      </c>
      <c r="F26" s="152">
        <f>IFERROR(INDEX(Database!$B$2:$CT$473,MATCH("ابنیه-16",Database!$A$2:$A$473,0),MATCH($C$3,Database!$B$1:$CT$1,0)),0)</f>
        <v>9344.2000000000007</v>
      </c>
      <c r="G26" s="152">
        <f t="shared" si="0"/>
        <v>65.409400000000005</v>
      </c>
      <c r="H26" s="150"/>
      <c r="I26" s="150"/>
      <c r="J26" s="150"/>
      <c r="K26" s="150"/>
      <c r="L26" s="150"/>
      <c r="M26" s="150"/>
      <c r="N26" s="150"/>
      <c r="O26" s="150"/>
      <c r="P26" s="150"/>
      <c r="Q26" s="150"/>
      <c r="R26" s="152">
        <f t="shared" si="3"/>
        <v>65.409400000000005</v>
      </c>
    </row>
    <row r="27" spans="1:18" ht="22.05" customHeight="1">
      <c r="A27" s="153">
        <v>22</v>
      </c>
      <c r="B27" s="154" t="s">
        <v>623</v>
      </c>
      <c r="C27" s="155" t="s">
        <v>741</v>
      </c>
      <c r="D27" s="156">
        <v>0.3</v>
      </c>
      <c r="E27" s="157">
        <f>IFERROR(INDEX(Database!$B$2:$CT$473,MATCH("ابنیه-16",Database!$A$2:$A$473,0),MATCH($C$2,Database!$B$1:$CT$1,0)),0)</f>
        <v>100</v>
      </c>
      <c r="F27" s="157">
        <f>IFERROR(INDEX(Database!$B$2:$CT$473,MATCH("ابنیه-16",Database!$A$2:$A$473,0),MATCH($C$3,Database!$B$1:$CT$1,0)),0)</f>
        <v>9344.2000000000007</v>
      </c>
      <c r="G27" s="157">
        <f t="shared" si="0"/>
        <v>28.032600000000002</v>
      </c>
      <c r="H27" s="155"/>
      <c r="I27" s="155"/>
      <c r="J27" s="155"/>
      <c r="K27" s="155"/>
      <c r="L27" s="155"/>
      <c r="M27" s="155"/>
      <c r="N27" s="155"/>
      <c r="O27" s="155"/>
      <c r="P27" s="155"/>
      <c r="Q27" s="155"/>
      <c r="R27" s="157">
        <f t="shared" si="3"/>
        <v>28.032600000000002</v>
      </c>
    </row>
    <row r="28" spans="1:18" ht="22.05" customHeight="1">
      <c r="A28" s="148">
        <v>23</v>
      </c>
      <c r="B28" s="149" t="s">
        <v>755</v>
      </c>
      <c r="C28" s="150" t="s">
        <v>741</v>
      </c>
      <c r="D28" s="151">
        <v>0.65</v>
      </c>
      <c r="E28" s="152">
        <f>IFERROR(INDEX(Database!$B$2:$CT$473,MATCH("ابنیه-16",Database!$A$2:$A$473,0),MATCH($C$2,Database!$B$1:$CT$1,0)),0)</f>
        <v>100</v>
      </c>
      <c r="F28" s="152">
        <f>IFERROR(INDEX(Database!$B$2:$CT$473,MATCH("ابنیه-16",Database!$A$2:$A$473,0),MATCH($C$3,Database!$B$1:$CT$1,0)),0)</f>
        <v>9344.2000000000007</v>
      </c>
      <c r="G28" s="152">
        <f t="shared" si="0"/>
        <v>60.737300000000005</v>
      </c>
      <c r="H28" s="150"/>
      <c r="I28" s="150"/>
      <c r="J28" s="150"/>
      <c r="K28" s="150"/>
      <c r="L28" s="150"/>
      <c r="M28" s="150"/>
      <c r="N28" s="150"/>
      <c r="O28" s="150"/>
      <c r="P28" s="150"/>
      <c r="Q28" s="150"/>
      <c r="R28" s="152">
        <f t="shared" si="3"/>
        <v>60.737300000000005</v>
      </c>
    </row>
    <row r="29" spans="1:18" ht="22.05" customHeight="1">
      <c r="A29" s="153">
        <v>24</v>
      </c>
      <c r="B29" s="154" t="s">
        <v>756</v>
      </c>
      <c r="C29" s="155" t="s">
        <v>741</v>
      </c>
      <c r="D29" s="156">
        <v>0.75</v>
      </c>
      <c r="E29" s="157">
        <f>IFERROR(INDEX(Database!$B$2:$CT$473,MATCH("ابنیه-16",Database!$A$2:$A$473,0),MATCH($C$2,Database!$B$1:$CT$1,0)),0)</f>
        <v>100</v>
      </c>
      <c r="F29" s="157">
        <f>IFERROR(INDEX(Database!$B$2:$CT$473,MATCH("ابنیه-16",Database!$A$2:$A$473,0),MATCH($C$3,Database!$B$1:$CT$1,0)),0)</f>
        <v>9344.2000000000007</v>
      </c>
      <c r="G29" s="157">
        <f t="shared" si="0"/>
        <v>70.081500000000005</v>
      </c>
      <c r="H29" s="155" t="s">
        <v>739</v>
      </c>
      <c r="I29" s="156">
        <v>0.25</v>
      </c>
      <c r="J29" s="157">
        <f>IFERROR(INDEX(Database!$B$2:$CT$473,MATCH("مکانیک-24",Database!$A$2:$A$473,0),MATCH($C$2,Database!$B$1:$CT$1,0)),0)</f>
        <v>100</v>
      </c>
      <c r="K29" s="157">
        <f>IFERROR(INDEX(Database!$B$2:$CT$473,MATCH("مکانیک-24",Database!$A$2:$A$473,0),MATCH($C$3,Database!$B$1:$CT$1,0)),0)</f>
        <v>6686.9</v>
      </c>
      <c r="L29" s="157">
        <f>IF(J29=0,0,(K29/J29)*I29)</f>
        <v>16.71725</v>
      </c>
      <c r="M29" s="155"/>
      <c r="N29" s="155"/>
      <c r="O29" s="155"/>
      <c r="P29" s="155"/>
      <c r="Q29" s="155"/>
      <c r="R29" s="157">
        <f>G29+L29</f>
        <v>86.798750000000013</v>
      </c>
    </row>
    <row r="30" spans="1:18" ht="22.05" customHeight="1">
      <c r="A30" s="148">
        <v>25</v>
      </c>
      <c r="B30" s="149" t="s">
        <v>757</v>
      </c>
      <c r="C30" s="150" t="s">
        <v>741</v>
      </c>
      <c r="D30" s="151">
        <v>0.45</v>
      </c>
      <c r="E30" s="152">
        <f>IFERROR(INDEX(Database!$B$2:$CT$473,MATCH("ابنیه-16",Database!$A$2:$A$473,0),MATCH($C$2,Database!$B$1:$CT$1,0)),0)</f>
        <v>100</v>
      </c>
      <c r="F30" s="152">
        <f>IFERROR(INDEX(Database!$B$2:$CT$473,MATCH("ابنیه-16",Database!$A$2:$A$473,0),MATCH($C$3,Database!$B$1:$CT$1,0)),0)</f>
        <v>9344.2000000000007</v>
      </c>
      <c r="G30" s="152">
        <f t="shared" si="0"/>
        <v>42.048900000000003</v>
      </c>
      <c r="H30" s="150" t="s">
        <v>739</v>
      </c>
      <c r="I30" s="151">
        <v>0.25</v>
      </c>
      <c r="J30" s="152">
        <f>IFERROR(INDEX(Database!$B$2:$CT$473,MATCH("مکانیک-24",Database!$A$2:$A$473,0),MATCH($C$2,Database!$B$1:$CT$1,0)),0)</f>
        <v>100</v>
      </c>
      <c r="K30" s="152">
        <f>IFERROR(INDEX(Database!$B$2:$CT$473,MATCH("مکانیک-24",Database!$A$2:$A$473,0),MATCH($C$3,Database!$B$1:$CT$1,0)),0)</f>
        <v>6686.9</v>
      </c>
      <c r="L30" s="152">
        <f>IF(J30=0,0,(K30/J30)*I30)</f>
        <v>16.71725</v>
      </c>
      <c r="M30" s="150"/>
      <c r="N30" s="150"/>
      <c r="O30" s="150"/>
      <c r="P30" s="150"/>
      <c r="Q30" s="150"/>
      <c r="R30" s="152">
        <f>G30+L30</f>
        <v>58.766150000000003</v>
      </c>
    </row>
    <row r="31" spans="1:18" ht="22.05" customHeight="1">
      <c r="A31" s="153">
        <v>26</v>
      </c>
      <c r="B31" s="154" t="s">
        <v>758</v>
      </c>
      <c r="C31" s="155" t="s">
        <v>739</v>
      </c>
      <c r="D31" s="156">
        <v>0.25</v>
      </c>
      <c r="E31" s="157">
        <f>IFERROR(INDEX(Database!$B$2:$CT$473,MATCH("مکانیک-24",Database!$A$2:$A$473,0),MATCH($C$2,Database!$B$1:$CT$1,0)),0)</f>
        <v>100</v>
      </c>
      <c r="F31" s="157">
        <f>IFERROR(INDEX(Database!$B$2:$CT$473,MATCH("مکانیک-24",Database!$A$2:$A$473,0),MATCH($C$3,Database!$B$1:$CT$1,0)),0)</f>
        <v>6686.9</v>
      </c>
      <c r="G31" s="157">
        <f t="shared" si="0"/>
        <v>16.71725</v>
      </c>
      <c r="H31" s="155"/>
      <c r="I31" s="155"/>
      <c r="J31" s="155"/>
      <c r="K31" s="155"/>
      <c r="L31" s="155"/>
      <c r="M31" s="155"/>
      <c r="N31" s="155"/>
      <c r="O31" s="155"/>
      <c r="P31" s="155"/>
      <c r="Q31" s="155"/>
      <c r="R31" s="157">
        <f t="shared" ref="R31:R40" si="4">G31</f>
        <v>16.71725</v>
      </c>
    </row>
    <row r="32" spans="1:18" ht="22.05" customHeight="1">
      <c r="A32" s="148">
        <v>27</v>
      </c>
      <c r="B32" s="149" t="s">
        <v>759</v>
      </c>
      <c r="C32" s="150" t="s">
        <v>741</v>
      </c>
      <c r="D32" s="151">
        <v>1</v>
      </c>
      <c r="E32" s="152">
        <f>IFERROR(INDEX(Database!$B$2:$CT$473,MATCH("ابنیه-16",Database!$A$2:$A$473,0),MATCH($C$2,Database!$B$1:$CT$1,0)),0)</f>
        <v>100</v>
      </c>
      <c r="F32" s="152">
        <f>IFERROR(INDEX(Database!$B$2:$CT$473,MATCH("ابنیه-16",Database!$A$2:$A$473,0),MATCH($C$3,Database!$B$1:$CT$1,0)),0)</f>
        <v>9344.2000000000007</v>
      </c>
      <c r="G32" s="152">
        <f t="shared" si="0"/>
        <v>93.442000000000007</v>
      </c>
      <c r="H32" s="150"/>
      <c r="I32" s="150"/>
      <c r="J32" s="150"/>
      <c r="K32" s="150"/>
      <c r="L32" s="150"/>
      <c r="M32" s="150"/>
      <c r="N32" s="150"/>
      <c r="O32" s="150"/>
      <c r="P32" s="150"/>
      <c r="Q32" s="150"/>
      <c r="R32" s="152">
        <f t="shared" si="4"/>
        <v>93.442000000000007</v>
      </c>
    </row>
    <row r="33" spans="1:18" ht="22.05" customHeight="1">
      <c r="A33" s="153">
        <v>28</v>
      </c>
      <c r="B33" s="154" t="s">
        <v>629</v>
      </c>
      <c r="C33" s="155" t="s">
        <v>754</v>
      </c>
      <c r="D33" s="156">
        <v>1</v>
      </c>
      <c r="E33" s="157">
        <f>IFERROR(INDEX(Database!$B$2:$CT$473,MATCH("ابنیه-23",Database!$A$2:$A$473,0),MATCH($C$2,Database!$B$1:$CT$1,0)),0)</f>
        <v>100</v>
      </c>
      <c r="F33" s="157">
        <f>IFERROR(INDEX(Database!$B$2:$CT$473,MATCH("ابنیه-23",Database!$A$2:$A$473,0),MATCH($C$3,Database!$B$1:$CT$1,0)),0)</f>
        <v>7368</v>
      </c>
      <c r="G33" s="157">
        <f t="shared" si="0"/>
        <v>73.680000000000007</v>
      </c>
      <c r="H33" s="155"/>
      <c r="I33" s="155"/>
      <c r="J33" s="155"/>
      <c r="K33" s="155"/>
      <c r="L33" s="155"/>
      <c r="M33" s="155"/>
      <c r="N33" s="155"/>
      <c r="O33" s="155"/>
      <c r="P33" s="155"/>
      <c r="Q33" s="155"/>
      <c r="R33" s="157">
        <f t="shared" si="4"/>
        <v>73.680000000000007</v>
      </c>
    </row>
    <row r="34" spans="1:18" ht="22.05" customHeight="1">
      <c r="A34" s="148">
        <v>29</v>
      </c>
      <c r="B34" s="149" t="s">
        <v>760</v>
      </c>
      <c r="C34" s="150" t="s">
        <v>741</v>
      </c>
      <c r="D34" s="151">
        <v>0.3</v>
      </c>
      <c r="E34" s="152">
        <f>IFERROR(INDEX(Database!$B$2:$CT$473,MATCH("ابنیه-16",Database!$A$2:$A$473,0),MATCH($C$2,Database!$B$1:$CT$1,0)),0)</f>
        <v>100</v>
      </c>
      <c r="F34" s="152">
        <f>IFERROR(INDEX(Database!$B$2:$CT$473,MATCH("ابنیه-16",Database!$A$2:$A$473,0),MATCH($C$3,Database!$B$1:$CT$1,0)),0)</f>
        <v>9344.2000000000007</v>
      </c>
      <c r="G34" s="152">
        <f t="shared" si="0"/>
        <v>28.032600000000002</v>
      </c>
      <c r="H34" s="150"/>
      <c r="I34" s="150"/>
      <c r="J34" s="150"/>
      <c r="K34" s="150"/>
      <c r="L34" s="150"/>
      <c r="M34" s="150"/>
      <c r="N34" s="150"/>
      <c r="O34" s="150"/>
      <c r="P34" s="150"/>
      <c r="Q34" s="150"/>
      <c r="R34" s="152">
        <f t="shared" si="4"/>
        <v>28.032600000000002</v>
      </c>
    </row>
    <row r="35" spans="1:18" ht="22.05" customHeight="1">
      <c r="A35" s="153">
        <v>30</v>
      </c>
      <c r="B35" s="154" t="s">
        <v>761</v>
      </c>
      <c r="C35" s="155" t="s">
        <v>741</v>
      </c>
      <c r="D35" s="156">
        <v>1</v>
      </c>
      <c r="E35" s="157">
        <f>IFERROR(INDEX(Database!$B$2:$CT$473,MATCH("ابنیه-16",Database!$A$2:$A$473,0),MATCH($C$2,Database!$B$1:$CT$1,0)),0)</f>
        <v>100</v>
      </c>
      <c r="F35" s="157">
        <f>IFERROR(INDEX(Database!$B$2:$CT$473,MATCH("ابنیه-16",Database!$A$2:$A$473,0),MATCH($C$3,Database!$B$1:$CT$1,0)),0)</f>
        <v>9344.2000000000007</v>
      </c>
      <c r="G35" s="157">
        <f t="shared" si="0"/>
        <v>93.442000000000007</v>
      </c>
      <c r="H35" s="155"/>
      <c r="I35" s="155"/>
      <c r="J35" s="155"/>
      <c r="K35" s="155"/>
      <c r="L35" s="155"/>
      <c r="M35" s="155"/>
      <c r="N35" s="155"/>
      <c r="O35" s="155"/>
      <c r="P35" s="155"/>
      <c r="Q35" s="155"/>
      <c r="R35" s="157">
        <f t="shared" si="4"/>
        <v>93.442000000000007</v>
      </c>
    </row>
    <row r="36" spans="1:18" ht="22.05" customHeight="1">
      <c r="A36" s="148">
        <v>31</v>
      </c>
      <c r="B36" s="149" t="s">
        <v>762</v>
      </c>
      <c r="C36" s="150" t="s">
        <v>741</v>
      </c>
      <c r="D36" s="151">
        <v>0.25</v>
      </c>
      <c r="E36" s="152">
        <f>IFERROR(INDEX(Database!$B$2:$CT$473,MATCH("ابنیه-16",Database!$A$2:$A$473,0),MATCH($C$2,Database!$B$1:$CT$1,0)),0)</f>
        <v>100</v>
      </c>
      <c r="F36" s="152">
        <f>IFERROR(INDEX(Database!$B$2:$CT$473,MATCH("ابنیه-16",Database!$A$2:$A$473,0),MATCH($C$3,Database!$B$1:$CT$1,0)),0)</f>
        <v>9344.2000000000007</v>
      </c>
      <c r="G36" s="152">
        <f t="shared" si="0"/>
        <v>23.360500000000002</v>
      </c>
      <c r="H36" s="150"/>
      <c r="I36" s="150"/>
      <c r="J36" s="150"/>
      <c r="K36" s="150"/>
      <c r="L36" s="150"/>
      <c r="M36" s="150"/>
      <c r="N36" s="150"/>
      <c r="O36" s="150"/>
      <c r="P36" s="150"/>
      <c r="Q36" s="150"/>
      <c r="R36" s="152">
        <f t="shared" si="4"/>
        <v>23.360500000000002</v>
      </c>
    </row>
    <row r="37" spans="1:18" ht="22.05" customHeight="1">
      <c r="A37" s="153">
        <v>32</v>
      </c>
      <c r="B37" s="154" t="s">
        <v>763</v>
      </c>
      <c r="C37" s="155" t="s">
        <v>764</v>
      </c>
      <c r="D37" s="156">
        <v>1</v>
      </c>
      <c r="E37" s="157">
        <f>IFERROR(INDEX(Database!$B$2:$CT$473,MATCH("ابنیه-17",Database!$A$2:$A$473,0),MATCH($C$2,Database!$B$1:$CT$1,0)),0)</f>
        <v>100</v>
      </c>
      <c r="F37" s="157">
        <f>IFERROR(INDEX(Database!$B$2:$CT$473,MATCH("ابنیه-17",Database!$A$2:$A$473,0),MATCH($C$3,Database!$B$1:$CT$1,0)),0)</f>
        <v>5854.5</v>
      </c>
      <c r="G37" s="157">
        <f t="shared" si="0"/>
        <v>58.545000000000002</v>
      </c>
      <c r="H37" s="155"/>
      <c r="I37" s="155"/>
      <c r="J37" s="155"/>
      <c r="K37" s="155"/>
      <c r="L37" s="155"/>
      <c r="M37" s="155"/>
      <c r="N37" s="155"/>
      <c r="O37" s="155"/>
      <c r="P37" s="155"/>
      <c r="Q37" s="155"/>
      <c r="R37" s="157">
        <f t="shared" si="4"/>
        <v>58.545000000000002</v>
      </c>
    </row>
    <row r="38" spans="1:18" ht="22.05" customHeight="1">
      <c r="A38" s="148">
        <v>33</v>
      </c>
      <c r="B38" s="149" t="s">
        <v>765</v>
      </c>
      <c r="C38" s="150" t="s">
        <v>754</v>
      </c>
      <c r="D38" s="151">
        <v>1</v>
      </c>
      <c r="E38" s="152">
        <f>IFERROR(INDEX(Database!$B$2:$CT$473,MATCH("ابنیه-23",Database!$A$2:$A$473,0),MATCH($C$2,Database!$B$1:$CT$1,0)),0)</f>
        <v>100</v>
      </c>
      <c r="F38" s="152">
        <f>IFERROR(INDEX(Database!$B$2:$CT$473,MATCH("ابنیه-23",Database!$A$2:$A$473,0),MATCH($C$3,Database!$B$1:$CT$1,0)),0)</f>
        <v>7368</v>
      </c>
      <c r="G38" s="152">
        <f t="shared" ref="G38:G69" si="5">IF(E38=0,0,(F38/E38)*D38)</f>
        <v>73.680000000000007</v>
      </c>
      <c r="H38" s="150"/>
      <c r="I38" s="150"/>
      <c r="J38" s="150"/>
      <c r="K38" s="150"/>
      <c r="L38" s="150"/>
      <c r="M38" s="150"/>
      <c r="N38" s="150"/>
      <c r="O38" s="150"/>
      <c r="P38" s="150"/>
      <c r="Q38" s="150"/>
      <c r="R38" s="152">
        <f t="shared" si="4"/>
        <v>73.680000000000007</v>
      </c>
    </row>
    <row r="39" spans="1:18" ht="22.05" customHeight="1">
      <c r="A39" s="153">
        <v>34</v>
      </c>
      <c r="B39" s="154" t="s">
        <v>766</v>
      </c>
      <c r="C39" s="155" t="s">
        <v>767</v>
      </c>
      <c r="D39" s="156">
        <v>1</v>
      </c>
      <c r="E39" s="157">
        <f>IFERROR(INDEX(Database!$B$2:$CT$473,MATCH("مکانیک-1",Database!$A$2:$A$473,0),MATCH($C$2,Database!$B$1:$CT$1,0)),0)</f>
        <v>100</v>
      </c>
      <c r="F39" s="157">
        <f>IFERROR(INDEX(Database!$B$2:$CT$473,MATCH("مکانیک-1",Database!$A$2:$A$473,0),MATCH($C$3,Database!$B$1:$CT$1,0)),0)</f>
        <v>8957.6</v>
      </c>
      <c r="G39" s="157">
        <f t="shared" si="5"/>
        <v>89.576000000000008</v>
      </c>
      <c r="H39" s="155"/>
      <c r="I39" s="155"/>
      <c r="J39" s="155"/>
      <c r="K39" s="155"/>
      <c r="L39" s="155"/>
      <c r="M39" s="155"/>
      <c r="N39" s="155"/>
      <c r="O39" s="155"/>
      <c r="P39" s="155"/>
      <c r="Q39" s="155"/>
      <c r="R39" s="157">
        <f t="shared" si="4"/>
        <v>89.576000000000008</v>
      </c>
    </row>
    <row r="40" spans="1:18" ht="22.05" customHeight="1">
      <c r="A40" s="148">
        <v>35</v>
      </c>
      <c r="B40" s="149" t="s">
        <v>768</v>
      </c>
      <c r="C40" s="150" t="s">
        <v>767</v>
      </c>
      <c r="D40" s="151">
        <v>0.3</v>
      </c>
      <c r="E40" s="152">
        <f>IFERROR(INDEX(Database!$B$2:$CT$473,MATCH("مکانیک-1",Database!$A$2:$A$473,0),MATCH($C$2,Database!$B$1:$CT$1,0)),0)</f>
        <v>100</v>
      </c>
      <c r="F40" s="152">
        <f>IFERROR(INDEX(Database!$B$2:$CT$473,MATCH("مکانیک-1",Database!$A$2:$A$473,0),MATCH($C$3,Database!$B$1:$CT$1,0)),0)</f>
        <v>8957.6</v>
      </c>
      <c r="G40" s="152">
        <f t="shared" si="5"/>
        <v>26.872800000000002</v>
      </c>
      <c r="H40" s="150"/>
      <c r="I40" s="150"/>
      <c r="J40" s="150"/>
      <c r="K40" s="150"/>
      <c r="L40" s="150"/>
      <c r="M40" s="150"/>
      <c r="N40" s="150"/>
      <c r="O40" s="150"/>
      <c r="P40" s="150"/>
      <c r="Q40" s="150"/>
      <c r="R40" s="152">
        <f t="shared" si="4"/>
        <v>26.872800000000002</v>
      </c>
    </row>
    <row r="41" spans="1:18" ht="22.05" customHeight="1">
      <c r="A41" s="153">
        <v>36</v>
      </c>
      <c r="B41" s="154" t="s">
        <v>637</v>
      </c>
      <c r="C41" s="155" t="s">
        <v>767</v>
      </c>
      <c r="D41" s="156">
        <v>0.5</v>
      </c>
      <c r="E41" s="157">
        <f>IFERROR(INDEX(Database!$B$2:$CT$473,MATCH("مکانیک-1",Database!$A$2:$A$473,0),MATCH($C$2,Database!$B$1:$CT$1,0)),0)</f>
        <v>100</v>
      </c>
      <c r="F41" s="157">
        <f>IFERROR(INDEX(Database!$B$2:$CT$473,MATCH("مکانیک-1",Database!$A$2:$A$473,0),MATCH($C$3,Database!$B$1:$CT$1,0)),0)</f>
        <v>8957.6</v>
      </c>
      <c r="G41" s="157">
        <f t="shared" si="5"/>
        <v>44.788000000000004</v>
      </c>
      <c r="H41" s="155" t="s">
        <v>742</v>
      </c>
      <c r="I41" s="156">
        <v>0.5</v>
      </c>
      <c r="J41" s="157">
        <f>IFERROR(INDEX(Database!$B$2:$CT$473,MATCH("مکانیک-7",Database!$A$2:$A$473,0),MATCH($C$2,Database!$B$1:$CT$1,0)),0)</f>
        <v>100</v>
      </c>
      <c r="K41" s="157">
        <f>IFERROR(INDEX(Database!$B$2:$CT$473,MATCH("مکانیک-7",Database!$A$2:$A$473,0),MATCH($C$3,Database!$B$1:$CT$1,0)),0)</f>
        <v>10444.1</v>
      </c>
      <c r="L41" s="157">
        <f>IF(J41=0,0,(K41/J41)*I41)</f>
        <v>52.220500000000001</v>
      </c>
      <c r="M41" s="155"/>
      <c r="N41" s="155"/>
      <c r="O41" s="155"/>
      <c r="P41" s="155"/>
      <c r="Q41" s="155"/>
      <c r="R41" s="157">
        <f>G41+L41</f>
        <v>97.008499999999998</v>
      </c>
    </row>
    <row r="42" spans="1:18" ht="22.05" customHeight="1">
      <c r="A42" s="148">
        <v>37</v>
      </c>
      <c r="B42" s="149" t="s">
        <v>638</v>
      </c>
      <c r="C42" s="150" t="s">
        <v>767</v>
      </c>
      <c r="D42" s="151">
        <v>0.1</v>
      </c>
      <c r="E42" s="152">
        <f>IFERROR(INDEX(Database!$B$2:$CT$473,MATCH("مکانیک-1",Database!$A$2:$A$473,0),MATCH($C$2,Database!$B$1:$CT$1,0)),0)</f>
        <v>100</v>
      </c>
      <c r="F42" s="152">
        <f>IFERROR(INDEX(Database!$B$2:$CT$473,MATCH("مکانیک-1",Database!$A$2:$A$473,0),MATCH($C$3,Database!$B$1:$CT$1,0)),0)</f>
        <v>8957.6</v>
      </c>
      <c r="G42" s="152">
        <f t="shared" si="5"/>
        <v>8.9576000000000011</v>
      </c>
      <c r="H42" s="150" t="s">
        <v>742</v>
      </c>
      <c r="I42" s="151">
        <v>0.1</v>
      </c>
      <c r="J42" s="152">
        <f>IFERROR(INDEX(Database!$B$2:$CT$473,MATCH("مکانیک-7",Database!$A$2:$A$473,0),MATCH($C$2,Database!$B$1:$CT$1,0)),0)</f>
        <v>100</v>
      </c>
      <c r="K42" s="152">
        <f>IFERROR(INDEX(Database!$B$2:$CT$473,MATCH("مکانیک-7",Database!$A$2:$A$473,0),MATCH($C$3,Database!$B$1:$CT$1,0)),0)</f>
        <v>10444.1</v>
      </c>
      <c r="L42" s="152">
        <f>IF(J42=0,0,(K42/J42)*I42)</f>
        <v>10.444100000000001</v>
      </c>
      <c r="M42" s="150"/>
      <c r="N42" s="150"/>
      <c r="O42" s="150"/>
      <c r="P42" s="150"/>
      <c r="Q42" s="150"/>
      <c r="R42" s="152">
        <f>G42+L42</f>
        <v>19.401700000000002</v>
      </c>
    </row>
    <row r="43" spans="1:18" ht="22.05" customHeight="1">
      <c r="A43" s="153">
        <v>38</v>
      </c>
      <c r="B43" s="154" t="s">
        <v>639</v>
      </c>
      <c r="C43" s="155" t="s">
        <v>742</v>
      </c>
      <c r="D43" s="156">
        <v>0.3</v>
      </c>
      <c r="E43" s="157">
        <f>IFERROR(INDEX(Database!$B$2:$CT$473,MATCH("مکانیک-7",Database!$A$2:$A$473,0),MATCH($C$2,Database!$B$1:$CT$1,0)),0)</f>
        <v>100</v>
      </c>
      <c r="F43" s="157">
        <f>IFERROR(INDEX(Database!$B$2:$CT$473,MATCH("مکانیک-7",Database!$A$2:$A$473,0),MATCH($C$3,Database!$B$1:$CT$1,0)),0)</f>
        <v>10444.1</v>
      </c>
      <c r="G43" s="157">
        <f t="shared" si="5"/>
        <v>31.3323</v>
      </c>
      <c r="H43" s="155"/>
      <c r="I43" s="155"/>
      <c r="J43" s="155"/>
      <c r="K43" s="155"/>
      <c r="L43" s="155"/>
      <c r="M43" s="155"/>
      <c r="N43" s="155"/>
      <c r="O43" s="155"/>
      <c r="P43" s="155"/>
      <c r="Q43" s="155"/>
      <c r="R43" s="157">
        <f>G43</f>
        <v>31.3323</v>
      </c>
    </row>
    <row r="44" spans="1:18" ht="22.05" customHeight="1">
      <c r="A44" s="148">
        <v>39</v>
      </c>
      <c r="B44" s="149" t="s">
        <v>640</v>
      </c>
      <c r="C44" s="150" t="s">
        <v>742</v>
      </c>
      <c r="D44" s="151">
        <v>0.1</v>
      </c>
      <c r="E44" s="152">
        <f>IFERROR(INDEX(Database!$B$2:$CT$473,MATCH("مکانیک-7",Database!$A$2:$A$473,0),MATCH($C$2,Database!$B$1:$CT$1,0)),0)</f>
        <v>100</v>
      </c>
      <c r="F44" s="152">
        <f>IFERROR(INDEX(Database!$B$2:$CT$473,MATCH("مکانیک-7",Database!$A$2:$A$473,0),MATCH($C$3,Database!$B$1:$CT$1,0)),0)</f>
        <v>10444.1</v>
      </c>
      <c r="G44" s="152">
        <f t="shared" si="5"/>
        <v>10.444100000000001</v>
      </c>
      <c r="H44" s="150"/>
      <c r="I44" s="150"/>
      <c r="J44" s="150"/>
      <c r="K44" s="150"/>
      <c r="L44" s="150"/>
      <c r="M44" s="150"/>
      <c r="N44" s="150"/>
      <c r="O44" s="150"/>
      <c r="P44" s="150"/>
      <c r="Q44" s="150"/>
      <c r="R44" s="152">
        <f>G44</f>
        <v>10.444100000000001</v>
      </c>
    </row>
    <row r="45" spans="1:18" ht="22.05" customHeight="1">
      <c r="A45" s="153">
        <v>40</v>
      </c>
      <c r="B45" s="154" t="s">
        <v>769</v>
      </c>
      <c r="C45" s="155" t="s">
        <v>742</v>
      </c>
      <c r="D45" s="156">
        <v>0.15</v>
      </c>
      <c r="E45" s="157">
        <f>IFERROR(INDEX(Database!$B$2:$CT$473,MATCH("مکانیک-7",Database!$A$2:$A$473,0),MATCH($C$2,Database!$B$1:$CT$1,0)),0)</f>
        <v>100</v>
      </c>
      <c r="F45" s="157">
        <f>IFERROR(INDEX(Database!$B$2:$CT$473,MATCH("مکانیک-7",Database!$A$2:$A$473,0),MATCH($C$3,Database!$B$1:$CT$1,0)),0)</f>
        <v>10444.1</v>
      </c>
      <c r="G45" s="157">
        <f t="shared" si="5"/>
        <v>15.66615</v>
      </c>
      <c r="H45" s="155" t="s">
        <v>770</v>
      </c>
      <c r="I45" s="156">
        <v>0.15</v>
      </c>
      <c r="J45" s="157">
        <f>IFERROR(INDEX(Database!$B$2:$CT$473,MATCH("ابنیه-16",Database!$A$2:$A$473,0),MATCH($C$2,Database!$B$1:$CT$1,0)),0)</f>
        <v>100</v>
      </c>
      <c r="K45" s="157">
        <f>IFERROR(INDEX(Database!$B$2:$CT$473,MATCH("ابنیه-16",Database!$A$2:$A$473,0),MATCH($C$3,Database!$B$1:$CT$1,0)),0)</f>
        <v>9344.2000000000007</v>
      </c>
      <c r="L45" s="157">
        <f>IF(J45=0,0,(K45/J45)*I45)</f>
        <v>14.016300000000001</v>
      </c>
      <c r="M45" s="155"/>
      <c r="N45" s="155"/>
      <c r="O45" s="155"/>
      <c r="P45" s="155"/>
      <c r="Q45" s="155"/>
      <c r="R45" s="157">
        <f>G45+L45</f>
        <v>29.682450000000003</v>
      </c>
    </row>
    <row r="46" spans="1:18" ht="22.05" customHeight="1">
      <c r="A46" s="148">
        <v>41</v>
      </c>
      <c r="B46" s="149" t="s">
        <v>771</v>
      </c>
      <c r="C46" s="150" t="s">
        <v>772</v>
      </c>
      <c r="D46" s="151">
        <v>1</v>
      </c>
      <c r="E46" s="152">
        <f>IFERROR(INDEX(Database!$B$2:$CT$473,MATCH("مکانیک-1",Database!$A$2:$A$473,0),MATCH($C$2,Database!$B$1:$CT$1,0)),0)</f>
        <v>100</v>
      </c>
      <c r="F46" s="152">
        <f>IFERROR(INDEX(Database!$B$2:$CT$473,MATCH("مکانیک-1",Database!$A$2:$A$473,0),MATCH($C$3,Database!$B$1:$CT$1,0)),0)</f>
        <v>8957.6</v>
      </c>
      <c r="G46" s="152">
        <f t="shared" si="5"/>
        <v>89.576000000000008</v>
      </c>
      <c r="H46" s="150"/>
      <c r="I46" s="150"/>
      <c r="J46" s="150"/>
      <c r="K46" s="150"/>
      <c r="L46" s="150"/>
      <c r="M46" s="150"/>
      <c r="N46" s="150"/>
      <c r="O46" s="150"/>
      <c r="P46" s="150"/>
      <c r="Q46" s="150"/>
      <c r="R46" s="152">
        <f t="shared" ref="R46:R52" si="6">G46</f>
        <v>89.576000000000008</v>
      </c>
    </row>
    <row r="47" spans="1:18" ht="22.05" customHeight="1">
      <c r="A47" s="153">
        <v>42</v>
      </c>
      <c r="B47" s="154" t="s">
        <v>643</v>
      </c>
      <c r="C47" s="155" t="s">
        <v>754</v>
      </c>
      <c r="D47" s="156">
        <v>1</v>
      </c>
      <c r="E47" s="157">
        <f>IFERROR(INDEX(Database!$B$2:$CT$473,MATCH("ابنیه-23",Database!$A$2:$A$473,0),MATCH($C$2,Database!$B$1:$CT$1,0)),0)</f>
        <v>100</v>
      </c>
      <c r="F47" s="157">
        <f>IFERROR(INDEX(Database!$B$2:$CT$473,MATCH("ابنیه-23",Database!$A$2:$A$473,0),MATCH($C$3,Database!$B$1:$CT$1,0)),0)</f>
        <v>7368</v>
      </c>
      <c r="G47" s="157">
        <f t="shared" si="5"/>
        <v>73.680000000000007</v>
      </c>
      <c r="H47" s="155"/>
      <c r="I47" s="155"/>
      <c r="J47" s="155"/>
      <c r="K47" s="155"/>
      <c r="L47" s="155"/>
      <c r="M47" s="155"/>
      <c r="N47" s="155"/>
      <c r="O47" s="155"/>
      <c r="P47" s="155"/>
      <c r="Q47" s="155"/>
      <c r="R47" s="157">
        <f t="shared" si="6"/>
        <v>73.680000000000007</v>
      </c>
    </row>
    <row r="48" spans="1:18" ht="22.05" customHeight="1">
      <c r="A48" s="148">
        <v>43</v>
      </c>
      <c r="B48" s="149" t="s">
        <v>773</v>
      </c>
      <c r="C48" s="150" t="s">
        <v>767</v>
      </c>
      <c r="D48" s="151">
        <v>0.3</v>
      </c>
      <c r="E48" s="152">
        <f>IFERROR(INDEX(Database!$B$2:$CT$473,MATCH("مکانیک-1",Database!$A$2:$A$473,0),MATCH($C$2,Database!$B$1:$CT$1,0)),0)</f>
        <v>100</v>
      </c>
      <c r="F48" s="152">
        <f>IFERROR(INDEX(Database!$B$2:$CT$473,MATCH("مکانیک-1",Database!$A$2:$A$473,0),MATCH($C$3,Database!$B$1:$CT$1,0)),0)</f>
        <v>8957.6</v>
      </c>
      <c r="G48" s="152">
        <f t="shared" si="5"/>
        <v>26.872800000000002</v>
      </c>
      <c r="H48" s="150"/>
      <c r="I48" s="150"/>
      <c r="J48" s="150"/>
      <c r="K48" s="150"/>
      <c r="L48" s="150"/>
      <c r="M48" s="150"/>
      <c r="N48" s="150"/>
      <c r="O48" s="150"/>
      <c r="P48" s="150"/>
      <c r="Q48" s="150"/>
      <c r="R48" s="152">
        <f t="shared" si="6"/>
        <v>26.872800000000002</v>
      </c>
    </row>
    <row r="49" spans="1:18" ht="22.05" customHeight="1">
      <c r="A49" s="153">
        <v>44</v>
      </c>
      <c r="B49" s="154" t="s">
        <v>774</v>
      </c>
      <c r="C49" s="155" t="s">
        <v>739</v>
      </c>
      <c r="D49" s="156">
        <v>1</v>
      </c>
      <c r="E49" s="157">
        <f>IFERROR(INDEX(Database!$B$2:$CT$473,MATCH("مکانیک-24",Database!$A$2:$A$473,0),MATCH($C$2,Database!$B$1:$CT$1,0)),0)</f>
        <v>100</v>
      </c>
      <c r="F49" s="157">
        <f>IFERROR(INDEX(Database!$B$2:$CT$473,MATCH("مکانیک-24",Database!$A$2:$A$473,0),MATCH($C$3,Database!$B$1:$CT$1,0)),0)</f>
        <v>6686.9</v>
      </c>
      <c r="G49" s="157">
        <f t="shared" si="5"/>
        <v>66.869</v>
      </c>
      <c r="H49" s="155"/>
      <c r="I49" s="155"/>
      <c r="J49" s="155"/>
      <c r="K49" s="155"/>
      <c r="L49" s="155"/>
      <c r="M49" s="155"/>
      <c r="N49" s="155"/>
      <c r="O49" s="155"/>
      <c r="P49" s="155"/>
      <c r="Q49" s="155"/>
      <c r="R49" s="157">
        <f t="shared" si="6"/>
        <v>66.869</v>
      </c>
    </row>
    <row r="50" spans="1:18" ht="22.05" customHeight="1">
      <c r="A50" s="148">
        <v>45</v>
      </c>
      <c r="B50" s="149" t="s">
        <v>775</v>
      </c>
      <c r="C50" s="150" t="s">
        <v>739</v>
      </c>
      <c r="D50" s="151">
        <v>0.25</v>
      </c>
      <c r="E50" s="152">
        <f>IFERROR(INDEX(Database!$B$2:$CT$473,MATCH("مکانیک-24",Database!$A$2:$A$473,0),MATCH($C$2,Database!$B$1:$CT$1,0)),0)</f>
        <v>100</v>
      </c>
      <c r="F50" s="152">
        <f>IFERROR(INDEX(Database!$B$2:$CT$473,MATCH("مکانیک-24",Database!$A$2:$A$473,0),MATCH($C$3,Database!$B$1:$CT$1,0)),0)</f>
        <v>6686.9</v>
      </c>
      <c r="G50" s="152">
        <f t="shared" si="5"/>
        <v>16.71725</v>
      </c>
      <c r="H50" s="150"/>
      <c r="I50" s="150"/>
      <c r="J50" s="150"/>
      <c r="K50" s="150"/>
      <c r="L50" s="150"/>
      <c r="M50" s="150"/>
      <c r="N50" s="150"/>
      <c r="O50" s="150"/>
      <c r="P50" s="150"/>
      <c r="Q50" s="150"/>
      <c r="R50" s="152">
        <f t="shared" si="6"/>
        <v>16.71725</v>
      </c>
    </row>
    <row r="51" spans="1:18" ht="22.05" customHeight="1">
      <c r="A51" s="153">
        <v>46</v>
      </c>
      <c r="B51" s="154" t="s">
        <v>647</v>
      </c>
      <c r="C51" s="155" t="s">
        <v>776</v>
      </c>
      <c r="D51" s="156">
        <v>1</v>
      </c>
      <c r="E51" s="157">
        <f>IFERROR(INDEX(Database!$B$2:$CT$473,MATCH("مکانیک-24",Database!$A$2:$A$473,0),MATCH($C$2,Database!$B$1:$CT$1,0)),0)</f>
        <v>100</v>
      </c>
      <c r="F51" s="157">
        <f>IFERROR(INDEX(Database!$B$2:$CT$473,MATCH("مکانیک-24",Database!$A$2:$A$473,0),MATCH($C$3,Database!$B$1:$CT$1,0)),0)</f>
        <v>6686.9</v>
      </c>
      <c r="G51" s="157">
        <f t="shared" si="5"/>
        <v>66.869</v>
      </c>
      <c r="H51" s="155"/>
      <c r="I51" s="155"/>
      <c r="J51" s="155"/>
      <c r="K51" s="155"/>
      <c r="L51" s="155"/>
      <c r="M51" s="155"/>
      <c r="N51" s="155"/>
      <c r="O51" s="155"/>
      <c r="P51" s="155"/>
      <c r="Q51" s="155"/>
      <c r="R51" s="157">
        <f t="shared" si="6"/>
        <v>66.869</v>
      </c>
    </row>
    <row r="52" spans="1:18" ht="22.05" customHeight="1">
      <c r="A52" s="148">
        <v>47</v>
      </c>
      <c r="B52" s="149" t="s">
        <v>777</v>
      </c>
      <c r="C52" s="150" t="s">
        <v>739</v>
      </c>
      <c r="D52" s="151">
        <v>0.1</v>
      </c>
      <c r="E52" s="152">
        <f>IFERROR(INDEX(Database!$B$2:$CT$473,MATCH("مکانیک-24",Database!$A$2:$A$473,0),MATCH($C$2,Database!$B$1:$CT$1,0)),0)</f>
        <v>100</v>
      </c>
      <c r="F52" s="152">
        <f>IFERROR(INDEX(Database!$B$2:$CT$473,MATCH("مکانیک-24",Database!$A$2:$A$473,0),MATCH($C$3,Database!$B$1:$CT$1,0)),0)</f>
        <v>6686.9</v>
      </c>
      <c r="G52" s="152">
        <f t="shared" si="5"/>
        <v>6.6869000000000005</v>
      </c>
      <c r="H52" s="150"/>
      <c r="I52" s="150"/>
      <c r="J52" s="150"/>
      <c r="K52" s="150"/>
      <c r="L52" s="150"/>
      <c r="M52" s="150"/>
      <c r="N52" s="150"/>
      <c r="O52" s="150"/>
      <c r="P52" s="150"/>
      <c r="Q52" s="150"/>
      <c r="R52" s="152">
        <f t="shared" si="6"/>
        <v>6.6869000000000005</v>
      </c>
    </row>
    <row r="53" spans="1:18" ht="22.05" customHeight="1">
      <c r="A53" s="153">
        <v>48</v>
      </c>
      <c r="B53" s="154" t="s">
        <v>649</v>
      </c>
      <c r="C53" s="155" t="s">
        <v>739</v>
      </c>
      <c r="D53" s="156">
        <v>0.1</v>
      </c>
      <c r="E53" s="157">
        <f>IFERROR(INDEX(Database!$B$2:$CT$473,MATCH("مکانیک-24",Database!$A$2:$A$473,0),MATCH($C$2,Database!$B$1:$CT$1,0)),0)</f>
        <v>100</v>
      </c>
      <c r="F53" s="157">
        <f>IFERROR(INDEX(Database!$B$2:$CT$473,MATCH("مکانیک-24",Database!$A$2:$A$473,0),MATCH($C$3,Database!$B$1:$CT$1,0)),0)</f>
        <v>6686.9</v>
      </c>
      <c r="G53" s="157">
        <f t="shared" si="5"/>
        <v>6.6869000000000005</v>
      </c>
      <c r="H53" s="155" t="s">
        <v>754</v>
      </c>
      <c r="I53" s="156">
        <v>0.4</v>
      </c>
      <c r="J53" s="157">
        <f>IFERROR(INDEX(Database!$B$2:$CT$473,MATCH("ابنیه-23",Database!$A$2:$A$473,0),MATCH($C$2,Database!$B$1:$CT$1,0)),0)</f>
        <v>100</v>
      </c>
      <c r="K53" s="157">
        <f>IFERROR(INDEX(Database!$B$2:$CT$473,MATCH("ابنیه-23",Database!$A$2:$A$473,0),MATCH($C$3,Database!$B$1:$CT$1,0)),0)</f>
        <v>7368</v>
      </c>
      <c r="L53" s="157">
        <f>IF(J53=0,0,(K53/J53)*I53)</f>
        <v>29.472000000000005</v>
      </c>
      <c r="M53" s="155"/>
      <c r="N53" s="155"/>
      <c r="O53" s="155"/>
      <c r="P53" s="155"/>
      <c r="Q53" s="155"/>
      <c r="R53" s="157">
        <f>G53+L53</f>
        <v>36.158900000000003</v>
      </c>
    </row>
    <row r="54" spans="1:18" ht="22.05" customHeight="1">
      <c r="A54" s="148">
        <v>49</v>
      </c>
      <c r="B54" s="149" t="s">
        <v>778</v>
      </c>
      <c r="C54" s="150" t="s">
        <v>739</v>
      </c>
      <c r="D54" s="151">
        <v>0.5</v>
      </c>
      <c r="E54" s="152">
        <f>IFERROR(INDEX(Database!$B$2:$CT$473,MATCH("مکانیک-24",Database!$A$2:$A$473,0),MATCH($C$2,Database!$B$1:$CT$1,0)),0)</f>
        <v>100</v>
      </c>
      <c r="F54" s="152">
        <f>IFERROR(INDEX(Database!$B$2:$CT$473,MATCH("مکانیک-24",Database!$A$2:$A$473,0),MATCH($C$3,Database!$B$1:$CT$1,0)),0)</f>
        <v>6686.9</v>
      </c>
      <c r="G54" s="152">
        <f t="shared" si="5"/>
        <v>33.4345</v>
      </c>
      <c r="H54" s="150"/>
      <c r="I54" s="150"/>
      <c r="J54" s="150"/>
      <c r="K54" s="150"/>
      <c r="L54" s="150"/>
      <c r="M54" s="150"/>
      <c r="N54" s="150"/>
      <c r="O54" s="150"/>
      <c r="P54" s="150"/>
      <c r="Q54" s="150"/>
      <c r="R54" s="152">
        <f>G54</f>
        <v>33.4345</v>
      </c>
    </row>
    <row r="55" spans="1:18" ht="22.05" customHeight="1">
      <c r="A55" s="153">
        <v>50</v>
      </c>
      <c r="B55" s="154" t="s">
        <v>779</v>
      </c>
      <c r="C55" s="155" t="s">
        <v>739</v>
      </c>
      <c r="D55" s="156">
        <v>0.25</v>
      </c>
      <c r="E55" s="157">
        <f>IFERROR(INDEX(Database!$B$2:$CT$473,MATCH("مکانیک-24",Database!$A$2:$A$473,0),MATCH($C$2,Database!$B$1:$CT$1,0)),0)</f>
        <v>100</v>
      </c>
      <c r="F55" s="157">
        <f>IFERROR(INDEX(Database!$B$2:$CT$473,MATCH("مکانیک-24",Database!$A$2:$A$473,0),MATCH($C$3,Database!$B$1:$CT$1,0)),0)</f>
        <v>6686.9</v>
      </c>
      <c r="G55" s="157">
        <f t="shared" si="5"/>
        <v>16.71725</v>
      </c>
      <c r="H55" s="155" t="s">
        <v>754</v>
      </c>
      <c r="I55" s="156">
        <v>0.25</v>
      </c>
      <c r="J55" s="157">
        <f>IFERROR(INDEX(Database!$B$2:$CT$473,MATCH("ابنیه-23",Database!$A$2:$A$473,0),MATCH($C$2,Database!$B$1:$CT$1,0)),0)</f>
        <v>100</v>
      </c>
      <c r="K55" s="157">
        <f>IFERROR(INDEX(Database!$B$2:$CT$473,MATCH("ابنیه-23",Database!$A$2:$A$473,0),MATCH($C$3,Database!$B$1:$CT$1,0)),0)</f>
        <v>7368</v>
      </c>
      <c r="L55" s="157">
        <f>IF(J55=0,0,(K55/J55)*I55)</f>
        <v>18.420000000000002</v>
      </c>
      <c r="M55" s="155"/>
      <c r="N55" s="155"/>
      <c r="O55" s="155"/>
      <c r="P55" s="155"/>
      <c r="Q55" s="155"/>
      <c r="R55" s="157">
        <f>G55+L55</f>
        <v>35.137250000000002</v>
      </c>
    </row>
    <row r="56" spans="1:18" ht="22.05" customHeight="1">
      <c r="A56" s="148">
        <v>51</v>
      </c>
      <c r="B56" s="149" t="s">
        <v>780</v>
      </c>
      <c r="C56" s="150" t="s">
        <v>739</v>
      </c>
      <c r="D56" s="151">
        <v>0.25</v>
      </c>
      <c r="E56" s="152">
        <f>IFERROR(INDEX(Database!$B$2:$CT$473,MATCH("مکانیک-24",Database!$A$2:$A$473,0),MATCH($C$2,Database!$B$1:$CT$1,0)),0)</f>
        <v>100</v>
      </c>
      <c r="F56" s="152">
        <f>IFERROR(INDEX(Database!$B$2:$CT$473,MATCH("مکانیک-24",Database!$A$2:$A$473,0),MATCH($C$3,Database!$B$1:$CT$1,0)),0)</f>
        <v>6686.9</v>
      </c>
      <c r="G56" s="152">
        <f t="shared" si="5"/>
        <v>16.71725</v>
      </c>
      <c r="H56" s="150"/>
      <c r="I56" s="150"/>
      <c r="J56" s="150"/>
      <c r="K56" s="150"/>
      <c r="L56" s="150"/>
      <c r="M56" s="150"/>
      <c r="N56" s="150"/>
      <c r="O56" s="150"/>
      <c r="P56" s="150"/>
      <c r="Q56" s="150"/>
      <c r="R56" s="152">
        <f>G56</f>
        <v>16.71725</v>
      </c>
    </row>
    <row r="57" spans="1:18" ht="22.05" customHeight="1">
      <c r="A57" s="153">
        <v>52</v>
      </c>
      <c r="B57" s="154" t="s">
        <v>781</v>
      </c>
      <c r="C57" s="155" t="s">
        <v>782</v>
      </c>
      <c r="D57" s="156">
        <v>1</v>
      </c>
      <c r="E57" s="157">
        <f>IFERROR(INDEX(Database!$B$2:$CT$473,MATCH("مکانیک-33",Database!$A$2:$A$473,0),MATCH($C$2,Database!$B$1:$CT$1,0)),0)</f>
        <v>100</v>
      </c>
      <c r="F57" s="157">
        <f>IFERROR(INDEX(Database!$B$2:$CT$473,MATCH("مکانیک-33",Database!$A$2:$A$473,0),MATCH($C$3,Database!$B$1:$CT$1,0)),0)</f>
        <v>17395.7</v>
      </c>
      <c r="G57" s="157">
        <f t="shared" si="5"/>
        <v>173.95699999999999</v>
      </c>
      <c r="H57" s="155"/>
      <c r="I57" s="155"/>
      <c r="J57" s="155"/>
      <c r="K57" s="155"/>
      <c r="L57" s="155"/>
      <c r="M57" s="155"/>
      <c r="N57" s="155"/>
      <c r="O57" s="155"/>
      <c r="P57" s="155"/>
      <c r="Q57" s="155"/>
      <c r="R57" s="157">
        <f>G57</f>
        <v>173.95699999999999</v>
      </c>
    </row>
    <row r="58" spans="1:18" ht="22.05" customHeight="1">
      <c r="A58" s="148">
        <v>53</v>
      </c>
      <c r="B58" s="149" t="s">
        <v>654</v>
      </c>
      <c r="C58" s="150" t="s">
        <v>754</v>
      </c>
      <c r="D58" s="151">
        <v>0.8</v>
      </c>
      <c r="E58" s="152">
        <f>IFERROR(INDEX(Database!$B$2:$CT$473,MATCH("ابنیه-23",Database!$A$2:$A$473,0),MATCH($C$2,Database!$B$1:$CT$1,0)),0)</f>
        <v>100</v>
      </c>
      <c r="F58" s="152">
        <f>IFERROR(INDEX(Database!$B$2:$CT$473,MATCH("ابنیه-23",Database!$A$2:$A$473,0),MATCH($C$3,Database!$B$1:$CT$1,0)),0)</f>
        <v>7368</v>
      </c>
      <c r="G58" s="152">
        <f t="shared" si="5"/>
        <v>58.94400000000001</v>
      </c>
      <c r="H58" s="150" t="s">
        <v>783</v>
      </c>
      <c r="I58" s="151">
        <v>0.2</v>
      </c>
      <c r="J58" s="152">
        <f>IFERROR(INDEX(Database!$B$2:$CT$473,MATCH("مکانیک-28",Database!$A$2:$A$473,0),MATCH($C$2,Database!$B$1:$CT$1,0)),0)</f>
        <v>100</v>
      </c>
      <c r="K58" s="152">
        <f>IFERROR(INDEX(Database!$B$2:$CT$473,MATCH("مکانیک-28",Database!$A$2:$A$473,0),MATCH($C$3,Database!$B$1:$CT$1,0)),0)</f>
        <v>9507.4</v>
      </c>
      <c r="L58" s="152">
        <f>IF(J58=0,0,(K58/J58)*I58)</f>
        <v>19.014800000000001</v>
      </c>
      <c r="M58" s="150"/>
      <c r="N58" s="150"/>
      <c r="O58" s="150"/>
      <c r="P58" s="150"/>
      <c r="Q58" s="150"/>
      <c r="R58" s="152">
        <f>G58+L58</f>
        <v>77.958800000000011</v>
      </c>
    </row>
    <row r="59" spans="1:18" ht="22.05" customHeight="1">
      <c r="A59" s="153">
        <v>54</v>
      </c>
      <c r="B59" s="154" t="s">
        <v>784</v>
      </c>
      <c r="C59" s="155" t="s">
        <v>782</v>
      </c>
      <c r="D59" s="156">
        <v>0.2</v>
      </c>
      <c r="E59" s="157">
        <f>IFERROR(INDEX(Database!$B$2:$CT$473,MATCH("مکانیک-33",Database!$A$2:$A$473,0),MATCH($C$2,Database!$B$1:$CT$1,0)),0)</f>
        <v>100</v>
      </c>
      <c r="F59" s="157">
        <f>IFERROR(INDEX(Database!$B$2:$CT$473,MATCH("مکانیک-33",Database!$A$2:$A$473,0),MATCH($C$3,Database!$B$1:$CT$1,0)),0)</f>
        <v>17395.7</v>
      </c>
      <c r="G59" s="157">
        <f t="shared" si="5"/>
        <v>34.791400000000003</v>
      </c>
      <c r="H59" s="155"/>
      <c r="I59" s="155"/>
      <c r="J59" s="155"/>
      <c r="K59" s="155"/>
      <c r="L59" s="155"/>
      <c r="M59" s="155"/>
      <c r="N59" s="155"/>
      <c r="O59" s="155"/>
      <c r="P59" s="155"/>
      <c r="Q59" s="155"/>
      <c r="R59" s="157">
        <f>G59</f>
        <v>34.791400000000003</v>
      </c>
    </row>
    <row r="60" spans="1:18" ht="22.05" customHeight="1">
      <c r="A60" s="148">
        <v>55</v>
      </c>
      <c r="B60" s="149" t="s">
        <v>785</v>
      </c>
      <c r="C60" s="150" t="s">
        <v>739</v>
      </c>
      <c r="D60" s="151">
        <v>1</v>
      </c>
      <c r="E60" s="152">
        <f>IFERROR(INDEX(Database!$B$2:$CT$473,MATCH("مکانیک-24",Database!$A$2:$A$473,0),MATCH($C$2,Database!$B$1:$CT$1,0)),0)</f>
        <v>100</v>
      </c>
      <c r="F60" s="152">
        <f>IFERROR(INDEX(Database!$B$2:$CT$473,MATCH("مکانیک-24",Database!$A$2:$A$473,0),MATCH($C$3,Database!$B$1:$CT$1,0)),0)</f>
        <v>6686.9</v>
      </c>
      <c r="G60" s="152">
        <f t="shared" si="5"/>
        <v>66.869</v>
      </c>
      <c r="H60" s="150"/>
      <c r="I60" s="150"/>
      <c r="J60" s="150"/>
      <c r="K60" s="150"/>
      <c r="L60" s="150"/>
      <c r="M60" s="150"/>
      <c r="N60" s="150"/>
      <c r="O60" s="150"/>
      <c r="P60" s="150"/>
      <c r="Q60" s="150"/>
      <c r="R60" s="152">
        <f>G60</f>
        <v>66.869</v>
      </c>
    </row>
    <row r="61" spans="1:18" ht="22.05" customHeight="1">
      <c r="A61" s="153">
        <v>56</v>
      </c>
      <c r="B61" s="154" t="s">
        <v>786</v>
      </c>
      <c r="C61" s="155" t="s">
        <v>739</v>
      </c>
      <c r="D61" s="156">
        <v>0.7</v>
      </c>
      <c r="E61" s="157">
        <f>IFERROR(INDEX(Database!$B$2:$CT$473,MATCH("مکانیک-24",Database!$A$2:$A$473,0),MATCH($C$2,Database!$B$1:$CT$1,0)),0)</f>
        <v>100</v>
      </c>
      <c r="F61" s="157">
        <f>IFERROR(INDEX(Database!$B$2:$CT$473,MATCH("مکانیک-24",Database!$A$2:$A$473,0),MATCH($C$3,Database!$B$1:$CT$1,0)),0)</f>
        <v>6686.9</v>
      </c>
      <c r="G61" s="157">
        <f t="shared" si="5"/>
        <v>46.808299999999996</v>
      </c>
      <c r="H61" s="155" t="s">
        <v>782</v>
      </c>
      <c r="I61" s="156">
        <v>0.3</v>
      </c>
      <c r="J61" s="157">
        <f>IFERROR(INDEX(Database!$B$2:$CT$473,MATCH("مکانیک-33",Database!$A$2:$A$473,0),MATCH($C$2,Database!$B$1:$CT$1,0)),0)</f>
        <v>100</v>
      </c>
      <c r="K61" s="157">
        <f>IFERROR(INDEX(Database!$B$2:$CT$473,MATCH("مکانیک-33",Database!$A$2:$A$473,0),MATCH($C$3,Database!$B$1:$CT$1,0)),0)</f>
        <v>17395.7</v>
      </c>
      <c r="L61" s="157">
        <f>IF(J61=0,0,(K61/J61)*I61)</f>
        <v>52.187099999999994</v>
      </c>
      <c r="M61" s="155"/>
      <c r="N61" s="155"/>
      <c r="O61" s="155"/>
      <c r="P61" s="155"/>
      <c r="Q61" s="155"/>
      <c r="R61" s="157">
        <f>G61+L61</f>
        <v>98.995399999999989</v>
      </c>
    </row>
    <row r="62" spans="1:18" ht="22.05" customHeight="1">
      <c r="A62" s="148">
        <v>57</v>
      </c>
      <c r="B62" s="149" t="s">
        <v>787</v>
      </c>
      <c r="C62" s="150" t="s">
        <v>739</v>
      </c>
      <c r="D62" s="151">
        <v>1</v>
      </c>
      <c r="E62" s="152">
        <f>IFERROR(INDEX(Database!$B$2:$CT$473,MATCH("مکانیک-24",Database!$A$2:$A$473,0),MATCH($C$2,Database!$B$1:$CT$1,0)),0)</f>
        <v>100</v>
      </c>
      <c r="F62" s="152">
        <f>IFERROR(INDEX(Database!$B$2:$CT$473,MATCH("مکانیک-24",Database!$A$2:$A$473,0),MATCH($C$3,Database!$B$1:$CT$1,0)),0)</f>
        <v>6686.9</v>
      </c>
      <c r="G62" s="152">
        <f t="shared" si="5"/>
        <v>66.869</v>
      </c>
      <c r="H62" s="150"/>
      <c r="I62" s="150"/>
      <c r="J62" s="150"/>
      <c r="K62" s="150"/>
      <c r="L62" s="150"/>
      <c r="M62" s="150"/>
      <c r="N62" s="150"/>
      <c r="O62" s="150"/>
      <c r="P62" s="150"/>
      <c r="Q62" s="150"/>
      <c r="R62" s="152">
        <f>G62</f>
        <v>66.869</v>
      </c>
    </row>
    <row r="63" spans="1:18" ht="22.05" customHeight="1">
      <c r="A63" s="153">
        <v>58</v>
      </c>
      <c r="B63" s="154" t="s">
        <v>788</v>
      </c>
      <c r="C63" s="155" t="s">
        <v>739</v>
      </c>
      <c r="D63" s="156">
        <v>0.6</v>
      </c>
      <c r="E63" s="157">
        <f>IFERROR(INDEX(Database!$B$2:$CT$473,MATCH("مکانیک-24",Database!$A$2:$A$473,0),MATCH($C$2,Database!$B$1:$CT$1,0)),0)</f>
        <v>100</v>
      </c>
      <c r="F63" s="157">
        <f>IFERROR(INDEX(Database!$B$2:$CT$473,MATCH("مکانیک-24",Database!$A$2:$A$473,0),MATCH($C$3,Database!$B$1:$CT$1,0)),0)</f>
        <v>6686.9</v>
      </c>
      <c r="G63" s="157">
        <f t="shared" si="5"/>
        <v>40.121400000000001</v>
      </c>
      <c r="H63" s="155"/>
      <c r="I63" s="155"/>
      <c r="J63" s="155"/>
      <c r="K63" s="155"/>
      <c r="L63" s="155"/>
      <c r="M63" s="155"/>
      <c r="N63" s="155"/>
      <c r="O63" s="155"/>
      <c r="P63" s="155"/>
      <c r="Q63" s="155"/>
      <c r="R63" s="157">
        <f>G63</f>
        <v>40.121400000000001</v>
      </c>
    </row>
    <row r="64" spans="1:18" ht="22.05" customHeight="1">
      <c r="A64" s="148">
        <v>59</v>
      </c>
      <c r="B64" s="149" t="s">
        <v>789</v>
      </c>
      <c r="C64" s="150" t="s">
        <v>739</v>
      </c>
      <c r="D64" s="151">
        <v>0.45</v>
      </c>
      <c r="E64" s="152">
        <f>IFERROR(INDEX(Database!$B$2:$CT$473,MATCH("مکانیک-24",Database!$A$2:$A$473,0),MATCH($C$2,Database!$B$1:$CT$1,0)),0)</f>
        <v>100</v>
      </c>
      <c r="F64" s="152">
        <f>IFERROR(INDEX(Database!$B$2:$CT$473,MATCH("مکانیک-24",Database!$A$2:$A$473,0),MATCH($C$3,Database!$B$1:$CT$1,0)),0)</f>
        <v>6686.9</v>
      </c>
      <c r="G64" s="152">
        <f t="shared" si="5"/>
        <v>30.091049999999999</v>
      </c>
      <c r="H64" s="150" t="s">
        <v>741</v>
      </c>
      <c r="I64" s="151">
        <v>0.1</v>
      </c>
      <c r="J64" s="152">
        <f>IFERROR(INDEX(Database!$B$2:$CT$473,MATCH("ابنیه-16",Database!$A$2:$A$473,0),MATCH($C$2,Database!$B$1:$CT$1,0)),0)</f>
        <v>100</v>
      </c>
      <c r="K64" s="152">
        <f>IFERROR(INDEX(Database!$B$2:$CT$473,MATCH("ابنیه-16",Database!$A$2:$A$473,0),MATCH($C$3,Database!$B$1:$CT$1,0)),0)</f>
        <v>9344.2000000000007</v>
      </c>
      <c r="L64" s="152">
        <f>IF(J64=0,0,(K64/J64)*I64)</f>
        <v>9.3442000000000007</v>
      </c>
      <c r="M64" s="150"/>
      <c r="N64" s="150"/>
      <c r="O64" s="150"/>
      <c r="P64" s="150"/>
      <c r="Q64" s="150"/>
      <c r="R64" s="152">
        <f>G64+L64</f>
        <v>39.435249999999996</v>
      </c>
    </row>
    <row r="65" spans="1:18" ht="22.05" customHeight="1">
      <c r="A65" s="153">
        <v>60</v>
      </c>
      <c r="B65" s="154" t="s">
        <v>790</v>
      </c>
      <c r="C65" s="155" t="s">
        <v>739</v>
      </c>
      <c r="D65" s="156">
        <v>0.4</v>
      </c>
      <c r="E65" s="157">
        <f>IFERROR(INDEX(Database!$B$2:$CT$473,MATCH("مکانیک-24",Database!$A$2:$A$473,0),MATCH($C$2,Database!$B$1:$CT$1,0)),0)</f>
        <v>100</v>
      </c>
      <c r="F65" s="157">
        <f>IFERROR(INDEX(Database!$B$2:$CT$473,MATCH("مکانیک-24",Database!$A$2:$A$473,0),MATCH($C$3,Database!$B$1:$CT$1,0)),0)</f>
        <v>6686.9</v>
      </c>
      <c r="G65" s="157">
        <f t="shared" si="5"/>
        <v>26.747600000000002</v>
      </c>
      <c r="H65" s="155" t="s">
        <v>741</v>
      </c>
      <c r="I65" s="156">
        <v>0.2</v>
      </c>
      <c r="J65" s="157">
        <f>IFERROR(INDEX(Database!$B$2:$CT$473,MATCH("ابنیه-16",Database!$A$2:$A$473,0),MATCH($C$2,Database!$B$1:$CT$1,0)),0)</f>
        <v>100</v>
      </c>
      <c r="K65" s="157">
        <f>IFERROR(INDEX(Database!$B$2:$CT$473,MATCH("ابنیه-16",Database!$A$2:$A$473,0),MATCH($C$3,Database!$B$1:$CT$1,0)),0)</f>
        <v>9344.2000000000007</v>
      </c>
      <c r="L65" s="157">
        <f>IF(J65=0,0,(K65/J65)*I65)</f>
        <v>18.688400000000001</v>
      </c>
      <c r="M65" s="155"/>
      <c r="N65" s="155"/>
      <c r="O65" s="155"/>
      <c r="P65" s="155"/>
      <c r="Q65" s="155"/>
      <c r="R65" s="157">
        <f>G65+L65</f>
        <v>45.436000000000007</v>
      </c>
    </row>
    <row r="66" spans="1:18" ht="22.05" customHeight="1">
      <c r="A66" s="148">
        <v>61</v>
      </c>
      <c r="B66" s="149" t="s">
        <v>791</v>
      </c>
      <c r="C66" s="150" t="s">
        <v>741</v>
      </c>
      <c r="D66" s="151">
        <v>0.1</v>
      </c>
      <c r="E66" s="152">
        <f>IFERROR(INDEX(Database!$B$2:$CT$473,MATCH("ابنیه-16",Database!$A$2:$A$473,0),MATCH($C$2,Database!$B$1:$CT$1,0)),0)</f>
        <v>100</v>
      </c>
      <c r="F66" s="152">
        <f>IFERROR(INDEX(Database!$B$2:$CT$473,MATCH("ابنیه-16",Database!$A$2:$A$473,0),MATCH($C$3,Database!$B$1:$CT$1,0)),0)</f>
        <v>9344.2000000000007</v>
      </c>
      <c r="G66" s="152">
        <f t="shared" si="5"/>
        <v>9.3442000000000007</v>
      </c>
      <c r="H66" s="150"/>
      <c r="I66" s="150"/>
      <c r="J66" s="150"/>
      <c r="K66" s="150"/>
      <c r="L66" s="150"/>
      <c r="M66" s="150"/>
      <c r="N66" s="150"/>
      <c r="O66" s="150"/>
      <c r="P66" s="150"/>
      <c r="Q66" s="150"/>
      <c r="R66" s="152">
        <f>G66</f>
        <v>9.3442000000000007</v>
      </c>
    </row>
    <row r="67" spans="1:18" ht="22.05" customHeight="1">
      <c r="A67" s="153">
        <v>62</v>
      </c>
      <c r="B67" s="154" t="s">
        <v>663</v>
      </c>
      <c r="C67" s="155" t="s">
        <v>741</v>
      </c>
      <c r="D67" s="156">
        <v>0.1</v>
      </c>
      <c r="E67" s="157">
        <f>IFERROR(INDEX(Database!$B$2:$CT$473,MATCH("ابنیه-16",Database!$A$2:$A$473,0),MATCH($C$2,Database!$B$1:$CT$1,0)),0)</f>
        <v>100</v>
      </c>
      <c r="F67" s="157">
        <f>IFERROR(INDEX(Database!$B$2:$CT$473,MATCH("ابنیه-16",Database!$A$2:$A$473,0),MATCH($C$3,Database!$B$1:$CT$1,0)),0)</f>
        <v>9344.2000000000007</v>
      </c>
      <c r="G67" s="157">
        <f t="shared" si="5"/>
        <v>9.3442000000000007</v>
      </c>
      <c r="H67" s="155"/>
      <c r="I67" s="155"/>
      <c r="J67" s="155"/>
      <c r="K67" s="155"/>
      <c r="L67" s="155"/>
      <c r="M67" s="155"/>
      <c r="N67" s="155"/>
      <c r="O67" s="155"/>
      <c r="P67" s="155"/>
      <c r="Q67" s="155"/>
      <c r="R67" s="157">
        <f>G67</f>
        <v>9.3442000000000007</v>
      </c>
    </row>
    <row r="68" spans="1:18" ht="22.05" customHeight="1">
      <c r="A68" s="148">
        <v>63</v>
      </c>
      <c r="B68" s="149" t="s">
        <v>792</v>
      </c>
      <c r="C68" s="150" t="s">
        <v>739</v>
      </c>
      <c r="D68" s="151">
        <v>0.8</v>
      </c>
      <c r="E68" s="152">
        <f>IFERROR(INDEX(Database!$B$2:$CT$473,MATCH("مکانیک-24",Database!$A$2:$A$473,0),MATCH($C$2,Database!$B$1:$CT$1,0)),0)</f>
        <v>100</v>
      </c>
      <c r="F68" s="152">
        <f>IFERROR(INDEX(Database!$B$2:$CT$473,MATCH("مکانیک-24",Database!$A$2:$A$473,0),MATCH($C$3,Database!$B$1:$CT$1,0)),0)</f>
        <v>6686.9</v>
      </c>
      <c r="G68" s="152">
        <f t="shared" si="5"/>
        <v>53.495200000000004</v>
      </c>
      <c r="H68" s="150" t="s">
        <v>741</v>
      </c>
      <c r="I68" s="151">
        <v>0.2</v>
      </c>
      <c r="J68" s="152">
        <f>IFERROR(INDEX(Database!$B$2:$CT$473,MATCH("ابنیه-16",Database!$A$2:$A$473,0),MATCH($C$2,Database!$B$1:$CT$1,0)),0)</f>
        <v>100</v>
      </c>
      <c r="K68" s="152">
        <f>IFERROR(INDEX(Database!$B$2:$CT$473,MATCH("ابنیه-16",Database!$A$2:$A$473,0),MATCH($C$3,Database!$B$1:$CT$1,0)),0)</f>
        <v>9344.2000000000007</v>
      </c>
      <c r="L68" s="152">
        <f>IF(J68=0,0,(K68/J68)*I68)</f>
        <v>18.688400000000001</v>
      </c>
      <c r="M68" s="150"/>
      <c r="N68" s="150"/>
      <c r="O68" s="150"/>
      <c r="P68" s="150"/>
      <c r="Q68" s="150"/>
      <c r="R68" s="152">
        <f>G68+L68</f>
        <v>72.183600000000013</v>
      </c>
    </row>
    <row r="69" spans="1:18" ht="22.05" customHeight="1">
      <c r="A69" s="153">
        <v>64</v>
      </c>
      <c r="B69" s="154" t="s">
        <v>665</v>
      </c>
      <c r="C69" s="155" t="s">
        <v>754</v>
      </c>
      <c r="D69" s="156">
        <v>1</v>
      </c>
      <c r="E69" s="157">
        <f>IFERROR(INDEX(Database!$B$2:$CT$473,MATCH("ابنیه-23",Database!$A$2:$A$473,0),MATCH($C$2,Database!$B$1:$CT$1,0)),0)</f>
        <v>100</v>
      </c>
      <c r="F69" s="157">
        <f>IFERROR(INDEX(Database!$B$2:$CT$473,MATCH("ابنیه-23",Database!$A$2:$A$473,0),MATCH($C$3,Database!$B$1:$CT$1,0)),0)</f>
        <v>7368</v>
      </c>
      <c r="G69" s="157">
        <f t="shared" si="5"/>
        <v>73.680000000000007</v>
      </c>
      <c r="H69" s="155"/>
      <c r="I69" s="155"/>
      <c r="J69" s="155"/>
      <c r="K69" s="155"/>
      <c r="L69" s="155"/>
      <c r="M69" s="155"/>
      <c r="N69" s="155"/>
      <c r="O69" s="155"/>
      <c r="P69" s="155"/>
      <c r="Q69" s="155"/>
      <c r="R69" s="157">
        <f t="shared" ref="R69:R74" si="7">G69</f>
        <v>73.680000000000007</v>
      </c>
    </row>
    <row r="70" spans="1:18" ht="22.05" customHeight="1">
      <c r="A70" s="148">
        <v>65</v>
      </c>
      <c r="B70" s="149" t="s">
        <v>793</v>
      </c>
      <c r="C70" s="150" t="s">
        <v>741</v>
      </c>
      <c r="D70" s="151">
        <v>0.3</v>
      </c>
      <c r="E70" s="152">
        <f>IFERROR(INDEX(Database!$B$2:$CT$473,MATCH("ابنیه-16",Database!$A$2:$A$473,0),MATCH($C$2,Database!$B$1:$CT$1,0)),0)</f>
        <v>100</v>
      </c>
      <c r="F70" s="152">
        <f>IFERROR(INDEX(Database!$B$2:$CT$473,MATCH("ابنیه-16",Database!$A$2:$A$473,0),MATCH($C$3,Database!$B$1:$CT$1,0)),0)</f>
        <v>9344.2000000000007</v>
      </c>
      <c r="G70" s="152">
        <f t="shared" ref="G70:G101" si="8">IF(E70=0,0,(F70/E70)*D70)</f>
        <v>28.032600000000002</v>
      </c>
      <c r="H70" s="150"/>
      <c r="I70" s="150"/>
      <c r="J70" s="150"/>
      <c r="K70" s="150"/>
      <c r="L70" s="150"/>
      <c r="M70" s="150"/>
      <c r="N70" s="150"/>
      <c r="O70" s="150"/>
      <c r="P70" s="150"/>
      <c r="Q70" s="150"/>
      <c r="R70" s="152">
        <f t="shared" si="7"/>
        <v>28.032600000000002</v>
      </c>
    </row>
    <row r="71" spans="1:18" ht="22.05" customHeight="1">
      <c r="A71" s="153">
        <v>66</v>
      </c>
      <c r="B71" s="154" t="s">
        <v>667</v>
      </c>
      <c r="C71" s="155" t="s">
        <v>754</v>
      </c>
      <c r="D71" s="156">
        <v>0.2</v>
      </c>
      <c r="E71" s="157">
        <f>IFERROR(INDEX(Database!$B$2:$CT$473,MATCH("ابنیه-23",Database!$A$2:$A$473,0),MATCH($C$2,Database!$B$1:$CT$1,0)),0)</f>
        <v>100</v>
      </c>
      <c r="F71" s="157">
        <f>IFERROR(INDEX(Database!$B$2:$CT$473,MATCH("ابنیه-23",Database!$A$2:$A$473,0),MATCH($C$3,Database!$B$1:$CT$1,0)),0)</f>
        <v>7368</v>
      </c>
      <c r="G71" s="157">
        <f t="shared" si="8"/>
        <v>14.736000000000002</v>
      </c>
      <c r="H71" s="155"/>
      <c r="I71" s="155"/>
      <c r="J71" s="155"/>
      <c r="K71" s="155"/>
      <c r="L71" s="155"/>
      <c r="M71" s="155"/>
      <c r="N71" s="155"/>
      <c r="O71" s="155"/>
      <c r="P71" s="155"/>
      <c r="Q71" s="155"/>
      <c r="R71" s="157">
        <f t="shared" si="7"/>
        <v>14.736000000000002</v>
      </c>
    </row>
    <row r="72" spans="1:18" ht="22.05" customHeight="1">
      <c r="A72" s="148">
        <v>67</v>
      </c>
      <c r="B72" s="149" t="s">
        <v>794</v>
      </c>
      <c r="C72" s="150" t="s">
        <v>772</v>
      </c>
      <c r="D72" s="151">
        <v>0.2</v>
      </c>
      <c r="E72" s="152">
        <f>IFERROR(INDEX(Database!$B$2:$CT$473,MATCH("مکانیک-1",Database!$A$2:$A$473,0),MATCH($C$2,Database!$B$1:$CT$1,0)),0)</f>
        <v>100</v>
      </c>
      <c r="F72" s="152">
        <f>IFERROR(INDEX(Database!$B$2:$CT$473,MATCH("مکانیک-1",Database!$A$2:$A$473,0),MATCH($C$3,Database!$B$1:$CT$1,0)),0)</f>
        <v>8957.6</v>
      </c>
      <c r="G72" s="152">
        <f t="shared" si="8"/>
        <v>17.915200000000002</v>
      </c>
      <c r="H72" s="150"/>
      <c r="I72" s="150"/>
      <c r="J72" s="150"/>
      <c r="K72" s="150"/>
      <c r="L72" s="150"/>
      <c r="M72" s="150"/>
      <c r="N72" s="150"/>
      <c r="O72" s="150"/>
      <c r="P72" s="150"/>
      <c r="Q72" s="150"/>
      <c r="R72" s="152">
        <f t="shared" si="7"/>
        <v>17.915200000000002</v>
      </c>
    </row>
    <row r="73" spans="1:18" ht="22.05" customHeight="1">
      <c r="A73" s="153">
        <v>68</v>
      </c>
      <c r="B73" s="154" t="s">
        <v>669</v>
      </c>
      <c r="C73" s="155" t="s">
        <v>772</v>
      </c>
      <c r="D73" s="156">
        <v>1</v>
      </c>
      <c r="E73" s="157">
        <f>IFERROR(INDEX(Database!$B$2:$CT$473,MATCH("مکانیک-1",Database!$A$2:$A$473,0),MATCH($C$2,Database!$B$1:$CT$1,0)),0)</f>
        <v>100</v>
      </c>
      <c r="F73" s="157">
        <f>IFERROR(INDEX(Database!$B$2:$CT$473,MATCH("مکانیک-1",Database!$A$2:$A$473,0),MATCH($C$3,Database!$B$1:$CT$1,0)),0)</f>
        <v>8957.6</v>
      </c>
      <c r="G73" s="157">
        <f t="shared" si="8"/>
        <v>89.576000000000008</v>
      </c>
      <c r="H73" s="155"/>
      <c r="I73" s="155"/>
      <c r="J73" s="155"/>
      <c r="K73" s="155"/>
      <c r="L73" s="155"/>
      <c r="M73" s="155"/>
      <c r="N73" s="155"/>
      <c r="O73" s="155"/>
      <c r="P73" s="155"/>
      <c r="Q73" s="155"/>
      <c r="R73" s="157">
        <f t="shared" si="7"/>
        <v>89.576000000000008</v>
      </c>
    </row>
    <row r="74" spans="1:18" ht="22.05" customHeight="1">
      <c r="A74" s="148">
        <v>69</v>
      </c>
      <c r="B74" s="149" t="s">
        <v>670</v>
      </c>
      <c r="C74" s="150" t="s">
        <v>795</v>
      </c>
      <c r="D74" s="151">
        <v>1</v>
      </c>
      <c r="E74" s="152">
        <f>IFERROR(INDEX(Database!$B$2:$CT$473,MATCH("مکانیک-3",Database!$A$2:$A$473,0),MATCH($C$2,Database!$B$1:$CT$1,0)),0)</f>
        <v>100</v>
      </c>
      <c r="F74" s="152">
        <f>IFERROR(INDEX(Database!$B$2:$CT$473,MATCH("مکانیک-3",Database!$A$2:$A$473,0),MATCH($C$3,Database!$B$1:$CT$1,0)),0)</f>
        <v>7812.5</v>
      </c>
      <c r="G74" s="152">
        <f t="shared" si="8"/>
        <v>78.125</v>
      </c>
      <c r="H74" s="150"/>
      <c r="I74" s="150"/>
      <c r="J74" s="150"/>
      <c r="K74" s="150"/>
      <c r="L74" s="150"/>
      <c r="M74" s="150"/>
      <c r="N74" s="150"/>
      <c r="O74" s="150"/>
      <c r="P74" s="150"/>
      <c r="Q74" s="150"/>
      <c r="R74" s="152">
        <f t="shared" si="7"/>
        <v>78.125</v>
      </c>
    </row>
    <row r="75" spans="1:18" ht="22.05" customHeight="1">
      <c r="A75" s="153">
        <v>70</v>
      </c>
      <c r="B75" s="154" t="s">
        <v>796</v>
      </c>
      <c r="C75" s="155" t="s">
        <v>797</v>
      </c>
      <c r="D75" s="156">
        <v>1</v>
      </c>
      <c r="E75" s="155" t="s">
        <v>798</v>
      </c>
      <c r="F75" s="155" t="s">
        <v>798</v>
      </c>
      <c r="G75" s="156">
        <v>0</v>
      </c>
      <c r="H75" s="155"/>
      <c r="I75" s="155"/>
      <c r="J75" s="155"/>
      <c r="K75" s="155"/>
      <c r="L75" s="155"/>
      <c r="M75" s="155"/>
      <c r="N75" s="155"/>
      <c r="O75" s="155"/>
      <c r="P75" s="155"/>
      <c r="Q75" s="155"/>
      <c r="R75" s="155" t="s">
        <v>799</v>
      </c>
    </row>
    <row r="76" spans="1:18" ht="22.05" customHeight="1">
      <c r="A76" s="148">
        <v>71</v>
      </c>
      <c r="B76" s="149" t="s">
        <v>800</v>
      </c>
      <c r="C76" s="150" t="s">
        <v>801</v>
      </c>
      <c r="D76" s="151">
        <v>1</v>
      </c>
      <c r="E76" s="152">
        <f>IFERROR(INDEX(Database!$B$2:$CT$473,MATCH("مکانیک-6",Database!$A$2:$A$473,0),MATCH($C$2,Database!$B$1:$CT$1,0)),0)</f>
        <v>100</v>
      </c>
      <c r="F76" s="152">
        <f>IFERROR(INDEX(Database!$B$2:$CT$473,MATCH("مکانیک-6",Database!$A$2:$A$473,0),MATCH($C$3,Database!$B$1:$CT$1,0)),0)</f>
        <v>19294.5</v>
      </c>
      <c r="G76" s="152">
        <f t="shared" ref="G76:G92" si="9">IF(E76=0,0,(F76/E76)*D76)</f>
        <v>192.94499999999999</v>
      </c>
      <c r="H76" s="150"/>
      <c r="I76" s="150"/>
      <c r="J76" s="150"/>
      <c r="K76" s="150"/>
      <c r="L76" s="150"/>
      <c r="M76" s="150"/>
      <c r="N76" s="150"/>
      <c r="O76" s="150"/>
      <c r="P76" s="150"/>
      <c r="Q76" s="150"/>
      <c r="R76" s="152">
        <f>G76</f>
        <v>192.94499999999999</v>
      </c>
    </row>
    <row r="77" spans="1:18" ht="22.05" customHeight="1">
      <c r="A77" s="153">
        <v>72</v>
      </c>
      <c r="B77" s="154" t="s">
        <v>802</v>
      </c>
      <c r="C77" s="155" t="s">
        <v>739</v>
      </c>
      <c r="D77" s="156">
        <v>0.5</v>
      </c>
      <c r="E77" s="157">
        <f>IFERROR(INDEX(Database!$B$2:$CT$473,MATCH("مکانیک-24",Database!$A$2:$A$473,0),MATCH($C$2,Database!$B$1:$CT$1,0)),0)</f>
        <v>100</v>
      </c>
      <c r="F77" s="157">
        <f>IFERROR(INDEX(Database!$B$2:$CT$473,MATCH("مکانیک-24",Database!$A$2:$A$473,0),MATCH($C$3,Database!$B$1:$CT$1,0)),0)</f>
        <v>6686.9</v>
      </c>
      <c r="G77" s="157">
        <f t="shared" si="9"/>
        <v>33.4345</v>
      </c>
      <c r="H77" s="155" t="s">
        <v>754</v>
      </c>
      <c r="I77" s="156">
        <v>0.5</v>
      </c>
      <c r="J77" s="157">
        <f>IFERROR(INDEX(Database!$B$2:$CT$473,MATCH("ابنیه-23",Database!$A$2:$A$473,0),MATCH($C$2,Database!$B$1:$CT$1,0)),0)</f>
        <v>100</v>
      </c>
      <c r="K77" s="157">
        <f>IFERROR(INDEX(Database!$B$2:$CT$473,MATCH("ابنیه-23",Database!$A$2:$A$473,0),MATCH($C$3,Database!$B$1:$CT$1,0)),0)</f>
        <v>7368</v>
      </c>
      <c r="L77" s="157">
        <f>IF(J77=0,0,(K77/J77)*I77)</f>
        <v>36.840000000000003</v>
      </c>
      <c r="M77" s="155"/>
      <c r="N77" s="155"/>
      <c r="O77" s="155"/>
      <c r="P77" s="155"/>
      <c r="Q77" s="155"/>
      <c r="R77" s="157">
        <f>G77+L77</f>
        <v>70.274500000000003</v>
      </c>
    </row>
    <row r="78" spans="1:18" ht="22.05" customHeight="1">
      <c r="A78" s="148">
        <v>73</v>
      </c>
      <c r="B78" s="149" t="s">
        <v>674</v>
      </c>
      <c r="C78" s="150" t="s">
        <v>739</v>
      </c>
      <c r="D78" s="151">
        <v>0.5</v>
      </c>
      <c r="E78" s="152">
        <f>IFERROR(INDEX(Database!$B$2:$CT$473,MATCH("مکانیک-24",Database!$A$2:$A$473,0),MATCH($C$2,Database!$B$1:$CT$1,0)),0)</f>
        <v>100</v>
      </c>
      <c r="F78" s="152">
        <f>IFERROR(INDEX(Database!$B$2:$CT$473,MATCH("مکانیک-24",Database!$A$2:$A$473,0),MATCH($C$3,Database!$B$1:$CT$1,0)),0)</f>
        <v>6686.9</v>
      </c>
      <c r="G78" s="152">
        <f t="shared" si="9"/>
        <v>33.4345</v>
      </c>
      <c r="H78" s="150" t="s">
        <v>754</v>
      </c>
      <c r="I78" s="151">
        <v>0.5</v>
      </c>
      <c r="J78" s="152">
        <f>IFERROR(INDEX(Database!$B$2:$CT$473,MATCH("ابنیه-23",Database!$A$2:$A$473,0),MATCH($C$2,Database!$B$1:$CT$1,0)),0)</f>
        <v>100</v>
      </c>
      <c r="K78" s="152">
        <f>IFERROR(INDEX(Database!$B$2:$CT$473,MATCH("ابنیه-23",Database!$A$2:$A$473,0),MATCH($C$3,Database!$B$1:$CT$1,0)),0)</f>
        <v>7368</v>
      </c>
      <c r="L78" s="152">
        <f>IF(J78=0,0,(K78/J78)*I78)</f>
        <v>36.840000000000003</v>
      </c>
      <c r="M78" s="150"/>
      <c r="N78" s="150"/>
      <c r="O78" s="150"/>
      <c r="P78" s="150"/>
      <c r="Q78" s="150"/>
      <c r="R78" s="152">
        <f>G78+L78</f>
        <v>70.274500000000003</v>
      </c>
    </row>
    <row r="79" spans="1:18" ht="22.05" customHeight="1">
      <c r="A79" s="153">
        <v>74</v>
      </c>
      <c r="B79" s="154" t="s">
        <v>803</v>
      </c>
      <c r="C79" s="155" t="s">
        <v>742</v>
      </c>
      <c r="D79" s="156">
        <v>0.5</v>
      </c>
      <c r="E79" s="157">
        <f>IFERROR(INDEX(Database!$B$2:$CT$473,MATCH("مکانیک-7",Database!$A$2:$A$473,0),MATCH($C$2,Database!$B$1:$CT$1,0)),0)</f>
        <v>100</v>
      </c>
      <c r="F79" s="157">
        <f>IFERROR(INDEX(Database!$B$2:$CT$473,MATCH("مکانیک-7",Database!$A$2:$A$473,0),MATCH($C$3,Database!$B$1:$CT$1,0)),0)</f>
        <v>10444.1</v>
      </c>
      <c r="G79" s="157">
        <f t="shared" si="9"/>
        <v>52.220500000000001</v>
      </c>
      <c r="H79" s="155" t="s">
        <v>795</v>
      </c>
      <c r="I79" s="156">
        <v>0.5</v>
      </c>
      <c r="J79" s="157">
        <f>IFERROR(INDEX(Database!$B$2:$CT$473,MATCH("مکانیک-3",Database!$A$2:$A$473,0),MATCH($C$2,Database!$B$1:$CT$1,0)),0)</f>
        <v>100</v>
      </c>
      <c r="K79" s="157">
        <f>IFERROR(INDEX(Database!$B$2:$CT$473,MATCH("مکانیک-3",Database!$A$2:$A$473,0),MATCH($C$3,Database!$B$1:$CT$1,0)),0)</f>
        <v>7812.5</v>
      </c>
      <c r="L79" s="157">
        <f>IF(J79=0,0,(K79/J79)*I79)</f>
        <v>39.0625</v>
      </c>
      <c r="M79" s="155"/>
      <c r="N79" s="155"/>
      <c r="O79" s="155"/>
      <c r="P79" s="155"/>
      <c r="Q79" s="155"/>
      <c r="R79" s="157">
        <f>G79+L79</f>
        <v>91.283000000000001</v>
      </c>
    </row>
    <row r="80" spans="1:18" ht="22.05" customHeight="1">
      <c r="A80" s="148">
        <v>75</v>
      </c>
      <c r="B80" s="149" t="s">
        <v>676</v>
      </c>
      <c r="C80" s="150" t="s">
        <v>742</v>
      </c>
      <c r="D80" s="151">
        <v>1</v>
      </c>
      <c r="E80" s="152">
        <f>IFERROR(INDEX(Database!$B$2:$CT$473,MATCH("مکانیک-7",Database!$A$2:$A$473,0),MATCH($C$2,Database!$B$1:$CT$1,0)),0)</f>
        <v>100</v>
      </c>
      <c r="F80" s="152">
        <f>IFERROR(INDEX(Database!$B$2:$CT$473,MATCH("مکانیک-7",Database!$A$2:$A$473,0),MATCH($C$3,Database!$B$1:$CT$1,0)),0)</f>
        <v>10444.1</v>
      </c>
      <c r="G80" s="152">
        <f t="shared" si="9"/>
        <v>104.441</v>
      </c>
      <c r="H80" s="150"/>
      <c r="I80" s="150"/>
      <c r="J80" s="150"/>
      <c r="K80" s="150"/>
      <c r="L80" s="150"/>
      <c r="M80" s="150"/>
      <c r="N80" s="150"/>
      <c r="O80" s="150"/>
      <c r="P80" s="150"/>
      <c r="Q80" s="150"/>
      <c r="R80" s="152">
        <f t="shared" ref="R80:R86" si="10">G80</f>
        <v>104.441</v>
      </c>
    </row>
    <row r="81" spans="1:18" ht="22.05" customHeight="1">
      <c r="A81" s="153">
        <v>76</v>
      </c>
      <c r="B81" s="154" t="s">
        <v>677</v>
      </c>
      <c r="C81" s="155" t="s">
        <v>742</v>
      </c>
      <c r="D81" s="156">
        <v>0.35</v>
      </c>
      <c r="E81" s="157">
        <f>IFERROR(INDEX(Database!$B$2:$CT$473,MATCH("مکانیک-7",Database!$A$2:$A$473,0),MATCH($C$2,Database!$B$1:$CT$1,0)),0)</f>
        <v>100</v>
      </c>
      <c r="F81" s="157">
        <f>IFERROR(INDEX(Database!$B$2:$CT$473,MATCH("مکانیک-7",Database!$A$2:$A$473,0),MATCH($C$3,Database!$B$1:$CT$1,0)),0)</f>
        <v>10444.1</v>
      </c>
      <c r="G81" s="157">
        <f t="shared" si="9"/>
        <v>36.554349999999999</v>
      </c>
      <c r="H81" s="155"/>
      <c r="I81" s="155"/>
      <c r="J81" s="155"/>
      <c r="K81" s="155"/>
      <c r="L81" s="155"/>
      <c r="M81" s="155"/>
      <c r="N81" s="155"/>
      <c r="O81" s="155"/>
      <c r="P81" s="155"/>
      <c r="Q81" s="155"/>
      <c r="R81" s="157">
        <f t="shared" si="10"/>
        <v>36.554349999999999</v>
      </c>
    </row>
    <row r="82" spans="1:18" ht="22.05" customHeight="1">
      <c r="A82" s="148">
        <v>77</v>
      </c>
      <c r="B82" s="149" t="s">
        <v>804</v>
      </c>
      <c r="C82" s="150" t="s">
        <v>795</v>
      </c>
      <c r="D82" s="151">
        <v>1</v>
      </c>
      <c r="E82" s="152">
        <f>IFERROR(INDEX(Database!$B$2:$CT$473,MATCH("مکانیک-3",Database!$A$2:$A$473,0),MATCH($C$2,Database!$B$1:$CT$1,0)),0)</f>
        <v>100</v>
      </c>
      <c r="F82" s="152">
        <f>IFERROR(INDEX(Database!$B$2:$CT$473,MATCH("مکانیک-3",Database!$A$2:$A$473,0),MATCH($C$3,Database!$B$1:$CT$1,0)),0)</f>
        <v>7812.5</v>
      </c>
      <c r="G82" s="152">
        <f t="shared" si="9"/>
        <v>78.125</v>
      </c>
      <c r="H82" s="150"/>
      <c r="I82" s="150"/>
      <c r="J82" s="150"/>
      <c r="K82" s="150"/>
      <c r="L82" s="150"/>
      <c r="M82" s="150"/>
      <c r="N82" s="150"/>
      <c r="O82" s="150"/>
      <c r="P82" s="150"/>
      <c r="Q82" s="150"/>
      <c r="R82" s="152">
        <f t="shared" si="10"/>
        <v>78.125</v>
      </c>
    </row>
    <row r="83" spans="1:18" ht="22.05" customHeight="1">
      <c r="A83" s="153">
        <v>78</v>
      </c>
      <c r="B83" s="154" t="s">
        <v>805</v>
      </c>
      <c r="C83" s="155" t="s">
        <v>739</v>
      </c>
      <c r="D83" s="156">
        <v>0.15</v>
      </c>
      <c r="E83" s="157">
        <f>IFERROR(INDEX(Database!$B$2:$CT$473,MATCH("مکانیک-24",Database!$A$2:$A$473,0),MATCH($C$2,Database!$B$1:$CT$1,0)),0)</f>
        <v>100</v>
      </c>
      <c r="F83" s="157">
        <f>IFERROR(INDEX(Database!$B$2:$CT$473,MATCH("مکانیک-24",Database!$A$2:$A$473,0),MATCH($C$3,Database!$B$1:$CT$1,0)),0)</f>
        <v>6686.9</v>
      </c>
      <c r="G83" s="157">
        <f t="shared" si="9"/>
        <v>10.03035</v>
      </c>
      <c r="H83" s="155"/>
      <c r="I83" s="155"/>
      <c r="J83" s="155"/>
      <c r="K83" s="155"/>
      <c r="L83" s="155"/>
      <c r="M83" s="155"/>
      <c r="N83" s="155"/>
      <c r="O83" s="155"/>
      <c r="P83" s="155"/>
      <c r="Q83" s="155"/>
      <c r="R83" s="157">
        <f t="shared" si="10"/>
        <v>10.03035</v>
      </c>
    </row>
    <row r="84" spans="1:18" ht="22.05" customHeight="1">
      <c r="A84" s="148">
        <v>79</v>
      </c>
      <c r="B84" s="149" t="s">
        <v>680</v>
      </c>
      <c r="C84" s="150" t="s">
        <v>754</v>
      </c>
      <c r="D84" s="151">
        <v>1</v>
      </c>
      <c r="E84" s="152">
        <f>IFERROR(INDEX(Database!$B$2:$CT$473,MATCH("ابنیه-23",Database!$A$2:$A$473,0),MATCH($C$2,Database!$B$1:$CT$1,0)),0)</f>
        <v>100</v>
      </c>
      <c r="F84" s="152">
        <f>IFERROR(INDEX(Database!$B$2:$CT$473,MATCH("ابنیه-23",Database!$A$2:$A$473,0),MATCH($C$3,Database!$B$1:$CT$1,0)),0)</f>
        <v>7368</v>
      </c>
      <c r="G84" s="152">
        <f t="shared" si="9"/>
        <v>73.680000000000007</v>
      </c>
      <c r="H84" s="150"/>
      <c r="I84" s="150"/>
      <c r="J84" s="150"/>
      <c r="K84" s="150"/>
      <c r="L84" s="150"/>
      <c r="M84" s="150"/>
      <c r="N84" s="150"/>
      <c r="O84" s="150"/>
      <c r="P84" s="150"/>
      <c r="Q84" s="150"/>
      <c r="R84" s="152">
        <f t="shared" si="10"/>
        <v>73.680000000000007</v>
      </c>
    </row>
    <row r="85" spans="1:18" ht="22.05" customHeight="1">
      <c r="A85" s="153">
        <v>80</v>
      </c>
      <c r="B85" s="154" t="s">
        <v>806</v>
      </c>
      <c r="C85" s="155" t="s">
        <v>795</v>
      </c>
      <c r="D85" s="156">
        <v>0.3</v>
      </c>
      <c r="E85" s="157">
        <f>IFERROR(INDEX(Database!$B$2:$CT$473,MATCH("مکانیک-3",Database!$A$2:$A$473,0),MATCH($C$2,Database!$B$1:$CT$1,0)),0)</f>
        <v>100</v>
      </c>
      <c r="F85" s="157">
        <f>IFERROR(INDEX(Database!$B$2:$CT$473,MATCH("مکانیک-3",Database!$A$2:$A$473,0),MATCH($C$3,Database!$B$1:$CT$1,0)),0)</f>
        <v>7812.5</v>
      </c>
      <c r="G85" s="157">
        <f t="shared" si="9"/>
        <v>23.4375</v>
      </c>
      <c r="H85" s="155"/>
      <c r="I85" s="155"/>
      <c r="J85" s="155"/>
      <c r="K85" s="155"/>
      <c r="L85" s="155"/>
      <c r="M85" s="155"/>
      <c r="N85" s="155"/>
      <c r="O85" s="155"/>
      <c r="P85" s="155"/>
      <c r="Q85" s="155"/>
      <c r="R85" s="157">
        <f t="shared" si="10"/>
        <v>23.4375</v>
      </c>
    </row>
    <row r="86" spans="1:18" ht="22.05" customHeight="1">
      <c r="A86" s="148">
        <v>81</v>
      </c>
      <c r="B86" s="149" t="s">
        <v>807</v>
      </c>
      <c r="C86" s="150" t="s">
        <v>782</v>
      </c>
      <c r="D86" s="151">
        <v>1</v>
      </c>
      <c r="E86" s="152">
        <f>IFERROR(INDEX(Database!$B$2:$CT$473,MATCH("مکانیک-33",Database!$A$2:$A$473,0),MATCH($C$2,Database!$B$1:$CT$1,0)),0)</f>
        <v>100</v>
      </c>
      <c r="F86" s="152">
        <f>IFERROR(INDEX(Database!$B$2:$CT$473,MATCH("مکانیک-33",Database!$A$2:$A$473,0),MATCH($C$3,Database!$B$1:$CT$1,0)),0)</f>
        <v>17395.7</v>
      </c>
      <c r="G86" s="152">
        <f t="shared" si="9"/>
        <v>173.95699999999999</v>
      </c>
      <c r="H86" s="150"/>
      <c r="I86" s="150"/>
      <c r="J86" s="150"/>
      <c r="K86" s="150"/>
      <c r="L86" s="150"/>
      <c r="M86" s="150"/>
      <c r="N86" s="150"/>
      <c r="O86" s="150"/>
      <c r="P86" s="150"/>
      <c r="Q86" s="150"/>
      <c r="R86" s="152">
        <f t="shared" si="10"/>
        <v>173.95699999999999</v>
      </c>
    </row>
    <row r="87" spans="1:18" ht="22.05" customHeight="1">
      <c r="A87" s="153">
        <v>82</v>
      </c>
      <c r="B87" s="154" t="s">
        <v>683</v>
      </c>
      <c r="C87" s="155" t="s">
        <v>808</v>
      </c>
      <c r="D87" s="156">
        <v>0.5</v>
      </c>
      <c r="E87" s="157">
        <f>IFERROR(INDEX(Database!$B$2:$CT$473,MATCH("مکانیک-28",Database!$A$2:$A$473,0),MATCH($C$2,Database!$B$1:$CT$1,0)),0)</f>
        <v>100</v>
      </c>
      <c r="F87" s="157">
        <f>IFERROR(INDEX(Database!$B$2:$CT$473,MATCH("مکانیک-28",Database!$A$2:$A$473,0),MATCH($C$3,Database!$B$1:$CT$1,0)),0)</f>
        <v>9507.4</v>
      </c>
      <c r="G87" s="157">
        <f t="shared" si="9"/>
        <v>47.536999999999999</v>
      </c>
      <c r="H87" s="155" t="s">
        <v>809</v>
      </c>
      <c r="I87" s="156">
        <v>0.5</v>
      </c>
      <c r="J87" s="157">
        <f>IFERROR(INDEX(Database!$B$2:$CT$473,MATCH("مکانیک-4",Database!$A$2:$A$473,0),MATCH($C$2,Database!$B$1:$CT$1,0)),0)</f>
        <v>0</v>
      </c>
      <c r="K87" s="157">
        <f>IFERROR(INDEX(Database!$B$2:$CT$473,MATCH("مکانیک-4",Database!$A$2:$A$473,0),MATCH($C$3,Database!$B$1:$CT$1,0)),0)</f>
        <v>4375.8</v>
      </c>
      <c r="L87" s="157">
        <f>IF(J87=0,0,(K87/J87)*I87)</f>
        <v>0</v>
      </c>
      <c r="M87" s="155"/>
      <c r="N87" s="155"/>
      <c r="O87" s="155"/>
      <c r="P87" s="155"/>
      <c r="Q87" s="155"/>
      <c r="R87" s="157">
        <f>G87+L87</f>
        <v>47.536999999999999</v>
      </c>
    </row>
    <row r="88" spans="1:18" ht="22.05" customHeight="1">
      <c r="A88" s="148">
        <v>83</v>
      </c>
      <c r="B88" s="149" t="s">
        <v>684</v>
      </c>
      <c r="C88" s="150" t="s">
        <v>810</v>
      </c>
      <c r="D88" s="151">
        <v>1</v>
      </c>
      <c r="E88" s="152">
        <f>IFERROR(INDEX(Database!$B$2:$CT$473,MATCH("مکانیک-13",Database!$A$2:$A$473,0),MATCH($C$2,Database!$B$1:$CT$1,0)),0)</f>
        <v>100</v>
      </c>
      <c r="F88" s="152">
        <f>IFERROR(INDEX(Database!$B$2:$CT$473,MATCH("مکانیک-13",Database!$A$2:$A$473,0),MATCH($C$3,Database!$B$1:$CT$1,0)),0)</f>
        <v>21500.5</v>
      </c>
      <c r="G88" s="152">
        <f t="shared" si="9"/>
        <v>215.005</v>
      </c>
      <c r="H88" s="150"/>
      <c r="I88" s="150"/>
      <c r="J88" s="150"/>
      <c r="K88" s="150"/>
      <c r="L88" s="150"/>
      <c r="M88" s="150"/>
      <c r="N88" s="150"/>
      <c r="O88" s="150"/>
      <c r="P88" s="150"/>
      <c r="Q88" s="150"/>
      <c r="R88" s="152">
        <f>G88</f>
        <v>215.005</v>
      </c>
    </row>
    <row r="89" spans="1:18" ht="22.05" customHeight="1">
      <c r="A89" s="153">
        <v>84</v>
      </c>
      <c r="B89" s="154" t="s">
        <v>811</v>
      </c>
      <c r="C89" s="155" t="s">
        <v>754</v>
      </c>
      <c r="D89" s="156">
        <v>0.1</v>
      </c>
      <c r="E89" s="157">
        <f>IFERROR(INDEX(Database!$B$2:$CT$473,MATCH("ابنیه-23",Database!$A$2:$A$473,0),MATCH($C$2,Database!$B$1:$CT$1,0)),0)</f>
        <v>100</v>
      </c>
      <c r="F89" s="157">
        <f>IFERROR(INDEX(Database!$B$2:$CT$473,MATCH("ابنیه-23",Database!$A$2:$A$473,0),MATCH($C$3,Database!$B$1:$CT$1,0)),0)</f>
        <v>7368</v>
      </c>
      <c r="G89" s="157">
        <f t="shared" si="9"/>
        <v>7.3680000000000012</v>
      </c>
      <c r="H89" s="155" t="s">
        <v>812</v>
      </c>
      <c r="I89" s="156">
        <v>0.2</v>
      </c>
      <c r="J89" s="157">
        <f>IFERROR(INDEX(Database!$B$2:$CT$473,MATCH("برق-18",Database!$A$2:$A$473,0),MATCH($C$2,Database!$B$1:$CT$1,0)),0)</f>
        <v>100</v>
      </c>
      <c r="K89" s="157">
        <f>IFERROR(INDEX(Database!$B$2:$CT$473,MATCH("برق-18",Database!$A$2:$A$473,0),MATCH($C$3,Database!$B$1:$CT$1,0)),0)</f>
        <v>8207.5</v>
      </c>
      <c r="L89" s="157">
        <f>IF(J89=0,0,(K89/J89)*I89)</f>
        <v>16.415000000000003</v>
      </c>
      <c r="M89" s="155"/>
      <c r="N89" s="155"/>
      <c r="O89" s="155"/>
      <c r="P89" s="155"/>
      <c r="Q89" s="155"/>
      <c r="R89" s="157">
        <f>G89+L89</f>
        <v>23.783000000000005</v>
      </c>
    </row>
    <row r="90" spans="1:18" ht="22.05" customHeight="1">
      <c r="A90" s="148">
        <v>85</v>
      </c>
      <c r="B90" s="149" t="s">
        <v>686</v>
      </c>
      <c r="C90" s="150" t="s">
        <v>739</v>
      </c>
      <c r="D90" s="151">
        <v>0.15</v>
      </c>
      <c r="E90" s="152">
        <f>IFERROR(INDEX(Database!$B$2:$CT$473,MATCH("مکانیک-24",Database!$A$2:$A$473,0),MATCH($C$2,Database!$B$1:$CT$1,0)),0)</f>
        <v>100</v>
      </c>
      <c r="F90" s="152">
        <f>IFERROR(INDEX(Database!$B$2:$CT$473,MATCH("مکانیک-24",Database!$A$2:$A$473,0),MATCH($C$3,Database!$B$1:$CT$1,0)),0)</f>
        <v>6686.9</v>
      </c>
      <c r="G90" s="152">
        <f t="shared" si="9"/>
        <v>10.03035</v>
      </c>
      <c r="H90" s="150" t="s">
        <v>741</v>
      </c>
      <c r="I90" s="151">
        <v>0.15</v>
      </c>
      <c r="J90" s="152">
        <f>IFERROR(INDEX(Database!$B$2:$CT$473,MATCH("ابنیه-16",Database!$A$2:$A$473,0),MATCH($C$2,Database!$B$1:$CT$1,0)),0)</f>
        <v>100</v>
      </c>
      <c r="K90" s="152">
        <f>IFERROR(INDEX(Database!$B$2:$CT$473,MATCH("ابنیه-16",Database!$A$2:$A$473,0),MATCH($C$3,Database!$B$1:$CT$1,0)),0)</f>
        <v>9344.2000000000007</v>
      </c>
      <c r="L90" s="152">
        <f>IF(J90=0,0,(K90/J90)*I90)</f>
        <v>14.016300000000001</v>
      </c>
      <c r="M90" s="150"/>
      <c r="N90" s="150"/>
      <c r="O90" s="150"/>
      <c r="P90" s="150"/>
      <c r="Q90" s="150"/>
      <c r="R90" s="152">
        <f>G90+L90</f>
        <v>24.04665</v>
      </c>
    </row>
    <row r="91" spans="1:18" ht="22.05" customHeight="1">
      <c r="A91" s="153">
        <v>86</v>
      </c>
      <c r="B91" s="154" t="s">
        <v>813</v>
      </c>
      <c r="C91" s="155" t="s">
        <v>741</v>
      </c>
      <c r="D91" s="156">
        <v>0.15</v>
      </c>
      <c r="E91" s="157">
        <f>IFERROR(INDEX(Database!$B$2:$CT$473,MATCH("ابنیه-16",Database!$A$2:$A$473,0),MATCH($C$2,Database!$B$1:$CT$1,0)),0)</f>
        <v>100</v>
      </c>
      <c r="F91" s="157">
        <f>IFERROR(INDEX(Database!$B$2:$CT$473,MATCH("ابنیه-16",Database!$A$2:$A$473,0),MATCH($C$3,Database!$B$1:$CT$1,0)),0)</f>
        <v>9344.2000000000007</v>
      </c>
      <c r="G91" s="157">
        <f t="shared" si="9"/>
        <v>14.016300000000001</v>
      </c>
      <c r="H91" s="155"/>
      <c r="I91" s="155"/>
      <c r="J91" s="155"/>
      <c r="K91" s="155"/>
      <c r="L91" s="155"/>
      <c r="M91" s="155"/>
      <c r="N91" s="155"/>
      <c r="O91" s="155"/>
      <c r="P91" s="155"/>
      <c r="Q91" s="155"/>
      <c r="R91" s="157">
        <f>G91</f>
        <v>14.016300000000001</v>
      </c>
    </row>
    <row r="92" spans="1:18" ht="22.05" customHeight="1">
      <c r="A92" s="148">
        <v>87</v>
      </c>
      <c r="B92" s="149" t="s">
        <v>814</v>
      </c>
      <c r="C92" s="150" t="s">
        <v>815</v>
      </c>
      <c r="D92" s="151">
        <v>1</v>
      </c>
      <c r="E92" s="152">
        <f>IFERROR(INDEX(Database!$B$2:$CT$473,MATCH("مکانیک-30",Database!$A$2:$A$473,0),MATCH($C$2,Database!$B$1:$CT$1,0)),0)</f>
        <v>100</v>
      </c>
      <c r="F92" s="152">
        <f>IFERROR(INDEX(Database!$B$2:$CT$473,MATCH("مکانیک-30",Database!$A$2:$A$473,0),MATCH($C$3,Database!$B$1:$CT$1,0)),0)</f>
        <v>14768.4</v>
      </c>
      <c r="G92" s="152">
        <f t="shared" si="9"/>
        <v>147.684</v>
      </c>
      <c r="H92" s="150"/>
      <c r="I92" s="150"/>
      <c r="J92" s="150"/>
      <c r="K92" s="150"/>
      <c r="L92" s="150"/>
      <c r="M92" s="150"/>
      <c r="N92" s="150"/>
      <c r="O92" s="150"/>
      <c r="P92" s="150"/>
      <c r="Q92" s="150"/>
      <c r="R92" s="152">
        <f>G92</f>
        <v>147.684</v>
      </c>
    </row>
    <row r="93" spans="1:18" ht="22.05" customHeight="1">
      <c r="A93" s="153">
        <v>88</v>
      </c>
      <c r="B93" s="154" t="s">
        <v>816</v>
      </c>
      <c r="C93" s="155" t="s">
        <v>817</v>
      </c>
      <c r="D93" s="156">
        <v>1</v>
      </c>
      <c r="E93" s="155"/>
      <c r="F93" s="155"/>
      <c r="G93" s="155"/>
      <c r="H93" s="155"/>
      <c r="I93" s="155"/>
      <c r="J93" s="155"/>
      <c r="K93" s="155"/>
      <c r="L93" s="155"/>
      <c r="M93" s="155"/>
      <c r="N93" s="155"/>
      <c r="O93" s="155"/>
      <c r="P93" s="155"/>
      <c r="Q93" s="155"/>
      <c r="R93" s="155" t="s">
        <v>799</v>
      </c>
    </row>
    <row r="94" spans="1:18" ht="22.05" customHeight="1">
      <c r="A94" s="148">
        <v>89</v>
      </c>
      <c r="B94" s="149" t="s">
        <v>818</v>
      </c>
      <c r="C94" s="150" t="s">
        <v>739</v>
      </c>
      <c r="D94" s="151">
        <v>0.2</v>
      </c>
      <c r="E94" s="152">
        <f>IFERROR(INDEX(Database!$B$2:$CT$473,MATCH("مکانیک-24",Database!$A$2:$A$473,0),MATCH($C$2,Database!$B$1:$CT$1,0)),0)</f>
        <v>100</v>
      </c>
      <c r="F94" s="152">
        <f>IFERROR(INDEX(Database!$B$2:$CT$473,MATCH("مکانیک-24",Database!$A$2:$A$473,0),MATCH($C$3,Database!$B$1:$CT$1,0)),0)</f>
        <v>6686.9</v>
      </c>
      <c r="G94" s="152">
        <f>IF(E94=0,0,(F94/E94)*D94)</f>
        <v>13.373800000000001</v>
      </c>
      <c r="H94" s="150" t="s">
        <v>741</v>
      </c>
      <c r="I94" s="151">
        <v>0.2</v>
      </c>
      <c r="J94" s="152">
        <f>IFERROR(INDEX(Database!$B$2:$CT$473,MATCH("ابنیه-16",Database!$A$2:$A$473,0),MATCH($C$2,Database!$B$1:$CT$1,0)),0)</f>
        <v>100</v>
      </c>
      <c r="K94" s="152">
        <f>IFERROR(INDEX(Database!$B$2:$CT$473,MATCH("ابنیه-16",Database!$A$2:$A$473,0),MATCH($C$3,Database!$B$1:$CT$1,0)),0)</f>
        <v>9344.2000000000007</v>
      </c>
      <c r="L94" s="152">
        <f>IF(J94=0,0,(K94/J94)*I94)</f>
        <v>18.688400000000001</v>
      </c>
      <c r="M94" s="150"/>
      <c r="N94" s="150"/>
      <c r="O94" s="150"/>
      <c r="P94" s="150"/>
      <c r="Q94" s="150"/>
      <c r="R94" s="152">
        <f>G94+L94</f>
        <v>32.062200000000004</v>
      </c>
    </row>
    <row r="95" spans="1:18" ht="22.05" customHeight="1">
      <c r="A95" s="153">
        <v>90</v>
      </c>
      <c r="B95" s="154" t="s">
        <v>819</v>
      </c>
      <c r="C95" s="155" t="s">
        <v>741</v>
      </c>
      <c r="D95" s="156">
        <v>0.2</v>
      </c>
      <c r="E95" s="157">
        <f>IFERROR(INDEX(Database!$B$2:$CT$473,MATCH("ابنیه-16",Database!$A$2:$A$473,0),MATCH($C$2,Database!$B$1:$CT$1,0)),0)</f>
        <v>100</v>
      </c>
      <c r="F95" s="157">
        <f>IFERROR(INDEX(Database!$B$2:$CT$473,MATCH("ابنیه-16",Database!$A$2:$A$473,0),MATCH($C$3,Database!$B$1:$CT$1,0)),0)</f>
        <v>9344.2000000000007</v>
      </c>
      <c r="G95" s="157">
        <f>IF(E95=0,0,(F95/E95)*D95)</f>
        <v>18.688400000000001</v>
      </c>
      <c r="H95" s="155"/>
      <c r="I95" s="155"/>
      <c r="J95" s="155"/>
      <c r="K95" s="155"/>
      <c r="L95" s="155"/>
      <c r="M95" s="155"/>
      <c r="N95" s="155"/>
      <c r="O95" s="155"/>
      <c r="P95" s="155"/>
      <c r="Q95" s="155"/>
      <c r="R95" s="157">
        <f>G95</f>
        <v>18.688400000000001</v>
      </c>
    </row>
    <row r="96" spans="1:18" ht="22.05" customHeight="1">
      <c r="A96" s="148">
        <v>91</v>
      </c>
      <c r="B96" s="149" t="s">
        <v>692</v>
      </c>
      <c r="C96" s="150"/>
      <c r="D96" s="150"/>
      <c r="E96" s="150"/>
      <c r="F96" s="150"/>
      <c r="G96" s="150"/>
      <c r="H96" s="150"/>
      <c r="I96" s="150"/>
      <c r="J96" s="150"/>
      <c r="K96" s="150"/>
      <c r="L96" s="150"/>
      <c r="M96" s="150"/>
      <c r="N96" s="150"/>
      <c r="O96" s="150"/>
      <c r="P96" s="150"/>
      <c r="Q96" s="150"/>
      <c r="R96" s="150" t="s">
        <v>799</v>
      </c>
    </row>
    <row r="97" spans="1:18" ht="22.05" customHeight="1">
      <c r="A97" s="153">
        <v>92</v>
      </c>
      <c r="B97" s="154" t="s">
        <v>693</v>
      </c>
      <c r="C97" s="155" t="s">
        <v>739</v>
      </c>
      <c r="D97" s="156">
        <v>0.2</v>
      </c>
      <c r="E97" s="157">
        <f>IFERROR(INDEX(Database!$B$2:$CT$473,MATCH("مکانیک-24",Database!$A$2:$A$473,0),MATCH($C$2,Database!$B$1:$CT$1,0)),0)</f>
        <v>100</v>
      </c>
      <c r="F97" s="157">
        <f>IFERROR(INDEX(Database!$B$2:$CT$473,MATCH("مکانیک-24",Database!$A$2:$A$473,0),MATCH($C$3,Database!$B$1:$CT$1,0)),0)</f>
        <v>6686.9</v>
      </c>
      <c r="G97" s="157">
        <f>IF(E97=0,0,(F97/E97)*D97)</f>
        <v>13.373800000000001</v>
      </c>
      <c r="H97" s="155" t="s">
        <v>741</v>
      </c>
      <c r="I97" s="156">
        <v>0.2</v>
      </c>
      <c r="J97" s="157">
        <f>IFERROR(INDEX(Database!$B$2:$CT$473,MATCH("ابنیه-16",Database!$A$2:$A$473,0),MATCH($C$2,Database!$B$1:$CT$1,0)),0)</f>
        <v>100</v>
      </c>
      <c r="K97" s="157">
        <f>IFERROR(INDEX(Database!$B$2:$CT$473,MATCH("ابنیه-16",Database!$A$2:$A$473,0),MATCH($C$3,Database!$B$1:$CT$1,0)),0)</f>
        <v>9344.2000000000007</v>
      </c>
      <c r="L97" s="157">
        <f>IF(J97=0,0,(K97/J97)*I97)</f>
        <v>18.688400000000001</v>
      </c>
      <c r="M97" s="155"/>
      <c r="N97" s="155"/>
      <c r="O97" s="155"/>
      <c r="P97" s="155"/>
      <c r="Q97" s="155"/>
      <c r="R97" s="157">
        <f>G97+L97</f>
        <v>32.062200000000004</v>
      </c>
    </row>
    <row r="98" spans="1:18" ht="22.05" customHeight="1">
      <c r="A98" s="148">
        <v>93</v>
      </c>
      <c r="B98" s="149" t="s">
        <v>820</v>
      </c>
      <c r="C98" s="150" t="s">
        <v>741</v>
      </c>
      <c r="D98" s="151">
        <v>0.2</v>
      </c>
      <c r="E98" s="152">
        <f>IFERROR(INDEX(Database!$B$2:$CT$473,MATCH("ابنیه-16",Database!$A$2:$A$473,0),MATCH($C$2,Database!$B$1:$CT$1,0)),0)</f>
        <v>100</v>
      </c>
      <c r="F98" s="152">
        <f>IFERROR(INDEX(Database!$B$2:$CT$473,MATCH("ابنیه-16",Database!$A$2:$A$473,0),MATCH($C$3,Database!$B$1:$CT$1,0)),0)</f>
        <v>9344.2000000000007</v>
      </c>
      <c r="G98" s="152">
        <f>IF(E98=0,0,(F98/E98)*D98)</f>
        <v>18.688400000000001</v>
      </c>
      <c r="H98" s="150"/>
      <c r="I98" s="150"/>
      <c r="J98" s="150"/>
      <c r="K98" s="150"/>
      <c r="L98" s="150"/>
      <c r="M98" s="150"/>
      <c r="N98" s="150"/>
      <c r="O98" s="150"/>
      <c r="P98" s="150"/>
      <c r="Q98" s="150"/>
      <c r="R98" s="152">
        <f>G98</f>
        <v>18.688400000000001</v>
      </c>
    </row>
    <row r="99" spans="1:18" ht="22.05" customHeight="1">
      <c r="A99" s="153">
        <v>94</v>
      </c>
      <c r="B99" s="154" t="s">
        <v>695</v>
      </c>
      <c r="C99" s="155" t="s">
        <v>754</v>
      </c>
      <c r="D99" s="156">
        <v>1</v>
      </c>
      <c r="E99" s="157">
        <f>IFERROR(INDEX(Database!$B$2:$CT$473,MATCH("ابنیه-23",Database!$A$2:$A$473,0),MATCH($C$2,Database!$B$1:$CT$1,0)),0)</f>
        <v>100</v>
      </c>
      <c r="F99" s="157">
        <f>IFERROR(INDEX(Database!$B$2:$CT$473,MATCH("ابنیه-23",Database!$A$2:$A$473,0),MATCH($C$3,Database!$B$1:$CT$1,0)),0)</f>
        <v>7368</v>
      </c>
      <c r="G99" s="157">
        <f>IF(E99=0,0,(F99/E99)*D99)</f>
        <v>73.680000000000007</v>
      </c>
      <c r="H99" s="155"/>
      <c r="I99" s="155"/>
      <c r="J99" s="155"/>
      <c r="K99" s="155"/>
      <c r="L99" s="155"/>
      <c r="M99" s="155"/>
      <c r="N99" s="155"/>
      <c r="O99" s="155"/>
      <c r="P99" s="155"/>
      <c r="Q99" s="155"/>
      <c r="R99" s="157">
        <f>G99</f>
        <v>73.680000000000007</v>
      </c>
    </row>
    <row r="100" spans="1:18" ht="22.05" customHeight="1">
      <c r="A100" s="148">
        <v>95</v>
      </c>
      <c r="B100" s="149" t="s">
        <v>696</v>
      </c>
      <c r="C100" s="150" t="s">
        <v>821</v>
      </c>
      <c r="D100" s="151">
        <v>1</v>
      </c>
      <c r="E100" s="152">
        <f>IFERROR(INDEX(Database!$B$2:$CT$473,MATCH("ابنیه-4",Database!$A$2:$A$473,0),MATCH($C$2,Database!$B$1:$CT$1,0)),0)</f>
        <v>100</v>
      </c>
      <c r="F100" s="152">
        <f>IFERROR(INDEX(Database!$B$2:$CT$473,MATCH("ابنیه-4",Database!$A$2:$A$473,0),MATCH($C$3,Database!$B$1:$CT$1,0)),0)</f>
        <v>9656.7000000000007</v>
      </c>
      <c r="G100" s="152">
        <f>IF(E100=0,0,(F100/E100)*D100)</f>
        <v>96.567000000000007</v>
      </c>
      <c r="H100" s="150"/>
      <c r="I100" s="150"/>
      <c r="J100" s="150"/>
      <c r="K100" s="150"/>
      <c r="L100" s="150"/>
      <c r="M100" s="150"/>
      <c r="N100" s="150"/>
      <c r="O100" s="150"/>
      <c r="P100" s="150"/>
      <c r="Q100" s="150"/>
      <c r="R100" s="152">
        <f>G100</f>
        <v>96.567000000000007</v>
      </c>
    </row>
    <row r="101" spans="1:18" ht="22.05" customHeight="1">
      <c r="A101" s="153">
        <v>96</v>
      </c>
      <c r="B101" s="154" t="s">
        <v>822</v>
      </c>
      <c r="C101" s="155" t="s">
        <v>821</v>
      </c>
      <c r="D101" s="156">
        <v>1</v>
      </c>
      <c r="E101" s="157">
        <f>IFERROR(INDEX(Database!$B$2:$CT$473,MATCH("ابنیه-4",Database!$A$2:$A$473,0),MATCH($C$2,Database!$B$1:$CT$1,0)),0)</f>
        <v>100</v>
      </c>
      <c r="F101" s="157">
        <f>IFERROR(INDEX(Database!$B$2:$CT$473,MATCH("ابنیه-4",Database!$A$2:$A$473,0),MATCH($C$3,Database!$B$1:$CT$1,0)),0)</f>
        <v>9656.7000000000007</v>
      </c>
      <c r="G101" s="157">
        <f>IF(E101=0,0,(F101/E101)*D101)</f>
        <v>96.567000000000007</v>
      </c>
      <c r="H101" s="155"/>
      <c r="I101" s="155"/>
      <c r="J101" s="155"/>
      <c r="K101" s="155"/>
      <c r="L101" s="155"/>
      <c r="M101" s="155"/>
      <c r="N101" s="155"/>
      <c r="O101" s="155"/>
      <c r="P101" s="155"/>
      <c r="Q101" s="155"/>
      <c r="R101" s="157">
        <f>G101</f>
        <v>96.567000000000007</v>
      </c>
    </row>
    <row r="102" spans="1:18" ht="22.05" customHeight="1">
      <c r="A102" s="148">
        <v>97</v>
      </c>
      <c r="B102" s="149" t="s">
        <v>823</v>
      </c>
      <c r="C102" s="150"/>
      <c r="D102" s="150"/>
      <c r="E102" s="150"/>
      <c r="F102" s="150"/>
      <c r="G102" s="150"/>
      <c r="H102" s="150"/>
      <c r="I102" s="150"/>
      <c r="J102" s="150"/>
      <c r="K102" s="150"/>
      <c r="L102" s="150"/>
      <c r="M102" s="150"/>
      <c r="N102" s="150"/>
      <c r="O102" s="150"/>
      <c r="P102" s="150"/>
      <c r="Q102" s="150"/>
      <c r="R102" s="150" t="s">
        <v>799</v>
      </c>
    </row>
    <row r="103" spans="1:18" ht="22.05" customHeight="1">
      <c r="A103" s="153">
        <v>98</v>
      </c>
      <c r="B103" s="154" t="s">
        <v>824</v>
      </c>
      <c r="C103" s="155" t="s">
        <v>782</v>
      </c>
      <c r="D103" s="156">
        <v>1</v>
      </c>
      <c r="E103" s="157">
        <f>IFERROR(INDEX(Database!$B$2:$CT$473,MATCH("مکانیک-33",Database!$A$2:$A$473,0),MATCH($C$2,Database!$B$1:$CT$1,0)),0)</f>
        <v>100</v>
      </c>
      <c r="F103" s="157">
        <f>IFERROR(INDEX(Database!$B$2:$CT$473,MATCH("مکانیک-33",Database!$A$2:$A$473,0),MATCH($C$3,Database!$B$1:$CT$1,0)),0)</f>
        <v>17395.7</v>
      </c>
      <c r="G103" s="157">
        <f t="shared" ref="G103:G110" si="11">IF(E103=0,0,(F103/E103)*D103)</f>
        <v>173.95699999999999</v>
      </c>
      <c r="H103" s="155"/>
      <c r="I103" s="155"/>
      <c r="J103" s="155"/>
      <c r="K103" s="155"/>
      <c r="L103" s="155"/>
      <c r="M103" s="155"/>
      <c r="N103" s="155"/>
      <c r="O103" s="155"/>
      <c r="P103" s="155"/>
      <c r="Q103" s="155"/>
      <c r="R103" s="157">
        <f t="shared" ref="R103:R110" si="12">G103</f>
        <v>173.95699999999999</v>
      </c>
    </row>
    <row r="104" spans="1:18" ht="22.05" customHeight="1">
      <c r="A104" s="148">
        <v>99</v>
      </c>
      <c r="B104" s="149" t="s">
        <v>825</v>
      </c>
      <c r="C104" s="150" t="s">
        <v>782</v>
      </c>
      <c r="D104" s="151">
        <v>0.3</v>
      </c>
      <c r="E104" s="152">
        <f>IFERROR(INDEX(Database!$B$2:$CT$473,MATCH("مکانیک-33",Database!$A$2:$A$473,0),MATCH($C$2,Database!$B$1:$CT$1,0)),0)</f>
        <v>100</v>
      </c>
      <c r="F104" s="152">
        <f>IFERROR(INDEX(Database!$B$2:$CT$473,MATCH("مکانیک-33",Database!$A$2:$A$473,0),MATCH($C$3,Database!$B$1:$CT$1,0)),0)</f>
        <v>17395.7</v>
      </c>
      <c r="G104" s="152">
        <f t="shared" si="11"/>
        <v>52.187099999999994</v>
      </c>
      <c r="H104" s="150"/>
      <c r="I104" s="150"/>
      <c r="J104" s="150"/>
      <c r="K104" s="150"/>
      <c r="L104" s="150"/>
      <c r="M104" s="150"/>
      <c r="N104" s="150"/>
      <c r="O104" s="150"/>
      <c r="P104" s="150"/>
      <c r="Q104" s="150"/>
      <c r="R104" s="152">
        <f t="shared" si="12"/>
        <v>52.187099999999994</v>
      </c>
    </row>
    <row r="105" spans="1:18" ht="22.05" customHeight="1">
      <c r="A105" s="153">
        <v>100</v>
      </c>
      <c r="B105" s="154" t="s">
        <v>826</v>
      </c>
      <c r="C105" s="155" t="s">
        <v>827</v>
      </c>
      <c r="D105" s="156">
        <v>1</v>
      </c>
      <c r="E105" s="157">
        <f>IFERROR(INDEX(Database!$B$2:$CT$473,MATCH("مکانیک-12",Database!$A$2:$A$473,0),MATCH($C$2,Database!$B$1:$CT$1,0)),0)</f>
        <v>100</v>
      </c>
      <c r="F105" s="157">
        <f>IFERROR(INDEX(Database!$B$2:$CT$473,MATCH("مکانیک-12",Database!$A$2:$A$473,0),MATCH($C$3,Database!$B$1:$CT$1,0)),0)</f>
        <v>13455.5</v>
      </c>
      <c r="G105" s="157">
        <f t="shared" si="11"/>
        <v>134.55500000000001</v>
      </c>
      <c r="H105" s="155"/>
      <c r="I105" s="155"/>
      <c r="J105" s="155"/>
      <c r="K105" s="155"/>
      <c r="L105" s="155"/>
      <c r="M105" s="155"/>
      <c r="N105" s="155"/>
      <c r="O105" s="155"/>
      <c r="P105" s="155"/>
      <c r="Q105" s="155"/>
      <c r="R105" s="157">
        <f t="shared" si="12"/>
        <v>134.55500000000001</v>
      </c>
    </row>
    <row r="106" spans="1:18" ht="22.05" customHeight="1">
      <c r="A106" s="148">
        <v>101</v>
      </c>
      <c r="B106" s="149" t="s">
        <v>828</v>
      </c>
      <c r="C106" s="150" t="s">
        <v>782</v>
      </c>
      <c r="D106" s="151">
        <v>0.3</v>
      </c>
      <c r="E106" s="152">
        <f>IFERROR(INDEX(Database!$B$2:$CT$473,MATCH("مکانیک-33",Database!$A$2:$A$473,0),MATCH($C$2,Database!$B$1:$CT$1,0)),0)</f>
        <v>100</v>
      </c>
      <c r="F106" s="152">
        <f>IFERROR(INDEX(Database!$B$2:$CT$473,MATCH("مکانیک-33",Database!$A$2:$A$473,0),MATCH($C$3,Database!$B$1:$CT$1,0)),0)</f>
        <v>17395.7</v>
      </c>
      <c r="G106" s="152">
        <f t="shared" si="11"/>
        <v>52.187099999999994</v>
      </c>
      <c r="H106" s="150"/>
      <c r="I106" s="150"/>
      <c r="J106" s="150"/>
      <c r="K106" s="150"/>
      <c r="L106" s="150"/>
      <c r="M106" s="150"/>
      <c r="N106" s="150"/>
      <c r="O106" s="150"/>
      <c r="P106" s="150"/>
      <c r="Q106" s="150"/>
      <c r="R106" s="152">
        <f t="shared" si="12"/>
        <v>52.187099999999994</v>
      </c>
    </row>
    <row r="107" spans="1:18" ht="22.05" customHeight="1">
      <c r="A107" s="153">
        <v>102</v>
      </c>
      <c r="B107" s="154" t="s">
        <v>829</v>
      </c>
      <c r="C107" s="155" t="s">
        <v>830</v>
      </c>
      <c r="D107" s="156">
        <v>1</v>
      </c>
      <c r="E107" s="157">
        <f>IFERROR(INDEX(Database!$B$2:$CT$473,MATCH("مکانیک-14",Database!$A$2:$A$473,0),MATCH($C$2,Database!$B$1:$CT$1,0)),0)</f>
        <v>100</v>
      </c>
      <c r="F107" s="157">
        <f>IFERROR(INDEX(Database!$B$2:$CT$473,MATCH("مکانیک-14",Database!$A$2:$A$473,0),MATCH($C$3,Database!$B$1:$CT$1,0)),0)</f>
        <v>4243.3</v>
      </c>
      <c r="G107" s="157">
        <f t="shared" si="11"/>
        <v>42.433</v>
      </c>
      <c r="H107" s="155"/>
      <c r="I107" s="155"/>
      <c r="J107" s="155"/>
      <c r="K107" s="155"/>
      <c r="L107" s="155"/>
      <c r="M107" s="155"/>
      <c r="N107" s="155"/>
      <c r="O107" s="155"/>
      <c r="P107" s="155"/>
      <c r="Q107" s="155"/>
      <c r="R107" s="157">
        <f t="shared" si="12"/>
        <v>42.433</v>
      </c>
    </row>
    <row r="108" spans="1:18" ht="22.05" customHeight="1">
      <c r="A108" s="148">
        <v>103</v>
      </c>
      <c r="B108" s="149" t="s">
        <v>831</v>
      </c>
      <c r="C108" s="150" t="s">
        <v>782</v>
      </c>
      <c r="D108" s="151">
        <v>1</v>
      </c>
      <c r="E108" s="152">
        <f>IFERROR(INDEX(Database!$B$2:$CT$473,MATCH("مکانیک-33",Database!$A$2:$A$473,0),MATCH($C$2,Database!$B$1:$CT$1,0)),0)</f>
        <v>100</v>
      </c>
      <c r="F108" s="152">
        <f>IFERROR(INDEX(Database!$B$2:$CT$473,MATCH("مکانیک-33",Database!$A$2:$A$473,0),MATCH($C$3,Database!$B$1:$CT$1,0)),0)</f>
        <v>17395.7</v>
      </c>
      <c r="G108" s="152">
        <f t="shared" si="11"/>
        <v>173.95699999999999</v>
      </c>
      <c r="H108" s="150"/>
      <c r="I108" s="150"/>
      <c r="J108" s="150"/>
      <c r="K108" s="150"/>
      <c r="L108" s="150"/>
      <c r="M108" s="150"/>
      <c r="N108" s="150"/>
      <c r="O108" s="150"/>
      <c r="P108" s="150"/>
      <c r="Q108" s="150"/>
      <c r="R108" s="152">
        <f t="shared" si="12"/>
        <v>173.95699999999999</v>
      </c>
    </row>
    <row r="109" spans="1:18" ht="22.05" customHeight="1">
      <c r="A109" s="153">
        <v>104</v>
      </c>
      <c r="B109" s="154" t="s">
        <v>832</v>
      </c>
      <c r="C109" s="155" t="s">
        <v>830</v>
      </c>
      <c r="D109" s="156">
        <v>0.3</v>
      </c>
      <c r="E109" s="157">
        <f>IFERROR(INDEX(Database!$B$2:$CT$473,MATCH("مکانیک-14",Database!$A$2:$A$473,0),MATCH($C$2,Database!$B$1:$CT$1,0)),0)</f>
        <v>100</v>
      </c>
      <c r="F109" s="157">
        <f>IFERROR(INDEX(Database!$B$2:$CT$473,MATCH("مکانیک-14",Database!$A$2:$A$473,0),MATCH($C$3,Database!$B$1:$CT$1,0)),0)</f>
        <v>4243.3</v>
      </c>
      <c r="G109" s="157">
        <f t="shared" si="11"/>
        <v>12.729899999999999</v>
      </c>
      <c r="H109" s="155"/>
      <c r="I109" s="155"/>
      <c r="J109" s="155"/>
      <c r="K109" s="155"/>
      <c r="L109" s="155"/>
      <c r="M109" s="155"/>
      <c r="N109" s="155"/>
      <c r="O109" s="155"/>
      <c r="P109" s="155"/>
      <c r="Q109" s="155"/>
      <c r="R109" s="157">
        <f t="shared" si="12"/>
        <v>12.729899999999999</v>
      </c>
    </row>
    <row r="110" spans="1:18" ht="22.05" customHeight="1">
      <c r="A110" s="148">
        <v>105</v>
      </c>
      <c r="B110" s="149" t="s">
        <v>706</v>
      </c>
      <c r="C110" s="150" t="s">
        <v>754</v>
      </c>
      <c r="D110" s="151">
        <v>0.2</v>
      </c>
      <c r="E110" s="152">
        <f>IFERROR(INDEX(Database!$B$2:$CT$473,MATCH("ابنیه-23",Database!$A$2:$A$473,0),MATCH($C$2,Database!$B$1:$CT$1,0)),0)</f>
        <v>100</v>
      </c>
      <c r="F110" s="152">
        <f>IFERROR(INDEX(Database!$B$2:$CT$473,MATCH("ابنیه-23",Database!$A$2:$A$473,0),MATCH($C$3,Database!$B$1:$CT$1,0)),0)</f>
        <v>7368</v>
      </c>
      <c r="G110" s="152">
        <f t="shared" si="11"/>
        <v>14.736000000000002</v>
      </c>
      <c r="H110" s="150"/>
      <c r="I110" s="150"/>
      <c r="J110" s="150"/>
      <c r="K110" s="150"/>
      <c r="L110" s="150"/>
      <c r="M110" s="150"/>
      <c r="N110" s="150"/>
      <c r="O110" s="150"/>
      <c r="P110" s="150"/>
      <c r="Q110" s="150"/>
      <c r="R110" s="152">
        <f t="shared" si="12"/>
        <v>14.736000000000002</v>
      </c>
    </row>
    <row r="111" spans="1:18" ht="22.05" customHeight="1">
      <c r="A111" s="153">
        <v>106</v>
      </c>
      <c r="B111" s="154" t="s">
        <v>707</v>
      </c>
      <c r="C111" s="155"/>
      <c r="D111" s="155"/>
      <c r="E111" s="155"/>
      <c r="F111" s="155"/>
      <c r="G111" s="155"/>
      <c r="H111" s="155"/>
      <c r="I111" s="155"/>
      <c r="J111" s="155"/>
      <c r="K111" s="155"/>
      <c r="L111" s="155"/>
      <c r="M111" s="155"/>
      <c r="N111" s="155"/>
      <c r="O111" s="155"/>
      <c r="P111" s="155"/>
      <c r="Q111" s="155"/>
      <c r="R111" s="155" t="s">
        <v>799</v>
      </c>
    </row>
    <row r="112" spans="1:18" ht="22.05" customHeight="1">
      <c r="A112" s="148">
        <v>107</v>
      </c>
      <c r="B112" s="149" t="s">
        <v>708</v>
      </c>
      <c r="C112" s="150" t="s">
        <v>739</v>
      </c>
      <c r="D112" s="151">
        <v>0.1</v>
      </c>
      <c r="E112" s="152">
        <f>IFERROR(INDEX(Database!$B$2:$CT$473,MATCH("مکانیک-24",Database!$A$2:$A$473,0),MATCH($C$2,Database!$B$1:$CT$1,0)),0)</f>
        <v>100</v>
      </c>
      <c r="F112" s="152">
        <f>IFERROR(INDEX(Database!$B$2:$CT$473,MATCH("مکانیک-24",Database!$A$2:$A$473,0),MATCH($C$3,Database!$B$1:$CT$1,0)),0)</f>
        <v>6686.9</v>
      </c>
      <c r="G112" s="152">
        <f>IF(E112=0,0,(F112/E112)*D112)</f>
        <v>6.6869000000000005</v>
      </c>
      <c r="H112" s="150"/>
      <c r="I112" s="150"/>
      <c r="J112" s="150"/>
      <c r="K112" s="150"/>
      <c r="L112" s="150"/>
      <c r="M112" s="150"/>
      <c r="N112" s="150"/>
      <c r="O112" s="150"/>
      <c r="P112" s="150"/>
      <c r="Q112" s="150"/>
      <c r="R112" s="152">
        <f>G112</f>
        <v>6.6869000000000005</v>
      </c>
    </row>
    <row r="113" spans="1:18" ht="22.05" customHeight="1">
      <c r="A113" s="153">
        <v>108</v>
      </c>
      <c r="B113" s="154" t="s">
        <v>709</v>
      </c>
      <c r="C113" s="155" t="s">
        <v>833</v>
      </c>
      <c r="D113" s="156">
        <v>1</v>
      </c>
      <c r="E113" s="157">
        <f>IFERROR(INDEX(Database!$B$2:$CT$473,MATCH("مکانیک-21",Database!$A$2:$A$473,0),MATCH($C$2,Database!$B$1:$CT$1,0)),0)</f>
        <v>100</v>
      </c>
      <c r="F113" s="157">
        <f>IFERROR(INDEX(Database!$B$2:$CT$473,MATCH("مکانیک-21",Database!$A$2:$A$473,0),MATCH($C$3,Database!$B$1:$CT$1,0)),0)</f>
        <v>10242.299999999999</v>
      </c>
      <c r="G113" s="157">
        <f>IF(E113=0,0,(F113/E113)*D113)</f>
        <v>102.42299999999999</v>
      </c>
      <c r="H113" s="155"/>
      <c r="I113" s="155"/>
      <c r="J113" s="155"/>
      <c r="K113" s="155"/>
      <c r="L113" s="155"/>
      <c r="M113" s="155"/>
      <c r="N113" s="155"/>
      <c r="O113" s="155"/>
      <c r="P113" s="155"/>
      <c r="Q113" s="155"/>
      <c r="R113" s="157">
        <f>G113</f>
        <v>102.42299999999999</v>
      </c>
    </row>
    <row r="114" spans="1:18" ht="22.05" customHeight="1">
      <c r="A114" s="148">
        <v>109</v>
      </c>
      <c r="B114" s="149" t="s">
        <v>710</v>
      </c>
      <c r="C114" s="150"/>
      <c r="D114" s="150"/>
      <c r="E114" s="150"/>
      <c r="F114" s="150"/>
      <c r="G114" s="150"/>
      <c r="H114" s="150"/>
      <c r="I114" s="150"/>
      <c r="J114" s="150"/>
      <c r="K114" s="150"/>
      <c r="L114" s="150"/>
      <c r="M114" s="150"/>
      <c r="N114" s="150"/>
      <c r="O114" s="150"/>
      <c r="P114" s="150"/>
      <c r="Q114" s="150"/>
      <c r="R114" s="150" t="s">
        <v>799</v>
      </c>
    </row>
    <row r="115" spans="1:18" ht="22.05" customHeight="1">
      <c r="A115" s="153">
        <v>110</v>
      </c>
      <c r="B115" s="154" t="s">
        <v>711</v>
      </c>
      <c r="C115" s="155"/>
      <c r="D115" s="155"/>
      <c r="E115" s="155"/>
      <c r="F115" s="155"/>
      <c r="G115" s="155"/>
      <c r="H115" s="155"/>
      <c r="I115" s="155"/>
      <c r="J115" s="155"/>
      <c r="K115" s="155"/>
      <c r="L115" s="155"/>
      <c r="M115" s="155"/>
      <c r="N115" s="155"/>
      <c r="O115" s="155"/>
      <c r="P115" s="155"/>
      <c r="Q115" s="155"/>
      <c r="R115" s="155" t="s">
        <v>799</v>
      </c>
    </row>
    <row r="116" spans="1:18" ht="22.05" customHeight="1">
      <c r="A116" s="148">
        <v>111</v>
      </c>
      <c r="B116" s="149" t="s">
        <v>712</v>
      </c>
      <c r="C116" s="150"/>
      <c r="D116" s="150"/>
      <c r="E116" s="150"/>
      <c r="F116" s="150"/>
      <c r="G116" s="150"/>
      <c r="H116" s="150"/>
      <c r="I116" s="150"/>
      <c r="J116" s="150"/>
      <c r="K116" s="150"/>
      <c r="L116" s="150"/>
      <c r="M116" s="150"/>
      <c r="N116" s="150"/>
      <c r="O116" s="150"/>
      <c r="P116" s="150"/>
      <c r="Q116" s="150"/>
      <c r="R116" s="150" t="s">
        <v>799</v>
      </c>
    </row>
    <row r="117" spans="1:18" ht="22.05" customHeight="1">
      <c r="A117" s="153">
        <v>112</v>
      </c>
      <c r="B117" s="154" t="s">
        <v>834</v>
      </c>
      <c r="C117" s="155"/>
      <c r="D117" s="155"/>
      <c r="E117" s="155"/>
      <c r="F117" s="155"/>
      <c r="G117" s="155"/>
      <c r="H117" s="155"/>
      <c r="I117" s="155"/>
      <c r="J117" s="155"/>
      <c r="K117" s="155"/>
      <c r="L117" s="155"/>
      <c r="M117" s="155"/>
      <c r="N117" s="155"/>
      <c r="O117" s="155"/>
      <c r="P117" s="155"/>
      <c r="Q117" s="155"/>
      <c r="R117" s="155" t="s">
        <v>799</v>
      </c>
    </row>
    <row r="118" spans="1:18" ht="22.05" customHeight="1">
      <c r="A118" s="148">
        <v>113</v>
      </c>
      <c r="B118" s="149" t="s">
        <v>835</v>
      </c>
      <c r="C118" s="150" t="s">
        <v>808</v>
      </c>
      <c r="D118" s="151">
        <v>0.4</v>
      </c>
      <c r="E118" s="152">
        <f>IFERROR(INDEX(Database!$B$2:$CT$473,MATCH("مکانیک-28",Database!$A$2:$A$473,0),MATCH($C$2,Database!$B$1:$CT$1,0)),0)</f>
        <v>100</v>
      </c>
      <c r="F118" s="152">
        <f>IFERROR(INDEX(Database!$B$2:$CT$473,MATCH("مکانیک-28",Database!$A$2:$A$473,0),MATCH($C$3,Database!$B$1:$CT$1,0)),0)</f>
        <v>9507.4</v>
      </c>
      <c r="G118" s="152">
        <f>IF(E118=0,0,(F118/E118)*D118)</f>
        <v>38.029600000000002</v>
      </c>
      <c r="H118" s="150" t="s">
        <v>836</v>
      </c>
      <c r="I118" s="151">
        <v>0.2</v>
      </c>
      <c r="J118" s="152">
        <f>IFERROR(INDEX(Database!$B$2:$CT$473,MATCH("مکانیک-4",Database!$A$2:$A$473,0),MATCH($C$2,Database!$B$1:$CT$1,0)),0)</f>
        <v>0</v>
      </c>
      <c r="K118" s="152">
        <f>IFERROR(INDEX(Database!$B$2:$CT$473,MATCH("مکانیک-4",Database!$A$2:$A$473,0),MATCH($C$3,Database!$B$1:$CT$1,0)),0)</f>
        <v>4375.8</v>
      </c>
      <c r="L118" s="152">
        <f>IF(J118=0,0,(K118/J118)*I118)</f>
        <v>0</v>
      </c>
      <c r="M118" s="150"/>
      <c r="N118" s="150"/>
      <c r="O118" s="150"/>
      <c r="P118" s="150"/>
      <c r="Q118" s="150"/>
      <c r="R118" s="152">
        <f>G118+L118</f>
        <v>38.029600000000002</v>
      </c>
    </row>
    <row r="119" spans="1:18" ht="22.05" customHeight="1">
      <c r="A119" s="153">
        <v>114</v>
      </c>
      <c r="B119" s="154" t="s">
        <v>715</v>
      </c>
      <c r="C119" s="155" t="s">
        <v>837</v>
      </c>
      <c r="D119" s="156">
        <v>1</v>
      </c>
      <c r="E119" s="157">
        <f>IFERROR(INDEX(Database!$B$2:$CT$473,MATCH("مکانیک-20",Database!$A$2:$A$473,0),MATCH($C$2,Database!$B$1:$CT$1,0)),0)</f>
        <v>100</v>
      </c>
      <c r="F119" s="157">
        <f>IFERROR(INDEX(Database!$B$2:$CT$473,MATCH("مکانیک-20",Database!$A$2:$A$473,0),MATCH($C$3,Database!$B$1:$CT$1,0)),0)</f>
        <v>4819.6000000000004</v>
      </c>
      <c r="G119" s="157">
        <f>IF(E119=0,0,(F119/E119)*D119)</f>
        <v>48.196000000000005</v>
      </c>
      <c r="H119" s="155"/>
      <c r="I119" s="155"/>
      <c r="J119" s="155"/>
      <c r="K119" s="155"/>
      <c r="L119" s="155"/>
      <c r="M119" s="155"/>
      <c r="N119" s="155"/>
      <c r="O119" s="155"/>
      <c r="P119" s="155"/>
      <c r="Q119" s="155"/>
      <c r="R119" s="157">
        <f>G119</f>
        <v>48.196000000000005</v>
      </c>
    </row>
    <row r="120" spans="1:18" ht="22.05" customHeight="1">
      <c r="A120" s="148">
        <v>115</v>
      </c>
      <c r="B120" s="149" t="s">
        <v>716</v>
      </c>
      <c r="C120" s="150"/>
      <c r="D120" s="150"/>
      <c r="E120" s="150"/>
      <c r="F120" s="150"/>
      <c r="G120" s="150"/>
      <c r="H120" s="150"/>
      <c r="I120" s="150"/>
      <c r="J120" s="150"/>
      <c r="K120" s="150"/>
      <c r="L120" s="150"/>
      <c r="M120" s="150"/>
      <c r="N120" s="150"/>
      <c r="O120" s="150"/>
      <c r="P120" s="150"/>
      <c r="Q120" s="150"/>
      <c r="R120" s="150" t="s">
        <v>799</v>
      </c>
    </row>
    <row r="121" spans="1:18" ht="22.05" customHeight="1">
      <c r="A121" s="153">
        <v>116</v>
      </c>
      <c r="B121" s="154" t="s">
        <v>717</v>
      </c>
      <c r="C121" s="155"/>
      <c r="D121" s="155"/>
      <c r="E121" s="155"/>
      <c r="F121" s="155"/>
      <c r="G121" s="155"/>
      <c r="H121" s="155"/>
      <c r="I121" s="155"/>
      <c r="J121" s="155"/>
      <c r="K121" s="155"/>
      <c r="L121" s="155"/>
      <c r="M121" s="155"/>
      <c r="N121" s="155"/>
      <c r="O121" s="155"/>
      <c r="P121" s="155"/>
      <c r="Q121" s="155"/>
      <c r="R121" s="155" t="s">
        <v>799</v>
      </c>
    </row>
    <row r="122" spans="1:18" ht="22.05" customHeight="1">
      <c r="A122" s="148">
        <v>117</v>
      </c>
      <c r="B122" s="149" t="s">
        <v>838</v>
      </c>
      <c r="C122" s="150" t="s">
        <v>839</v>
      </c>
      <c r="D122" s="151">
        <v>1</v>
      </c>
      <c r="E122" s="152">
        <f>IFERROR(INDEX(Database!$B$2:$CT$473,MATCH("ابنیه-19",Database!$A$2:$A$473,0),MATCH($C$2,Database!$B$1:$CT$1,0)),0)</f>
        <v>100</v>
      </c>
      <c r="F122" s="152">
        <f>IFERROR(INDEX(Database!$B$2:$CT$473,MATCH("ابنیه-19",Database!$A$2:$A$473,0),MATCH($C$3,Database!$B$1:$CT$1,0)),0)</f>
        <v>5661.7</v>
      </c>
      <c r="G122" s="152">
        <f>IF(E122=0,0,(F122/E122)*D122)</f>
        <v>56.616999999999997</v>
      </c>
      <c r="H122" s="150"/>
      <c r="I122" s="150"/>
      <c r="J122" s="150"/>
      <c r="K122" s="150"/>
      <c r="L122" s="150"/>
      <c r="M122" s="150"/>
      <c r="N122" s="150"/>
      <c r="O122" s="150"/>
      <c r="P122" s="150"/>
      <c r="Q122" s="150"/>
      <c r="R122" s="152">
        <f>G122</f>
        <v>56.616999999999997</v>
      </c>
    </row>
    <row r="123" spans="1:18" ht="22.05" customHeight="1">
      <c r="A123" s="153">
        <v>118</v>
      </c>
      <c r="B123" s="154" t="s">
        <v>840</v>
      </c>
      <c r="C123" s="155" t="s">
        <v>817</v>
      </c>
      <c r="D123" s="156">
        <v>1</v>
      </c>
      <c r="E123" s="155"/>
      <c r="F123" s="155"/>
      <c r="G123" s="155"/>
      <c r="H123" s="155"/>
      <c r="I123" s="155"/>
      <c r="J123" s="155"/>
      <c r="K123" s="155"/>
      <c r="L123" s="155"/>
      <c r="M123" s="155"/>
      <c r="N123" s="155"/>
      <c r="O123" s="155"/>
      <c r="P123" s="155"/>
      <c r="Q123" s="155"/>
      <c r="R123" s="155" t="s">
        <v>799</v>
      </c>
    </row>
    <row r="124" spans="1:18" ht="22.05" customHeight="1">
      <c r="A124" s="148">
        <v>119</v>
      </c>
      <c r="B124" s="149" t="s">
        <v>720</v>
      </c>
      <c r="C124" s="150" t="s">
        <v>817</v>
      </c>
      <c r="D124" s="151">
        <v>1</v>
      </c>
      <c r="E124" s="150"/>
      <c r="F124" s="150"/>
      <c r="G124" s="150"/>
      <c r="H124" s="150"/>
      <c r="I124" s="150"/>
      <c r="J124" s="150"/>
      <c r="K124" s="150"/>
      <c r="L124" s="150"/>
      <c r="M124" s="150"/>
      <c r="N124" s="150"/>
      <c r="O124" s="150"/>
      <c r="P124" s="150"/>
      <c r="Q124" s="150"/>
      <c r="R124" s="150" t="s">
        <v>799</v>
      </c>
    </row>
    <row r="125" spans="1:18" ht="22.05" customHeight="1">
      <c r="A125" s="153">
        <v>120</v>
      </c>
      <c r="B125" s="154" t="s">
        <v>841</v>
      </c>
      <c r="C125" s="155" t="s">
        <v>817</v>
      </c>
      <c r="D125" s="156">
        <v>1</v>
      </c>
      <c r="E125" s="155"/>
      <c r="F125" s="155"/>
      <c r="G125" s="155"/>
      <c r="H125" s="155"/>
      <c r="I125" s="155"/>
      <c r="J125" s="155"/>
      <c r="K125" s="155"/>
      <c r="L125" s="155"/>
      <c r="M125" s="155"/>
      <c r="N125" s="155"/>
      <c r="O125" s="155"/>
      <c r="P125" s="155"/>
      <c r="Q125" s="155"/>
      <c r="R125" s="155" t="s">
        <v>799</v>
      </c>
    </row>
    <row r="126" spans="1:18" ht="22.05" customHeight="1">
      <c r="A126" s="148">
        <v>121</v>
      </c>
      <c r="B126" s="149" t="s">
        <v>722</v>
      </c>
      <c r="C126" s="150" t="s">
        <v>741</v>
      </c>
      <c r="D126" s="151">
        <v>1</v>
      </c>
      <c r="E126" s="152">
        <f>IFERROR(INDEX(Database!$B$2:$CT$473,MATCH("ابنیه-16",Database!$A$2:$A$473,0),MATCH($C$2,Database!$B$1:$CT$1,0)),0)</f>
        <v>100</v>
      </c>
      <c r="F126" s="152">
        <f>IFERROR(INDEX(Database!$B$2:$CT$473,MATCH("ابنیه-16",Database!$A$2:$A$473,0),MATCH($C$3,Database!$B$1:$CT$1,0)),0)</f>
        <v>9344.2000000000007</v>
      </c>
      <c r="G126" s="152">
        <f>IF(E126=0,0,(F126/E126)*D126)</f>
        <v>93.442000000000007</v>
      </c>
      <c r="H126" s="150"/>
      <c r="I126" s="150"/>
      <c r="J126" s="150"/>
      <c r="K126" s="150"/>
      <c r="L126" s="150"/>
      <c r="M126" s="150"/>
      <c r="N126" s="150"/>
      <c r="O126" s="150"/>
      <c r="P126" s="150"/>
      <c r="Q126" s="150"/>
      <c r="R126" s="152">
        <f>G126</f>
        <v>93.442000000000007</v>
      </c>
    </row>
    <row r="127" spans="1:18" ht="22.05" customHeight="1">
      <c r="A127" s="153">
        <v>122</v>
      </c>
      <c r="B127" s="154" t="s">
        <v>842</v>
      </c>
      <c r="C127" s="155" t="s">
        <v>741</v>
      </c>
      <c r="D127" s="156">
        <v>0.5</v>
      </c>
      <c r="E127" s="157">
        <f>IFERROR(INDEX(Database!$B$2:$CT$473,MATCH("ابنیه-16",Database!$A$2:$A$473,0),MATCH($C$2,Database!$B$1:$CT$1,0)),0)</f>
        <v>100</v>
      </c>
      <c r="F127" s="157">
        <f>IFERROR(INDEX(Database!$B$2:$CT$473,MATCH("ابنیه-16",Database!$A$2:$A$473,0),MATCH($C$3,Database!$B$1:$CT$1,0)),0)</f>
        <v>9344.2000000000007</v>
      </c>
      <c r="G127" s="157">
        <f>IF(E127=0,0,(F127/E127)*D127)</f>
        <v>46.721000000000004</v>
      </c>
      <c r="H127" s="155"/>
      <c r="I127" s="155"/>
      <c r="J127" s="155"/>
      <c r="K127" s="155"/>
      <c r="L127" s="155"/>
      <c r="M127" s="155"/>
      <c r="N127" s="155"/>
      <c r="O127" s="155"/>
      <c r="P127" s="155"/>
      <c r="Q127" s="155"/>
      <c r="R127" s="157">
        <f>G127</f>
        <v>46.721000000000004</v>
      </c>
    </row>
    <row r="128" spans="1:18" ht="22.05" customHeight="1">
      <c r="A128" s="148">
        <v>123</v>
      </c>
      <c r="B128" s="149" t="s">
        <v>724</v>
      </c>
      <c r="C128" s="150" t="s">
        <v>843</v>
      </c>
      <c r="D128" s="151">
        <v>1</v>
      </c>
      <c r="E128" s="150" t="s">
        <v>798</v>
      </c>
      <c r="F128" s="150" t="s">
        <v>798</v>
      </c>
      <c r="G128" s="151">
        <v>0</v>
      </c>
      <c r="H128" s="150"/>
      <c r="I128" s="150"/>
      <c r="J128" s="150"/>
      <c r="K128" s="150"/>
      <c r="L128" s="150"/>
      <c r="M128" s="150"/>
      <c r="N128" s="150"/>
      <c r="O128" s="150"/>
      <c r="P128" s="150"/>
      <c r="Q128" s="150"/>
      <c r="R128" s="150" t="s">
        <v>799</v>
      </c>
    </row>
  </sheetData>
  <mergeCells count="1">
    <mergeCell ref="A1:G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5"/>
  <sheetViews>
    <sheetView rightToLeft="1" workbookViewId="0">
      <pane ySplit="1" topLeftCell="A2" activePane="bottomLeft" state="frozen"/>
      <selection pane="bottomLeft"/>
    </sheetView>
  </sheetViews>
  <sheetFormatPr defaultRowHeight="13.5"/>
  <cols>
    <col min="1" max="1" width="9.1875" customWidth="1"/>
    <col min="2" max="2" width="15" customWidth="1"/>
    <col min="3" max="3" width="36.6875" customWidth="1"/>
    <col min="4" max="4" width="33.3125" customWidth="1"/>
    <col min="5" max="5" width="41.6875" customWidth="1"/>
    <col min="6" max="6" width="33.3125" customWidth="1"/>
  </cols>
  <sheetData>
    <row r="1" spans="1:6" ht="30" customHeight="1">
      <c r="A1" s="8" t="s">
        <v>844</v>
      </c>
      <c r="B1" s="9" t="s">
        <v>845</v>
      </c>
      <c r="C1" s="9" t="s">
        <v>846</v>
      </c>
      <c r="D1" s="9" t="s">
        <v>847</v>
      </c>
      <c r="E1" s="9" t="s">
        <v>848</v>
      </c>
      <c r="F1" s="10" t="s">
        <v>849</v>
      </c>
    </row>
    <row r="2" spans="1:6" ht="45" customHeight="1">
      <c r="A2" s="11">
        <v>1</v>
      </c>
      <c r="B2" s="12">
        <v>46067</v>
      </c>
      <c r="C2" s="13" t="s">
        <v>850</v>
      </c>
      <c r="D2" s="13" t="s">
        <v>851</v>
      </c>
      <c r="E2" s="13" t="s">
        <v>852</v>
      </c>
      <c r="F2" s="14" t="s">
        <v>853</v>
      </c>
    </row>
    <row r="3" spans="1:6" ht="45" customHeight="1">
      <c r="A3" s="15">
        <v>2</v>
      </c>
      <c r="B3" s="16">
        <v>46067</v>
      </c>
      <c r="C3" s="17" t="s">
        <v>854</v>
      </c>
      <c r="D3" s="17" t="s">
        <v>855</v>
      </c>
      <c r="E3" s="17" t="s">
        <v>856</v>
      </c>
      <c r="F3" s="18" t="s">
        <v>857</v>
      </c>
    </row>
    <row r="4" spans="1:6" ht="55.05" customHeight="1">
      <c r="A4" s="19">
        <v>3</v>
      </c>
      <c r="B4" s="20">
        <v>46067</v>
      </c>
      <c r="C4" s="21" t="s">
        <v>858</v>
      </c>
      <c r="D4" s="21" t="s">
        <v>859</v>
      </c>
      <c r="E4" s="21" t="s">
        <v>860</v>
      </c>
      <c r="F4" s="22" t="s">
        <v>861</v>
      </c>
    </row>
    <row r="5" spans="1:6" ht="45" customHeight="1">
      <c r="A5" s="23">
        <v>4</v>
      </c>
      <c r="B5" s="24">
        <v>46067</v>
      </c>
      <c r="C5" s="25" t="s">
        <v>862</v>
      </c>
      <c r="D5" s="25" t="s">
        <v>863</v>
      </c>
      <c r="E5" s="25" t="s">
        <v>864</v>
      </c>
      <c r="F5" s="26" t="s">
        <v>865</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tint="-0.499984740745262"/>
  </sheetPr>
  <dimension ref="A1:Q216"/>
  <sheetViews>
    <sheetView rightToLeft="1" workbookViewId="0">
      <pane ySplit="6" topLeftCell="A7" activePane="bottomLeft" state="frozen"/>
      <selection pane="bottomLeft"/>
    </sheetView>
  </sheetViews>
  <sheetFormatPr defaultRowHeight="13.5"/>
  <cols>
    <col min="1" max="1" width="14.1875" customWidth="1"/>
    <col min="2" max="2" width="46.6875" customWidth="1"/>
    <col min="3" max="3" width="10.8125" customWidth="1"/>
    <col min="4" max="4" width="18.3125" customWidth="1"/>
    <col min="6" max="7" width="18.3125" customWidth="1"/>
    <col min="10" max="11" width="18.3125" customWidth="1"/>
    <col min="14" max="15" width="18.3125" customWidth="1"/>
  </cols>
  <sheetData>
    <row r="1" spans="1:17" ht="32" customHeight="1">
      <c r="A1" s="27"/>
      <c r="B1" s="28"/>
      <c r="C1" s="28"/>
      <c r="D1" s="293" t="s">
        <v>866</v>
      </c>
      <c r="E1" s="294"/>
      <c r="F1" s="295"/>
      <c r="G1" s="28" t="s">
        <v>867</v>
      </c>
      <c r="H1" s="28"/>
      <c r="I1" s="28"/>
      <c r="J1" s="296" t="s">
        <v>866</v>
      </c>
      <c r="K1" s="297"/>
      <c r="L1" s="297"/>
      <c r="M1" s="297"/>
      <c r="N1" s="297"/>
      <c r="O1" s="298"/>
      <c r="P1" s="28"/>
      <c r="Q1" s="29"/>
    </row>
    <row r="2" spans="1:17" ht="28.05" customHeight="1">
      <c r="A2" s="30" t="s">
        <v>868</v>
      </c>
      <c r="B2" s="31" t="s">
        <v>869</v>
      </c>
      <c r="C2" s="31" t="s">
        <v>870</v>
      </c>
      <c r="D2" s="31" t="s">
        <v>871</v>
      </c>
      <c r="E2" s="31" t="s">
        <v>872</v>
      </c>
      <c r="F2" s="31" t="s">
        <v>873</v>
      </c>
      <c r="G2" s="31" t="s">
        <v>871</v>
      </c>
      <c r="H2" s="31" t="s">
        <v>872</v>
      </c>
      <c r="I2" s="31" t="s">
        <v>873</v>
      </c>
      <c r="J2" s="31" t="s">
        <v>874</v>
      </c>
      <c r="K2" s="31" t="s">
        <v>875</v>
      </c>
      <c r="L2" s="31" t="s">
        <v>876</v>
      </c>
      <c r="M2" s="31"/>
      <c r="N2" s="32" t="s">
        <v>877</v>
      </c>
      <c r="O2" s="31" t="s">
        <v>878</v>
      </c>
      <c r="P2" s="31"/>
      <c r="Q2" s="33"/>
    </row>
    <row r="3" spans="1:17" ht="51" customHeight="1">
      <c r="A3" s="34" t="s">
        <v>879</v>
      </c>
      <c r="B3" s="35" t="s">
        <v>880</v>
      </c>
      <c r="C3" s="36" t="s">
        <v>881</v>
      </c>
      <c r="D3" s="37"/>
      <c r="E3" s="37"/>
      <c r="F3" s="37">
        <v>63711694.799999997</v>
      </c>
      <c r="G3" s="37"/>
      <c r="H3" s="37"/>
      <c r="I3" s="37"/>
      <c r="J3" s="37">
        <v>54000000</v>
      </c>
      <c r="K3" s="37">
        <f>N3/J3</f>
        <v>1.10266</v>
      </c>
      <c r="L3" s="37"/>
      <c r="M3" s="37">
        <f t="shared" ref="M3:M34" si="0">F3/N3</f>
        <v>1.0699999999999998</v>
      </c>
      <c r="N3" s="37">
        <v>59543640</v>
      </c>
      <c r="O3" s="37">
        <f>N3/J3</f>
        <v>1.10266</v>
      </c>
      <c r="P3" s="38"/>
      <c r="Q3" s="39"/>
    </row>
    <row r="4" spans="1:17" ht="51" customHeight="1">
      <c r="A4" s="40" t="s">
        <v>882</v>
      </c>
      <c r="B4" s="41" t="s">
        <v>883</v>
      </c>
      <c r="C4" s="42" t="s">
        <v>881</v>
      </c>
      <c r="D4" s="43"/>
      <c r="E4" s="43"/>
      <c r="F4" s="43">
        <f>N4*1.07</f>
        <v>128697623.49600001</v>
      </c>
      <c r="G4" s="43"/>
      <c r="H4" s="43"/>
      <c r="I4" s="43"/>
      <c r="J4" s="43">
        <v>109080000</v>
      </c>
      <c r="K4" s="43">
        <f>N4/J4</f>
        <v>1.10266</v>
      </c>
      <c r="L4" s="43"/>
      <c r="M4" s="43">
        <f t="shared" si="0"/>
        <v>1.07</v>
      </c>
      <c r="N4" s="43">
        <v>120278152.8</v>
      </c>
      <c r="O4" s="43">
        <f>N4/J4</f>
        <v>1.10266</v>
      </c>
      <c r="P4" s="44"/>
      <c r="Q4" s="45"/>
    </row>
    <row r="5" spans="1:17" ht="51" customHeight="1">
      <c r="A5" s="46" t="s">
        <v>884</v>
      </c>
      <c r="B5" s="47" t="s">
        <v>885</v>
      </c>
      <c r="C5" s="48" t="s">
        <v>881</v>
      </c>
      <c r="D5" s="49"/>
      <c r="E5" s="49"/>
      <c r="F5" s="49">
        <f>N5*1.07</f>
        <v>141652334.77200001</v>
      </c>
      <c r="G5" s="49"/>
      <c r="H5" s="49"/>
      <c r="I5" s="49"/>
      <c r="J5" s="49">
        <v>120060000</v>
      </c>
      <c r="K5" s="49">
        <f>N5/J5</f>
        <v>1.10266</v>
      </c>
      <c r="L5" s="49"/>
      <c r="M5" s="49">
        <f t="shared" si="0"/>
        <v>1.07</v>
      </c>
      <c r="N5" s="49">
        <v>132385359.59999999</v>
      </c>
      <c r="O5" s="49">
        <f>N5/J5</f>
        <v>1.10266</v>
      </c>
      <c r="P5" s="50"/>
      <c r="Q5" s="39"/>
    </row>
    <row r="6" spans="1:17" ht="51" customHeight="1">
      <c r="A6" s="40" t="s">
        <v>886</v>
      </c>
      <c r="B6" s="41" t="s">
        <v>887</v>
      </c>
      <c r="C6" s="42" t="s">
        <v>881</v>
      </c>
      <c r="D6" s="43"/>
      <c r="E6" s="43"/>
      <c r="F6" s="43">
        <f>N6*1.07</f>
        <v>160765843.21200001</v>
      </c>
      <c r="G6" s="43"/>
      <c r="H6" s="43"/>
      <c r="I6" s="43"/>
      <c r="J6" s="43">
        <v>136260000</v>
      </c>
      <c r="K6" s="43">
        <f>N6/J6</f>
        <v>1.10266</v>
      </c>
      <c r="L6" s="43"/>
      <c r="M6" s="43">
        <f t="shared" si="0"/>
        <v>1.07</v>
      </c>
      <c r="N6" s="43">
        <v>150248451.59999999</v>
      </c>
      <c r="O6" s="43">
        <f>N6/J6</f>
        <v>1.10266</v>
      </c>
      <c r="P6" s="44"/>
      <c r="Q6" s="45"/>
    </row>
    <row r="7" spans="1:17" ht="51" customHeight="1">
      <c r="A7" s="46" t="s">
        <v>888</v>
      </c>
      <c r="B7" s="47" t="s">
        <v>889</v>
      </c>
      <c r="C7" s="48" t="s">
        <v>881</v>
      </c>
      <c r="D7" s="49"/>
      <c r="E7" s="49"/>
      <c r="F7" s="49">
        <f>N7*1.07</f>
        <v>0</v>
      </c>
      <c r="G7" s="49"/>
      <c r="H7" s="49"/>
      <c r="I7" s="49"/>
      <c r="J7" s="49"/>
      <c r="K7" s="49"/>
      <c r="L7" s="49"/>
      <c r="M7" s="49" t="e">
        <f t="shared" si="0"/>
        <v>#DIV/0!</v>
      </c>
      <c r="N7" s="49"/>
      <c r="O7" s="49"/>
      <c r="P7" s="50"/>
      <c r="Q7" s="39"/>
    </row>
    <row r="8" spans="1:17" ht="51" customHeight="1">
      <c r="A8" s="40" t="s">
        <v>890</v>
      </c>
      <c r="B8" s="41" t="s">
        <v>891</v>
      </c>
      <c r="C8" s="42" t="s">
        <v>881</v>
      </c>
      <c r="D8" s="43"/>
      <c r="E8" s="43"/>
      <c r="F8" s="43"/>
      <c r="G8" s="43"/>
      <c r="H8" s="43"/>
      <c r="I8" s="43"/>
      <c r="J8" s="43"/>
      <c r="K8" s="43"/>
      <c r="L8" s="43"/>
      <c r="M8" s="43" t="e">
        <f t="shared" si="0"/>
        <v>#DIV/0!</v>
      </c>
      <c r="N8" s="43"/>
      <c r="O8" s="43"/>
      <c r="P8" s="44"/>
      <c r="Q8" s="45"/>
    </row>
    <row r="9" spans="1:17" ht="51" customHeight="1">
      <c r="A9" s="46" t="s">
        <v>892</v>
      </c>
      <c r="B9" s="47" t="s">
        <v>893</v>
      </c>
      <c r="C9" s="48" t="s">
        <v>881</v>
      </c>
      <c r="D9" s="49"/>
      <c r="E9" s="49"/>
      <c r="F9" s="49"/>
      <c r="G9" s="49"/>
      <c r="H9" s="49"/>
      <c r="I9" s="49"/>
      <c r="J9" s="49"/>
      <c r="K9" s="49"/>
      <c r="L9" s="49"/>
      <c r="M9" s="49" t="e">
        <f t="shared" si="0"/>
        <v>#DIV/0!</v>
      </c>
      <c r="N9" s="49"/>
      <c r="O9" s="49"/>
      <c r="P9" s="50"/>
      <c r="Q9" s="39"/>
    </row>
    <row r="10" spans="1:17" ht="51" customHeight="1">
      <c r="A10" s="40" t="s">
        <v>894</v>
      </c>
      <c r="B10" s="41" t="s">
        <v>895</v>
      </c>
      <c r="C10" s="42" t="s">
        <v>881</v>
      </c>
      <c r="D10" s="43"/>
      <c r="E10" s="43"/>
      <c r="F10" s="43"/>
      <c r="G10" s="43"/>
      <c r="H10" s="43"/>
      <c r="I10" s="43"/>
      <c r="J10" s="43"/>
      <c r="K10" s="43"/>
      <c r="L10" s="43"/>
      <c r="M10" s="43" t="e">
        <f t="shared" si="0"/>
        <v>#DIV/0!</v>
      </c>
      <c r="N10" s="43"/>
      <c r="O10" s="43"/>
      <c r="P10" s="44"/>
      <c r="Q10" s="45"/>
    </row>
    <row r="11" spans="1:17" ht="51" customHeight="1">
      <c r="A11" s="46" t="s">
        <v>896</v>
      </c>
      <c r="B11" s="47" t="s">
        <v>897</v>
      </c>
      <c r="C11" s="48" t="s">
        <v>881</v>
      </c>
      <c r="D11" s="49"/>
      <c r="E11" s="49"/>
      <c r="F11" s="49">
        <f t="shared" ref="F11:F23" si="1">N11*1.07</f>
        <v>159279237</v>
      </c>
      <c r="G11" s="49"/>
      <c r="H11" s="49"/>
      <c r="I11" s="49"/>
      <c r="J11" s="49">
        <v>135000000</v>
      </c>
      <c r="K11" s="49">
        <f t="shared" ref="K11:K58" si="2">N11/J11</f>
        <v>1.10266</v>
      </c>
      <c r="L11" s="49"/>
      <c r="M11" s="49">
        <f t="shared" si="0"/>
        <v>1.07</v>
      </c>
      <c r="N11" s="49">
        <v>148859100</v>
      </c>
      <c r="O11" s="49">
        <f t="shared" ref="O11:O58" si="3">N11/J11</f>
        <v>1.10266</v>
      </c>
      <c r="P11" s="50"/>
      <c r="Q11" s="39"/>
    </row>
    <row r="12" spans="1:17" ht="51" customHeight="1">
      <c r="A12" s="40" t="s">
        <v>898</v>
      </c>
      <c r="B12" s="41" t="s">
        <v>899</v>
      </c>
      <c r="C12" s="42" t="s">
        <v>881</v>
      </c>
      <c r="D12" s="43"/>
      <c r="E12" s="43"/>
      <c r="F12" s="43">
        <f t="shared" si="1"/>
        <v>171809203.64399999</v>
      </c>
      <c r="G12" s="43"/>
      <c r="H12" s="43"/>
      <c r="I12" s="43"/>
      <c r="J12" s="43">
        <v>145620000</v>
      </c>
      <c r="K12" s="43">
        <f t="shared" si="2"/>
        <v>1.10266</v>
      </c>
      <c r="L12" s="43"/>
      <c r="M12" s="43">
        <f t="shared" si="0"/>
        <v>1.07</v>
      </c>
      <c r="N12" s="43">
        <v>160569349.19999999</v>
      </c>
      <c r="O12" s="43">
        <f t="shared" si="3"/>
        <v>1.10266</v>
      </c>
      <c r="P12" s="44"/>
      <c r="Q12" s="45"/>
    </row>
    <row r="13" spans="1:17" ht="51" customHeight="1">
      <c r="A13" s="46" t="s">
        <v>900</v>
      </c>
      <c r="B13" s="47" t="s">
        <v>901</v>
      </c>
      <c r="C13" s="48" t="s">
        <v>881</v>
      </c>
      <c r="D13" s="49"/>
      <c r="E13" s="49"/>
      <c r="F13" s="49">
        <f t="shared" si="1"/>
        <v>183914425.65600002</v>
      </c>
      <c r="G13" s="49"/>
      <c r="H13" s="49"/>
      <c r="I13" s="49"/>
      <c r="J13" s="49">
        <v>155880000</v>
      </c>
      <c r="K13" s="49">
        <f t="shared" si="2"/>
        <v>1.10266</v>
      </c>
      <c r="L13" s="49"/>
      <c r="M13" s="49">
        <f t="shared" si="0"/>
        <v>1.07</v>
      </c>
      <c r="N13" s="49">
        <v>171882640.80000001</v>
      </c>
      <c r="O13" s="49">
        <f t="shared" si="3"/>
        <v>1.10266</v>
      </c>
      <c r="P13" s="50"/>
      <c r="Q13" s="39"/>
    </row>
    <row r="14" spans="1:17" ht="51" customHeight="1">
      <c r="A14" s="40" t="s">
        <v>902</v>
      </c>
      <c r="B14" s="41" t="s">
        <v>903</v>
      </c>
      <c r="C14" s="42" t="s">
        <v>881</v>
      </c>
      <c r="D14" s="43"/>
      <c r="E14" s="43"/>
      <c r="F14" s="43">
        <f t="shared" si="1"/>
        <v>212372316</v>
      </c>
      <c r="G14" s="43"/>
      <c r="H14" s="43"/>
      <c r="I14" s="43"/>
      <c r="J14" s="43">
        <v>180000000</v>
      </c>
      <c r="K14" s="43">
        <f t="shared" si="2"/>
        <v>1.10266</v>
      </c>
      <c r="L14" s="43"/>
      <c r="M14" s="43">
        <f t="shared" si="0"/>
        <v>1.07</v>
      </c>
      <c r="N14" s="43">
        <v>198478800</v>
      </c>
      <c r="O14" s="43">
        <f t="shared" si="3"/>
        <v>1.10266</v>
      </c>
      <c r="P14" s="44"/>
      <c r="Q14" s="45"/>
    </row>
    <row r="15" spans="1:17" ht="51" customHeight="1">
      <c r="A15" s="46" t="s">
        <v>904</v>
      </c>
      <c r="B15" s="47" t="s">
        <v>905</v>
      </c>
      <c r="C15" s="48" t="s">
        <v>881</v>
      </c>
      <c r="D15" s="49"/>
      <c r="E15" s="49"/>
      <c r="F15" s="49">
        <f t="shared" si="1"/>
        <v>355723629.30000001</v>
      </c>
      <c r="G15" s="49"/>
      <c r="H15" s="49"/>
      <c r="I15" s="49"/>
      <c r="J15" s="49">
        <v>301500000</v>
      </c>
      <c r="K15" s="49">
        <f t="shared" si="2"/>
        <v>1.10266</v>
      </c>
      <c r="L15" s="49"/>
      <c r="M15" s="49">
        <f t="shared" si="0"/>
        <v>1.07</v>
      </c>
      <c r="N15" s="49">
        <v>332451990</v>
      </c>
      <c r="O15" s="49">
        <f t="shared" si="3"/>
        <v>1.10266</v>
      </c>
      <c r="P15" s="50"/>
      <c r="Q15" s="39"/>
    </row>
    <row r="16" spans="1:17" ht="51" customHeight="1">
      <c r="A16" s="40" t="s">
        <v>906</v>
      </c>
      <c r="B16" s="41" t="s">
        <v>907</v>
      </c>
      <c r="C16" s="42" t="s">
        <v>881</v>
      </c>
      <c r="D16" s="43"/>
      <c r="E16" s="43"/>
      <c r="F16" s="43">
        <f t="shared" si="1"/>
        <v>204514540.30800003</v>
      </c>
      <c r="G16" s="43"/>
      <c r="H16" s="43"/>
      <c r="I16" s="43"/>
      <c r="J16" s="43">
        <v>173340000</v>
      </c>
      <c r="K16" s="43">
        <f t="shared" si="2"/>
        <v>1.10266</v>
      </c>
      <c r="L16" s="43"/>
      <c r="M16" s="43">
        <f t="shared" si="0"/>
        <v>1.07</v>
      </c>
      <c r="N16" s="43">
        <v>191135084.40000001</v>
      </c>
      <c r="O16" s="43">
        <f t="shared" si="3"/>
        <v>1.10266</v>
      </c>
      <c r="P16" s="44"/>
      <c r="Q16" s="45"/>
    </row>
    <row r="17" spans="1:17" ht="51" customHeight="1">
      <c r="A17" s="46" t="s">
        <v>908</v>
      </c>
      <c r="B17" s="47" t="s">
        <v>909</v>
      </c>
      <c r="C17" s="48" t="s">
        <v>881</v>
      </c>
      <c r="D17" s="49"/>
      <c r="E17" s="49"/>
      <c r="F17" s="49">
        <f t="shared" si="1"/>
        <v>216407390.00400001</v>
      </c>
      <c r="G17" s="49"/>
      <c r="H17" s="49"/>
      <c r="I17" s="49"/>
      <c r="J17" s="49">
        <v>183420000</v>
      </c>
      <c r="K17" s="49">
        <f t="shared" si="2"/>
        <v>1.10266</v>
      </c>
      <c r="L17" s="49"/>
      <c r="M17" s="49">
        <f t="shared" si="0"/>
        <v>1.07</v>
      </c>
      <c r="N17" s="49">
        <v>202249897.19999999</v>
      </c>
      <c r="O17" s="49">
        <f t="shared" si="3"/>
        <v>1.10266</v>
      </c>
      <c r="P17" s="50"/>
      <c r="Q17" s="39"/>
    </row>
    <row r="18" spans="1:17" ht="51" customHeight="1">
      <c r="A18" s="40" t="s">
        <v>910</v>
      </c>
      <c r="B18" s="41" t="s">
        <v>911</v>
      </c>
      <c r="C18" s="42" t="s">
        <v>881</v>
      </c>
      <c r="D18" s="43"/>
      <c r="E18" s="43"/>
      <c r="F18" s="43">
        <f t="shared" si="1"/>
        <v>236582760.02399999</v>
      </c>
      <c r="G18" s="43"/>
      <c r="H18" s="43"/>
      <c r="I18" s="43"/>
      <c r="J18" s="43">
        <v>200520000</v>
      </c>
      <c r="K18" s="43">
        <f t="shared" si="2"/>
        <v>1.10266</v>
      </c>
      <c r="L18" s="43"/>
      <c r="M18" s="43">
        <f t="shared" si="0"/>
        <v>1.07</v>
      </c>
      <c r="N18" s="43">
        <v>221105383.19999999</v>
      </c>
      <c r="O18" s="43">
        <f t="shared" si="3"/>
        <v>1.10266</v>
      </c>
      <c r="P18" s="44"/>
      <c r="Q18" s="45"/>
    </row>
    <row r="19" spans="1:17" ht="51" customHeight="1">
      <c r="A19" s="46" t="s">
        <v>912</v>
      </c>
      <c r="B19" s="47" t="s">
        <v>913</v>
      </c>
      <c r="C19" s="48" t="s">
        <v>881</v>
      </c>
      <c r="D19" s="49"/>
      <c r="E19" s="49"/>
      <c r="F19" s="49">
        <f t="shared" si="1"/>
        <v>435363247.80000001</v>
      </c>
      <c r="G19" s="49"/>
      <c r="H19" s="49"/>
      <c r="I19" s="49"/>
      <c r="J19" s="49">
        <v>369000000</v>
      </c>
      <c r="K19" s="49">
        <f t="shared" si="2"/>
        <v>1.10266</v>
      </c>
      <c r="L19" s="49"/>
      <c r="M19" s="49">
        <f t="shared" si="0"/>
        <v>1.07</v>
      </c>
      <c r="N19" s="49">
        <v>406881540</v>
      </c>
      <c r="O19" s="49">
        <f t="shared" si="3"/>
        <v>1.10266</v>
      </c>
      <c r="P19" s="50"/>
      <c r="Q19" s="39"/>
    </row>
    <row r="20" spans="1:17" ht="51" customHeight="1">
      <c r="A20" s="40" t="s">
        <v>914</v>
      </c>
      <c r="B20" s="41" t="s">
        <v>915</v>
      </c>
      <c r="C20" s="42" t="s">
        <v>881</v>
      </c>
      <c r="D20" s="43"/>
      <c r="E20" s="43"/>
      <c r="F20" s="43">
        <f t="shared" si="1"/>
        <v>263554044.15600002</v>
      </c>
      <c r="G20" s="43"/>
      <c r="H20" s="43"/>
      <c r="I20" s="43"/>
      <c r="J20" s="43">
        <v>223380000</v>
      </c>
      <c r="K20" s="43">
        <f t="shared" si="2"/>
        <v>1.10266</v>
      </c>
      <c r="L20" s="43"/>
      <c r="M20" s="43">
        <f t="shared" si="0"/>
        <v>1.07</v>
      </c>
      <c r="N20" s="43">
        <v>246312190.80000001</v>
      </c>
      <c r="O20" s="43">
        <f t="shared" si="3"/>
        <v>1.10266</v>
      </c>
      <c r="P20" s="44"/>
      <c r="Q20" s="45"/>
    </row>
    <row r="21" spans="1:17" ht="51" customHeight="1">
      <c r="A21" s="46" t="s">
        <v>916</v>
      </c>
      <c r="B21" s="47" t="s">
        <v>917</v>
      </c>
      <c r="C21" s="48" t="s">
        <v>881</v>
      </c>
      <c r="D21" s="49"/>
      <c r="E21" s="49"/>
      <c r="F21" s="49">
        <f t="shared" si="1"/>
        <v>277995361.64399999</v>
      </c>
      <c r="G21" s="49"/>
      <c r="H21" s="49"/>
      <c r="I21" s="49"/>
      <c r="J21" s="49">
        <v>235620000</v>
      </c>
      <c r="K21" s="49">
        <f t="shared" si="2"/>
        <v>1.10266</v>
      </c>
      <c r="L21" s="49"/>
      <c r="M21" s="49">
        <f t="shared" si="0"/>
        <v>1.07</v>
      </c>
      <c r="N21" s="49">
        <v>259808749.19999999</v>
      </c>
      <c r="O21" s="49">
        <f t="shared" si="3"/>
        <v>1.10266</v>
      </c>
      <c r="P21" s="50"/>
      <c r="Q21" s="39"/>
    </row>
    <row r="22" spans="1:17" ht="51" customHeight="1">
      <c r="A22" s="40" t="s">
        <v>918</v>
      </c>
      <c r="B22" s="41" t="s">
        <v>919</v>
      </c>
      <c r="C22" s="42" t="s">
        <v>881</v>
      </c>
      <c r="D22" s="43"/>
      <c r="E22" s="43"/>
      <c r="F22" s="43">
        <f t="shared" si="1"/>
        <v>300506827.14000005</v>
      </c>
      <c r="G22" s="43"/>
      <c r="H22" s="43"/>
      <c r="I22" s="43"/>
      <c r="J22" s="43">
        <v>254700000</v>
      </c>
      <c r="K22" s="43">
        <f t="shared" si="2"/>
        <v>1.10266</v>
      </c>
      <c r="L22" s="43"/>
      <c r="M22" s="43">
        <f t="shared" si="0"/>
        <v>1.07</v>
      </c>
      <c r="N22" s="43">
        <v>280847502</v>
      </c>
      <c r="O22" s="43">
        <f t="shared" si="3"/>
        <v>1.10266</v>
      </c>
      <c r="P22" s="44"/>
      <c r="Q22" s="45"/>
    </row>
    <row r="23" spans="1:17" ht="51" customHeight="1">
      <c r="A23" s="46" t="s">
        <v>920</v>
      </c>
      <c r="B23" s="47" t="s">
        <v>921</v>
      </c>
      <c r="C23" s="48" t="s">
        <v>881</v>
      </c>
      <c r="D23" s="49"/>
      <c r="E23" s="49"/>
      <c r="F23" s="49">
        <f t="shared" si="1"/>
        <v>708898790.80799997</v>
      </c>
      <c r="G23" s="49"/>
      <c r="H23" s="49"/>
      <c r="I23" s="49"/>
      <c r="J23" s="49">
        <v>600840000</v>
      </c>
      <c r="K23" s="49">
        <f t="shared" si="2"/>
        <v>1.10266</v>
      </c>
      <c r="L23" s="49"/>
      <c r="M23" s="49">
        <f t="shared" si="0"/>
        <v>1.07</v>
      </c>
      <c r="N23" s="49">
        <v>662522234.39999998</v>
      </c>
      <c r="O23" s="49">
        <f t="shared" si="3"/>
        <v>1.10266</v>
      </c>
      <c r="P23" s="50"/>
      <c r="Q23" s="39"/>
    </row>
    <row r="24" spans="1:17" ht="51" customHeight="1">
      <c r="A24" s="40">
        <v>32280901</v>
      </c>
      <c r="B24" s="41" t="s">
        <v>922</v>
      </c>
      <c r="C24" s="42" t="s">
        <v>881</v>
      </c>
      <c r="D24" s="43"/>
      <c r="E24" s="43">
        <v>41318000</v>
      </c>
      <c r="F24" s="43">
        <v>41318000</v>
      </c>
      <c r="G24" s="43">
        <v>38025161</v>
      </c>
      <c r="H24" s="43">
        <v>43800000</v>
      </c>
      <c r="I24" s="43">
        <v>43800000</v>
      </c>
      <c r="J24" s="43">
        <v>29098000</v>
      </c>
      <c r="K24" s="43">
        <f t="shared" si="2"/>
        <v>1.3270671523816069</v>
      </c>
      <c r="L24" s="43"/>
      <c r="M24" s="43">
        <f t="shared" si="0"/>
        <v>1.0699987051663862</v>
      </c>
      <c r="N24" s="43">
        <v>38615000</v>
      </c>
      <c r="O24" s="43">
        <f t="shared" si="3"/>
        <v>1.3270671523816069</v>
      </c>
      <c r="P24" s="44"/>
      <c r="Q24" s="45"/>
    </row>
    <row r="25" spans="1:17" ht="51" customHeight="1">
      <c r="A25" s="46">
        <v>32280902</v>
      </c>
      <c r="B25" s="47" t="s">
        <v>923</v>
      </c>
      <c r="C25" s="48" t="s">
        <v>881</v>
      </c>
      <c r="D25" s="49"/>
      <c r="E25" s="49">
        <v>45837000</v>
      </c>
      <c r="F25" s="49">
        <v>45837000</v>
      </c>
      <c r="G25" s="49">
        <v>42184462</v>
      </c>
      <c r="H25" s="49">
        <v>48511600</v>
      </c>
      <c r="I25" s="49">
        <v>48511600</v>
      </c>
      <c r="J25" s="49">
        <v>32234400</v>
      </c>
      <c r="K25" s="49">
        <f t="shared" si="2"/>
        <v>1.3289529198620107</v>
      </c>
      <c r="L25" s="49"/>
      <c r="M25" s="49">
        <f t="shared" si="0"/>
        <v>1.0700079368784723</v>
      </c>
      <c r="N25" s="49">
        <v>42838000</v>
      </c>
      <c r="O25" s="49">
        <f t="shared" si="3"/>
        <v>1.3289529198620107</v>
      </c>
      <c r="P25" s="50"/>
      <c r="Q25" s="39"/>
    </row>
    <row r="26" spans="1:17" ht="51" customHeight="1">
      <c r="A26" s="40">
        <v>32280903</v>
      </c>
      <c r="B26" s="41" t="s">
        <v>924</v>
      </c>
      <c r="C26" s="42" t="s">
        <v>881</v>
      </c>
      <c r="D26" s="43"/>
      <c r="E26" s="43">
        <v>56167000</v>
      </c>
      <c r="F26" s="43">
        <v>56167000</v>
      </c>
      <c r="G26" s="43"/>
      <c r="H26" s="43"/>
      <c r="I26" s="43"/>
      <c r="J26" s="43">
        <v>39497400</v>
      </c>
      <c r="K26" s="43">
        <f t="shared" si="2"/>
        <v>1.3289988708117497</v>
      </c>
      <c r="L26" s="43"/>
      <c r="M26" s="43">
        <f t="shared" si="0"/>
        <v>1.0700106682923112</v>
      </c>
      <c r="N26" s="43">
        <v>52492000</v>
      </c>
      <c r="O26" s="43">
        <f t="shared" si="3"/>
        <v>1.3289988708117497</v>
      </c>
      <c r="P26" s="44"/>
      <c r="Q26" s="45"/>
    </row>
    <row r="27" spans="1:17" ht="51" customHeight="1">
      <c r="A27" s="46">
        <v>32280904</v>
      </c>
      <c r="B27" s="47" t="s">
        <v>925</v>
      </c>
      <c r="C27" s="48" t="s">
        <v>881</v>
      </c>
      <c r="D27" s="49"/>
      <c r="E27" s="49">
        <v>37444000</v>
      </c>
      <c r="F27" s="49">
        <v>37444000</v>
      </c>
      <c r="G27" s="49"/>
      <c r="H27" s="49"/>
      <c r="I27" s="49"/>
      <c r="J27" s="49">
        <v>26332200</v>
      </c>
      <c r="K27" s="49">
        <f t="shared" si="2"/>
        <v>1.3289812472941873</v>
      </c>
      <c r="L27" s="49"/>
      <c r="M27" s="49">
        <f t="shared" si="0"/>
        <v>1.0699814259179883</v>
      </c>
      <c r="N27" s="49">
        <v>34995000</v>
      </c>
      <c r="O27" s="49">
        <f t="shared" si="3"/>
        <v>1.3289812472941873</v>
      </c>
      <c r="P27" s="50"/>
      <c r="Q27" s="39"/>
    </row>
    <row r="28" spans="1:17" ht="51" customHeight="1">
      <c r="A28" s="40">
        <v>32280905</v>
      </c>
      <c r="B28" s="41" t="s">
        <v>926</v>
      </c>
      <c r="C28" s="42" t="s">
        <v>881</v>
      </c>
      <c r="D28" s="43"/>
      <c r="E28" s="43">
        <v>42609000</v>
      </c>
      <c r="F28" s="43">
        <v>42609000</v>
      </c>
      <c r="G28" s="43">
        <v>39214045</v>
      </c>
      <c r="H28" s="43">
        <v>45096100</v>
      </c>
      <c r="I28" s="43">
        <v>45096100</v>
      </c>
      <c r="J28" s="43">
        <v>29964600</v>
      </c>
      <c r="K28" s="43">
        <f t="shared" si="2"/>
        <v>1.3289681824552972</v>
      </c>
      <c r="L28" s="43"/>
      <c r="M28" s="43">
        <f t="shared" si="0"/>
        <v>1.0699864396564713</v>
      </c>
      <c r="N28" s="43">
        <v>39822000</v>
      </c>
      <c r="O28" s="43">
        <f t="shared" si="3"/>
        <v>1.3289681824552972</v>
      </c>
      <c r="P28" s="44"/>
      <c r="Q28" s="45"/>
    </row>
    <row r="29" spans="1:17" ht="51" customHeight="1">
      <c r="A29" s="46">
        <v>32280906</v>
      </c>
      <c r="B29" s="47" t="s">
        <v>927</v>
      </c>
      <c r="C29" s="48" t="s">
        <v>881</v>
      </c>
      <c r="D29" s="49"/>
      <c r="E29" s="49">
        <v>49711000</v>
      </c>
      <c r="F29" s="49">
        <v>49711000</v>
      </c>
      <c r="G29" s="49">
        <v>45749918</v>
      </c>
      <c r="H29" s="49">
        <v>52700000</v>
      </c>
      <c r="I29" s="49">
        <v>52700000</v>
      </c>
      <c r="J29" s="49">
        <v>34957800</v>
      </c>
      <c r="K29" s="49">
        <f t="shared" si="2"/>
        <v>1.3290023971760236</v>
      </c>
      <c r="L29" s="49"/>
      <c r="M29" s="49">
        <f t="shared" si="0"/>
        <v>1.069997201833875</v>
      </c>
      <c r="N29" s="49">
        <v>46459000</v>
      </c>
      <c r="O29" s="49">
        <f t="shared" si="3"/>
        <v>1.3290023971760236</v>
      </c>
      <c r="P29" s="50"/>
      <c r="Q29" s="39"/>
    </row>
    <row r="30" spans="1:17" ht="51" customHeight="1">
      <c r="A30" s="40">
        <v>32280907</v>
      </c>
      <c r="B30" s="41" t="s">
        <v>928</v>
      </c>
      <c r="C30" s="42" t="s">
        <v>881</v>
      </c>
      <c r="D30" s="43"/>
      <c r="E30" s="43">
        <v>57587000</v>
      </c>
      <c r="F30" s="43">
        <v>57587000</v>
      </c>
      <c r="G30" s="43">
        <v>52997927</v>
      </c>
      <c r="H30" s="43">
        <v>60950000</v>
      </c>
      <c r="I30" s="43">
        <v>60950000</v>
      </c>
      <c r="J30" s="43">
        <v>40496400</v>
      </c>
      <c r="K30" s="43">
        <f t="shared" si="2"/>
        <v>1.3290070228464752</v>
      </c>
      <c r="L30" s="43"/>
      <c r="M30" s="43">
        <f t="shared" si="0"/>
        <v>1.0699925678186548</v>
      </c>
      <c r="N30" s="43">
        <v>53820000</v>
      </c>
      <c r="O30" s="43">
        <f t="shared" si="3"/>
        <v>1.3290070228464752</v>
      </c>
      <c r="P30" s="44"/>
      <c r="Q30" s="45"/>
    </row>
    <row r="31" spans="1:17" ht="51" customHeight="1">
      <c r="A31" s="46">
        <v>32280908</v>
      </c>
      <c r="B31" s="47" t="s">
        <v>929</v>
      </c>
      <c r="C31" s="48" t="s">
        <v>881</v>
      </c>
      <c r="D31" s="49"/>
      <c r="E31" s="49">
        <v>78762000</v>
      </c>
      <c r="F31" s="49">
        <v>78762000</v>
      </c>
      <c r="G31" s="49"/>
      <c r="H31" s="49"/>
      <c r="I31" s="49"/>
      <c r="J31" s="49">
        <v>55387800</v>
      </c>
      <c r="K31" s="49">
        <f t="shared" si="2"/>
        <v>1.3289930273453721</v>
      </c>
      <c r="L31" s="49"/>
      <c r="M31" s="49">
        <f t="shared" si="0"/>
        <v>1.0699904904224971</v>
      </c>
      <c r="N31" s="49">
        <v>73610000</v>
      </c>
      <c r="O31" s="49">
        <f t="shared" si="3"/>
        <v>1.3289930273453721</v>
      </c>
      <c r="P31" s="50"/>
      <c r="Q31" s="39"/>
    </row>
    <row r="32" spans="1:17" ht="51" customHeight="1">
      <c r="A32" s="40">
        <v>32280909</v>
      </c>
      <c r="B32" s="41" t="s">
        <v>930</v>
      </c>
      <c r="C32" s="42" t="s">
        <v>881</v>
      </c>
      <c r="D32" s="43"/>
      <c r="E32" s="43">
        <v>47128000</v>
      </c>
      <c r="F32" s="43">
        <v>47128000</v>
      </c>
      <c r="G32" s="43">
        <v>43373345</v>
      </c>
      <c r="H32" s="43">
        <v>49880000</v>
      </c>
      <c r="I32" s="43">
        <v>49880000</v>
      </c>
      <c r="J32" s="43">
        <v>33141600</v>
      </c>
      <c r="K32" s="43">
        <f t="shared" si="2"/>
        <v>1.3289943756487315</v>
      </c>
      <c r="L32" s="43"/>
      <c r="M32" s="43">
        <f t="shared" si="0"/>
        <v>1.069996594392099</v>
      </c>
      <c r="N32" s="43">
        <v>44045000</v>
      </c>
      <c r="O32" s="43">
        <f t="shared" si="3"/>
        <v>1.3289943756487315</v>
      </c>
      <c r="P32" s="44"/>
      <c r="Q32" s="45"/>
    </row>
    <row r="33" spans="1:17" ht="51" customHeight="1">
      <c r="A33" s="46">
        <v>32280910</v>
      </c>
      <c r="B33" s="47" t="s">
        <v>931</v>
      </c>
      <c r="C33" s="48" t="s">
        <v>881</v>
      </c>
      <c r="D33" s="49"/>
      <c r="E33" s="49">
        <v>53584000</v>
      </c>
      <c r="F33" s="49">
        <v>53584000</v>
      </c>
      <c r="G33" s="49">
        <v>49314179</v>
      </c>
      <c r="H33" s="49">
        <v>56711000</v>
      </c>
      <c r="I33" s="49">
        <v>56711000</v>
      </c>
      <c r="J33" s="49">
        <v>37683000</v>
      </c>
      <c r="K33" s="49">
        <f t="shared" si="2"/>
        <v>1.328954701058833</v>
      </c>
      <c r="L33" s="49"/>
      <c r="M33" s="49">
        <f t="shared" si="0"/>
        <v>1.06998941672158</v>
      </c>
      <c r="N33" s="49">
        <v>50079000</v>
      </c>
      <c r="O33" s="49">
        <f t="shared" si="3"/>
        <v>1.328954701058833</v>
      </c>
      <c r="P33" s="50"/>
      <c r="Q33" s="39"/>
    </row>
    <row r="34" spans="1:17" ht="51" customHeight="1">
      <c r="A34" s="40">
        <v>32280911</v>
      </c>
      <c r="B34" s="41" t="s">
        <v>932</v>
      </c>
      <c r="C34" s="42" t="s">
        <v>881</v>
      </c>
      <c r="D34" s="43"/>
      <c r="E34" s="43">
        <v>63268000</v>
      </c>
      <c r="F34" s="43">
        <v>63268000</v>
      </c>
      <c r="G34" s="43">
        <v>58226625</v>
      </c>
      <c r="H34" s="43">
        <v>66970000</v>
      </c>
      <c r="I34" s="43">
        <v>66970000</v>
      </c>
      <c r="J34" s="43">
        <v>44492400</v>
      </c>
      <c r="K34" s="43">
        <f t="shared" si="2"/>
        <v>1.3289685429421654</v>
      </c>
      <c r="L34" s="43"/>
      <c r="M34" s="43">
        <f t="shared" si="0"/>
        <v>1.0699994926347478</v>
      </c>
      <c r="N34" s="43">
        <v>59129000</v>
      </c>
      <c r="O34" s="43">
        <f t="shared" si="3"/>
        <v>1.3289685429421654</v>
      </c>
      <c r="P34" s="44"/>
      <c r="Q34" s="45"/>
    </row>
    <row r="35" spans="1:17" ht="51" customHeight="1">
      <c r="A35" s="46">
        <v>32280912</v>
      </c>
      <c r="B35" s="47" t="s">
        <v>933</v>
      </c>
      <c r="C35" s="48" t="s">
        <v>881</v>
      </c>
      <c r="D35" s="49"/>
      <c r="E35" s="49">
        <v>88479000</v>
      </c>
      <c r="F35" s="49">
        <v>88479000</v>
      </c>
      <c r="G35" s="49"/>
      <c r="H35" s="49"/>
      <c r="I35" s="49"/>
      <c r="J35" s="49">
        <v>60654600</v>
      </c>
      <c r="K35" s="49">
        <f t="shared" si="2"/>
        <v>1.3633096253210804</v>
      </c>
      <c r="L35" s="49"/>
      <c r="M35" s="49">
        <f t="shared" ref="M35:M66" si="4">F35/N35</f>
        <v>1.0699955255106359</v>
      </c>
      <c r="N35" s="49">
        <v>82691000</v>
      </c>
      <c r="O35" s="49">
        <f t="shared" si="3"/>
        <v>1.3633096253210804</v>
      </c>
      <c r="P35" s="50"/>
      <c r="Q35" s="39"/>
    </row>
    <row r="36" spans="1:17" ht="51" customHeight="1">
      <c r="A36" s="40">
        <v>32280913</v>
      </c>
      <c r="B36" s="41" t="s">
        <v>934</v>
      </c>
      <c r="C36" s="42" t="s">
        <v>881</v>
      </c>
      <c r="D36" s="43"/>
      <c r="E36" s="43">
        <v>46999000</v>
      </c>
      <c r="F36" s="43">
        <v>46999000</v>
      </c>
      <c r="G36" s="43"/>
      <c r="H36" s="43"/>
      <c r="I36" s="43"/>
      <c r="J36" s="43">
        <v>33051600</v>
      </c>
      <c r="K36" s="43">
        <f t="shared" si="2"/>
        <v>1.3289523048808529</v>
      </c>
      <c r="L36" s="43"/>
      <c r="M36" s="43">
        <f t="shared" si="4"/>
        <v>1.0700072853109917</v>
      </c>
      <c r="N36" s="43">
        <v>43924000</v>
      </c>
      <c r="O36" s="43">
        <f t="shared" si="3"/>
        <v>1.3289523048808529</v>
      </c>
      <c r="P36" s="44"/>
      <c r="Q36" s="45"/>
    </row>
    <row r="37" spans="1:17" ht="51" customHeight="1">
      <c r="A37" s="46">
        <v>32280914</v>
      </c>
      <c r="B37" s="47" t="s">
        <v>935</v>
      </c>
      <c r="C37" s="48" t="s">
        <v>881</v>
      </c>
      <c r="D37" s="49"/>
      <c r="E37" s="49">
        <v>49065000</v>
      </c>
      <c r="F37" s="49">
        <v>49065000</v>
      </c>
      <c r="G37" s="49">
        <v>60020000</v>
      </c>
      <c r="H37" s="49">
        <v>69023000</v>
      </c>
      <c r="I37" s="49">
        <v>69023000</v>
      </c>
      <c r="J37" s="49">
        <v>34504200</v>
      </c>
      <c r="K37" s="49">
        <f t="shared" si="2"/>
        <v>1.3289686472951119</v>
      </c>
      <c r="L37" s="49"/>
      <c r="M37" s="49">
        <f t="shared" si="4"/>
        <v>1.0700032711808962</v>
      </c>
      <c r="N37" s="49">
        <v>45855000</v>
      </c>
      <c r="O37" s="49">
        <f t="shared" si="3"/>
        <v>1.3289686472951119</v>
      </c>
      <c r="P37" s="50"/>
      <c r="Q37" s="39"/>
    </row>
    <row r="38" spans="1:17" ht="51" customHeight="1">
      <c r="A38" s="40">
        <v>32280915</v>
      </c>
      <c r="B38" s="41" t="s">
        <v>936</v>
      </c>
      <c r="C38" s="42" t="s">
        <v>881</v>
      </c>
      <c r="D38" s="43"/>
      <c r="E38" s="43">
        <v>58749000</v>
      </c>
      <c r="F38" s="43">
        <v>58749000</v>
      </c>
      <c r="G38" s="43">
        <v>64067325</v>
      </c>
      <c r="H38" s="43">
        <v>73700000</v>
      </c>
      <c r="I38" s="43">
        <v>73700000</v>
      </c>
      <c r="J38" s="43">
        <v>41313600</v>
      </c>
      <c r="K38" s="43">
        <f t="shared" si="2"/>
        <v>1.3290054606715465</v>
      </c>
      <c r="L38" s="43"/>
      <c r="M38" s="43">
        <f t="shared" si="4"/>
        <v>1.06999235056278</v>
      </c>
      <c r="N38" s="43">
        <v>54906000</v>
      </c>
      <c r="O38" s="43">
        <f t="shared" si="3"/>
        <v>1.3290054606715465</v>
      </c>
      <c r="P38" s="44"/>
      <c r="Q38" s="45"/>
    </row>
    <row r="39" spans="1:17" ht="51" customHeight="1">
      <c r="A39" s="46">
        <v>32280916</v>
      </c>
      <c r="B39" s="47" t="s">
        <v>937</v>
      </c>
      <c r="C39" s="48" t="s">
        <v>881</v>
      </c>
      <c r="D39" s="49"/>
      <c r="E39" s="49">
        <v>74889000</v>
      </c>
      <c r="F39" s="49">
        <v>74889000</v>
      </c>
      <c r="G39" s="49">
        <v>68920604</v>
      </c>
      <c r="H39" s="49">
        <v>79258000</v>
      </c>
      <c r="I39" s="49">
        <v>79258000</v>
      </c>
      <c r="J39" s="49">
        <v>52664400</v>
      </c>
      <c r="K39" s="49">
        <f t="shared" si="2"/>
        <v>1.3289812472941873</v>
      </c>
      <c r="L39" s="49"/>
      <c r="M39" s="49">
        <f t="shared" si="4"/>
        <v>1.069995713673382</v>
      </c>
      <c r="N39" s="49">
        <v>69990000</v>
      </c>
      <c r="O39" s="49">
        <f t="shared" si="3"/>
        <v>1.3289812472941873</v>
      </c>
      <c r="P39" s="50"/>
      <c r="Q39" s="39"/>
    </row>
    <row r="40" spans="1:17" ht="51" customHeight="1">
      <c r="A40" s="40">
        <v>32280917</v>
      </c>
      <c r="B40" s="41" t="s">
        <v>938</v>
      </c>
      <c r="C40" s="42" t="s">
        <v>881</v>
      </c>
      <c r="D40" s="43"/>
      <c r="E40" s="43">
        <v>91393000</v>
      </c>
      <c r="F40" s="43">
        <v>91393000</v>
      </c>
      <c r="G40" s="43">
        <v>84109639</v>
      </c>
      <c r="H40" s="43">
        <v>96726084</v>
      </c>
      <c r="I40" s="43">
        <v>96726084</v>
      </c>
      <c r="J40" s="43">
        <v>62652600</v>
      </c>
      <c r="K40" s="43">
        <f t="shared" si="2"/>
        <v>1.3632953780050627</v>
      </c>
      <c r="L40" s="43"/>
      <c r="M40" s="43">
        <f t="shared" si="4"/>
        <v>1.0700002341536516</v>
      </c>
      <c r="N40" s="43">
        <v>85414000</v>
      </c>
      <c r="O40" s="43">
        <f t="shared" si="3"/>
        <v>1.3632953780050627</v>
      </c>
      <c r="P40" s="44"/>
      <c r="Q40" s="45"/>
    </row>
    <row r="41" spans="1:17" ht="51" customHeight="1">
      <c r="A41" s="46">
        <v>32280918</v>
      </c>
      <c r="B41" s="47" t="s">
        <v>939</v>
      </c>
      <c r="C41" s="48" t="s">
        <v>881</v>
      </c>
      <c r="D41" s="49"/>
      <c r="E41" s="49">
        <v>58103000</v>
      </c>
      <c r="F41" s="49">
        <v>58103000</v>
      </c>
      <c r="G41" s="49">
        <v>84990000</v>
      </c>
      <c r="H41" s="49">
        <v>98888500</v>
      </c>
      <c r="I41" s="49">
        <v>98888500</v>
      </c>
      <c r="J41" s="49">
        <v>40860000</v>
      </c>
      <c r="K41" s="49">
        <f t="shared" si="2"/>
        <v>1.3289769946157612</v>
      </c>
      <c r="L41" s="49"/>
      <c r="M41" s="49">
        <f t="shared" si="4"/>
        <v>1.0699974218260837</v>
      </c>
      <c r="N41" s="49">
        <v>54302000</v>
      </c>
      <c r="O41" s="49">
        <f t="shared" si="3"/>
        <v>1.3289769946157612</v>
      </c>
      <c r="P41" s="50"/>
      <c r="Q41" s="39"/>
    </row>
    <row r="42" spans="1:17" ht="51" customHeight="1">
      <c r="A42" s="40">
        <v>32280919</v>
      </c>
      <c r="B42" s="41" t="s">
        <v>940</v>
      </c>
      <c r="C42" s="42" t="s">
        <v>881</v>
      </c>
      <c r="D42" s="43"/>
      <c r="E42" s="43">
        <v>69724000</v>
      </c>
      <c r="F42" s="43">
        <v>69724000</v>
      </c>
      <c r="G42" s="43">
        <v>87125000</v>
      </c>
      <c r="H42" s="43">
        <v>100193750</v>
      </c>
      <c r="I42" s="43">
        <v>100193750</v>
      </c>
      <c r="J42" s="43">
        <v>49032000</v>
      </c>
      <c r="K42" s="43">
        <f t="shared" si="2"/>
        <v>1.3289892315222711</v>
      </c>
      <c r="L42" s="43"/>
      <c r="M42" s="43">
        <f t="shared" si="4"/>
        <v>1.069993708085877</v>
      </c>
      <c r="N42" s="43">
        <v>65163000</v>
      </c>
      <c r="O42" s="43">
        <f t="shared" si="3"/>
        <v>1.3289892315222711</v>
      </c>
      <c r="P42" s="44"/>
      <c r="Q42" s="45"/>
    </row>
    <row r="43" spans="1:17" ht="51" customHeight="1">
      <c r="A43" s="46">
        <v>32280920</v>
      </c>
      <c r="B43" s="47" t="s">
        <v>941</v>
      </c>
      <c r="C43" s="48" t="s">
        <v>881</v>
      </c>
      <c r="D43" s="49"/>
      <c r="E43" s="49">
        <v>87801000</v>
      </c>
      <c r="F43" s="49">
        <v>87801000</v>
      </c>
      <c r="G43" s="49">
        <v>89214000</v>
      </c>
      <c r="H43" s="49">
        <v>102596100</v>
      </c>
      <c r="I43" s="49">
        <v>102596100</v>
      </c>
      <c r="J43" s="49">
        <v>61743600</v>
      </c>
      <c r="K43" s="49">
        <f t="shared" si="2"/>
        <v>1.3289960416950097</v>
      </c>
      <c r="L43" s="49"/>
      <c r="M43" s="49">
        <f t="shared" si="4"/>
        <v>1.0700001218665074</v>
      </c>
      <c r="N43" s="49">
        <v>82057000</v>
      </c>
      <c r="O43" s="49">
        <f t="shared" si="3"/>
        <v>1.3289960416950097</v>
      </c>
      <c r="P43" s="50"/>
      <c r="Q43" s="39"/>
    </row>
    <row r="44" spans="1:17" ht="51" customHeight="1">
      <c r="A44" s="40">
        <v>32280921</v>
      </c>
      <c r="B44" s="41" t="s">
        <v>942</v>
      </c>
      <c r="C44" s="42" t="s">
        <v>881</v>
      </c>
      <c r="D44" s="43"/>
      <c r="E44" s="43">
        <v>108460000</v>
      </c>
      <c r="F44" s="43">
        <v>108460000</v>
      </c>
      <c r="G44" s="43">
        <v>99817242</v>
      </c>
      <c r="H44" s="43">
        <v>114789828</v>
      </c>
      <c r="I44" s="43">
        <v>114789828</v>
      </c>
      <c r="J44" s="43">
        <v>76273200</v>
      </c>
      <c r="K44" s="43">
        <f t="shared" si="2"/>
        <v>1.3289595821336984</v>
      </c>
      <c r="L44" s="43"/>
      <c r="M44" s="43">
        <f t="shared" si="4"/>
        <v>1.0700051300264393</v>
      </c>
      <c r="N44" s="43">
        <v>101364000</v>
      </c>
      <c r="O44" s="43">
        <f t="shared" si="3"/>
        <v>1.3289595821336984</v>
      </c>
      <c r="P44" s="44"/>
      <c r="Q44" s="45"/>
    </row>
    <row r="45" spans="1:17" ht="51" customHeight="1">
      <c r="A45" s="46">
        <v>32280922</v>
      </c>
      <c r="B45" s="47" t="s">
        <v>943</v>
      </c>
      <c r="C45" s="48" t="s">
        <v>881</v>
      </c>
      <c r="D45" s="49"/>
      <c r="E45" s="49">
        <v>170261000</v>
      </c>
      <c r="F45" s="49">
        <v>170261000</v>
      </c>
      <c r="G45" s="49"/>
      <c r="H45" s="49"/>
      <c r="I45" s="49"/>
      <c r="J45" s="49">
        <v>99880200</v>
      </c>
      <c r="K45" s="49">
        <f t="shared" si="2"/>
        <v>1.5931385800188627</v>
      </c>
      <c r="L45" s="49"/>
      <c r="M45" s="49">
        <f t="shared" si="4"/>
        <v>1.0699961664875599</v>
      </c>
      <c r="N45" s="49">
        <v>159123000</v>
      </c>
      <c r="O45" s="49">
        <f t="shared" si="3"/>
        <v>1.5931385800188627</v>
      </c>
      <c r="P45" s="50"/>
      <c r="Q45" s="39"/>
    </row>
    <row r="46" spans="1:17" ht="51" customHeight="1">
      <c r="A46" s="40">
        <v>32280923</v>
      </c>
      <c r="B46" s="41" t="s">
        <v>944</v>
      </c>
      <c r="C46" s="42" t="s">
        <v>881</v>
      </c>
      <c r="D46" s="43"/>
      <c r="E46" s="43">
        <v>74889000</v>
      </c>
      <c r="F46" s="43">
        <v>74889000</v>
      </c>
      <c r="G46" s="43"/>
      <c r="H46" s="43"/>
      <c r="I46" s="43"/>
      <c r="J46" s="43">
        <v>52664400</v>
      </c>
      <c r="K46" s="43">
        <f t="shared" si="2"/>
        <v>1.3289812472941873</v>
      </c>
      <c r="L46" s="43"/>
      <c r="M46" s="43">
        <f t="shared" si="4"/>
        <v>1.069995713673382</v>
      </c>
      <c r="N46" s="43">
        <v>69990000</v>
      </c>
      <c r="O46" s="43">
        <f t="shared" si="3"/>
        <v>1.3289812472941873</v>
      </c>
      <c r="P46" s="44"/>
      <c r="Q46" s="45"/>
    </row>
    <row r="47" spans="1:17" ht="51" customHeight="1">
      <c r="A47" s="46">
        <v>32280924</v>
      </c>
      <c r="B47" s="47" t="s">
        <v>945</v>
      </c>
      <c r="C47" s="48" t="s">
        <v>881</v>
      </c>
      <c r="D47" s="49"/>
      <c r="E47" s="49">
        <v>86673000</v>
      </c>
      <c r="F47" s="49">
        <v>86673000</v>
      </c>
      <c r="G47" s="49">
        <v>110000000</v>
      </c>
      <c r="H47" s="49">
        <v>126500000</v>
      </c>
      <c r="I47" s="49">
        <v>126500000</v>
      </c>
      <c r="J47" s="49">
        <v>57022200</v>
      </c>
      <c r="K47" s="49">
        <f t="shared" si="2"/>
        <v>1.4205519955385797</v>
      </c>
      <c r="L47" s="49"/>
      <c r="M47" s="49">
        <f t="shared" si="4"/>
        <v>1.0699974075034258</v>
      </c>
      <c r="N47" s="49">
        <v>81003000</v>
      </c>
      <c r="O47" s="49">
        <f t="shared" si="3"/>
        <v>1.4205519955385797</v>
      </c>
      <c r="P47" s="50"/>
      <c r="Q47" s="39"/>
    </row>
    <row r="48" spans="1:17" ht="51" customHeight="1">
      <c r="A48" s="40">
        <v>32280925</v>
      </c>
      <c r="B48" s="41" t="s">
        <v>946</v>
      </c>
      <c r="C48" s="42" t="s">
        <v>881</v>
      </c>
      <c r="D48" s="43"/>
      <c r="E48" s="43">
        <v>98776000</v>
      </c>
      <c r="F48" s="43">
        <v>98776000</v>
      </c>
      <c r="G48" s="43">
        <v>119850000</v>
      </c>
      <c r="H48" s="43">
        <v>137830000</v>
      </c>
      <c r="I48" s="43">
        <v>137830000</v>
      </c>
      <c r="J48" s="43">
        <v>69462000</v>
      </c>
      <c r="K48" s="43">
        <f t="shared" si="2"/>
        <v>1.3289856324321212</v>
      </c>
      <c r="L48" s="43"/>
      <c r="M48" s="43">
        <f t="shared" si="4"/>
        <v>1.0700002166518621</v>
      </c>
      <c r="N48" s="43">
        <v>92314000</v>
      </c>
      <c r="O48" s="43">
        <f t="shared" si="3"/>
        <v>1.3289856324321212</v>
      </c>
      <c r="P48" s="44"/>
      <c r="Q48" s="45"/>
    </row>
    <row r="49" spans="1:17" ht="51" customHeight="1">
      <c r="A49" s="46">
        <v>32280926</v>
      </c>
      <c r="B49" s="47" t="s">
        <v>947</v>
      </c>
      <c r="C49" s="48" t="s">
        <v>881</v>
      </c>
      <c r="D49" s="49"/>
      <c r="E49" s="49">
        <v>127827000</v>
      </c>
      <c r="F49" s="49">
        <v>127827000</v>
      </c>
      <c r="G49" s="49">
        <v>125200000</v>
      </c>
      <c r="H49" s="49">
        <v>144000000</v>
      </c>
      <c r="I49" s="49">
        <v>144000000</v>
      </c>
      <c r="J49" s="49">
        <v>89892000</v>
      </c>
      <c r="K49" s="49">
        <f t="shared" si="2"/>
        <v>1.3289836692920394</v>
      </c>
      <c r="L49" s="49"/>
      <c r="M49" s="49">
        <f t="shared" si="4"/>
        <v>1.0699953961411293</v>
      </c>
      <c r="N49" s="49">
        <v>119465000</v>
      </c>
      <c r="O49" s="49">
        <f t="shared" si="3"/>
        <v>1.3289836692920394</v>
      </c>
      <c r="P49" s="50"/>
      <c r="Q49" s="39"/>
    </row>
    <row r="50" spans="1:17" ht="51" customHeight="1">
      <c r="A50" s="40">
        <v>32280927</v>
      </c>
      <c r="B50" s="41" t="s">
        <v>948</v>
      </c>
      <c r="C50" s="42" t="s">
        <v>881</v>
      </c>
      <c r="D50" s="43"/>
      <c r="E50" s="43">
        <v>185740000</v>
      </c>
      <c r="F50" s="43">
        <v>185740000</v>
      </c>
      <c r="G50" s="43">
        <v>141100000</v>
      </c>
      <c r="H50" s="43">
        <v>162300000</v>
      </c>
      <c r="I50" s="43">
        <v>162300000</v>
      </c>
      <c r="J50" s="43">
        <v>108961200</v>
      </c>
      <c r="K50" s="43">
        <f t="shared" si="2"/>
        <v>1.5931175501004027</v>
      </c>
      <c r="L50" s="43"/>
      <c r="M50" s="43">
        <f t="shared" si="4"/>
        <v>1.0700048390441737</v>
      </c>
      <c r="N50" s="43">
        <v>173588000</v>
      </c>
      <c r="O50" s="43">
        <f t="shared" si="3"/>
        <v>1.5931175501004027</v>
      </c>
      <c r="P50" s="44"/>
      <c r="Q50" s="45"/>
    </row>
    <row r="51" spans="1:17" ht="51" customHeight="1">
      <c r="A51" s="46">
        <v>32280928</v>
      </c>
      <c r="B51" s="47" t="s">
        <v>949</v>
      </c>
      <c r="C51" s="48" t="s">
        <v>881</v>
      </c>
      <c r="D51" s="49"/>
      <c r="E51" s="49">
        <v>96193000</v>
      </c>
      <c r="F51" s="49">
        <v>96193000</v>
      </c>
      <c r="G51" s="49"/>
      <c r="H51" s="49"/>
      <c r="I51" s="49"/>
      <c r="J51" s="49">
        <v>67645800</v>
      </c>
      <c r="K51" s="49">
        <f t="shared" si="2"/>
        <v>1.3289812523467828</v>
      </c>
      <c r="L51" s="49"/>
      <c r="M51" s="49">
        <f t="shared" si="4"/>
        <v>1.07</v>
      </c>
      <c r="N51" s="49">
        <v>89900000</v>
      </c>
      <c r="O51" s="49">
        <f t="shared" si="3"/>
        <v>1.3289812523467828</v>
      </c>
      <c r="P51" s="50"/>
      <c r="Q51" s="39"/>
    </row>
    <row r="52" spans="1:17" ht="51" customHeight="1">
      <c r="A52" s="40">
        <v>32280929</v>
      </c>
      <c r="B52" s="41" t="s">
        <v>950</v>
      </c>
      <c r="C52" s="42" t="s">
        <v>881</v>
      </c>
      <c r="D52" s="43"/>
      <c r="E52" s="43">
        <v>114916000</v>
      </c>
      <c r="F52" s="43">
        <v>114916000</v>
      </c>
      <c r="G52" s="43">
        <v>127137317</v>
      </c>
      <c r="H52" s="43">
        <v>146207000</v>
      </c>
      <c r="I52" s="43">
        <v>146207000</v>
      </c>
      <c r="J52" s="43">
        <v>80812800</v>
      </c>
      <c r="K52" s="43">
        <f t="shared" si="2"/>
        <v>1.328972637997941</v>
      </c>
      <c r="L52" s="43"/>
      <c r="M52" s="43">
        <f t="shared" si="4"/>
        <v>1.07000130356245</v>
      </c>
      <c r="N52" s="43">
        <v>107398000</v>
      </c>
      <c r="O52" s="43">
        <f t="shared" si="3"/>
        <v>1.328972637997941</v>
      </c>
      <c r="P52" s="44"/>
      <c r="Q52" s="45"/>
    </row>
    <row r="53" spans="1:17" ht="51" customHeight="1">
      <c r="A53" s="46">
        <v>32280930</v>
      </c>
      <c r="B53" s="47" t="s">
        <v>951</v>
      </c>
      <c r="C53" s="48" t="s">
        <v>881</v>
      </c>
      <c r="D53" s="49"/>
      <c r="E53" s="49">
        <v>165076000</v>
      </c>
      <c r="F53" s="49">
        <v>165076000</v>
      </c>
      <c r="G53" s="49">
        <v>182631833</v>
      </c>
      <c r="H53" s="49">
        <v>210260000</v>
      </c>
      <c r="I53" s="49">
        <v>210260000</v>
      </c>
      <c r="J53" s="49">
        <v>105328800</v>
      </c>
      <c r="K53" s="49">
        <f t="shared" si="2"/>
        <v>1.4647181017917226</v>
      </c>
      <c r="L53" s="49"/>
      <c r="M53" s="49">
        <f t="shared" si="4"/>
        <v>1.0699974720794416</v>
      </c>
      <c r="N53" s="49">
        <v>154277000</v>
      </c>
      <c r="O53" s="49">
        <f t="shared" si="3"/>
        <v>1.4647181017917226</v>
      </c>
      <c r="P53" s="50"/>
      <c r="Q53" s="39"/>
    </row>
    <row r="54" spans="1:17" ht="51" customHeight="1">
      <c r="A54" s="40">
        <v>32280931</v>
      </c>
      <c r="B54" s="41" t="s">
        <v>952</v>
      </c>
      <c r="C54" s="42" t="s">
        <v>881</v>
      </c>
      <c r="D54" s="43"/>
      <c r="E54" s="43">
        <v>193221000</v>
      </c>
      <c r="F54" s="43">
        <v>193221000</v>
      </c>
      <c r="G54" s="43">
        <v>213770053</v>
      </c>
      <c r="H54" s="43">
        <v>245835000</v>
      </c>
      <c r="I54" s="43">
        <v>245835000</v>
      </c>
      <c r="J54" s="43">
        <v>127121400</v>
      </c>
      <c r="K54" s="43">
        <f t="shared" si="2"/>
        <v>1.4205318695357352</v>
      </c>
      <c r="L54" s="43"/>
      <c r="M54" s="43">
        <f t="shared" si="4"/>
        <v>1.070002215084727</v>
      </c>
      <c r="N54" s="43">
        <v>180580000</v>
      </c>
      <c r="O54" s="43">
        <f t="shared" si="3"/>
        <v>1.4205318695357352</v>
      </c>
      <c r="P54" s="44"/>
      <c r="Q54" s="45"/>
    </row>
    <row r="55" spans="1:17" ht="51" customHeight="1">
      <c r="A55" s="46">
        <v>32280932</v>
      </c>
      <c r="B55" s="47" t="s">
        <v>953</v>
      </c>
      <c r="C55" s="48" t="s">
        <v>881</v>
      </c>
      <c r="D55" s="49"/>
      <c r="E55" s="49">
        <v>141901000</v>
      </c>
      <c r="F55" s="49">
        <v>141901000</v>
      </c>
      <c r="G55" s="49"/>
      <c r="H55" s="49"/>
      <c r="I55" s="49"/>
      <c r="J55" s="49">
        <v>99790200</v>
      </c>
      <c r="K55" s="49">
        <f t="shared" si="2"/>
        <v>1.328968175231636</v>
      </c>
      <c r="L55" s="49"/>
      <c r="M55" s="49">
        <f t="shared" si="4"/>
        <v>1.06999803948182</v>
      </c>
      <c r="N55" s="49">
        <v>132618000</v>
      </c>
      <c r="O55" s="49">
        <f t="shared" si="3"/>
        <v>1.328968175231636</v>
      </c>
      <c r="P55" s="50"/>
      <c r="Q55" s="39"/>
    </row>
    <row r="56" spans="1:17" ht="51" customHeight="1">
      <c r="A56" s="40">
        <v>32280933</v>
      </c>
      <c r="B56" s="41" t="s">
        <v>954</v>
      </c>
      <c r="C56" s="42" t="s">
        <v>881</v>
      </c>
      <c r="D56" s="43"/>
      <c r="E56" s="43">
        <v>157008000</v>
      </c>
      <c r="F56" s="43">
        <v>157008000</v>
      </c>
      <c r="G56" s="43"/>
      <c r="H56" s="43"/>
      <c r="I56" s="43"/>
      <c r="J56" s="43">
        <v>110413800</v>
      </c>
      <c r="K56" s="43">
        <f t="shared" si="2"/>
        <v>1.328973371082238</v>
      </c>
      <c r="L56" s="43"/>
      <c r="M56" s="43">
        <f t="shared" si="4"/>
        <v>1.0699959792008833</v>
      </c>
      <c r="N56" s="43">
        <v>146737000</v>
      </c>
      <c r="O56" s="43">
        <f t="shared" si="3"/>
        <v>1.328973371082238</v>
      </c>
      <c r="P56" s="44"/>
      <c r="Q56" s="45"/>
    </row>
    <row r="57" spans="1:17" ht="51" customHeight="1">
      <c r="A57" s="46">
        <v>32280934</v>
      </c>
      <c r="B57" s="47" t="s">
        <v>955</v>
      </c>
      <c r="C57" s="48" t="s">
        <v>881</v>
      </c>
      <c r="D57" s="49"/>
      <c r="E57" s="49">
        <v>177763000</v>
      </c>
      <c r="F57" s="49">
        <v>177763000</v>
      </c>
      <c r="G57" s="49">
        <v>196668095</v>
      </c>
      <c r="H57" s="49">
        <v>226000000</v>
      </c>
      <c r="I57" s="49">
        <v>226000000</v>
      </c>
      <c r="J57" s="49">
        <v>116951400</v>
      </c>
      <c r="K57" s="49">
        <f t="shared" si="2"/>
        <v>1.4205387879067715</v>
      </c>
      <c r="L57" s="49"/>
      <c r="M57" s="49">
        <f t="shared" si="4"/>
        <v>1.0699977126897564</v>
      </c>
      <c r="N57" s="49">
        <v>166134000</v>
      </c>
      <c r="O57" s="49">
        <f t="shared" si="3"/>
        <v>1.4205387879067715</v>
      </c>
      <c r="P57" s="50"/>
      <c r="Q57" s="39"/>
    </row>
    <row r="58" spans="1:17" ht="51" customHeight="1">
      <c r="A58" s="40">
        <v>32280935</v>
      </c>
      <c r="B58" s="41" t="s">
        <v>956</v>
      </c>
      <c r="C58" s="42" t="s">
        <v>881</v>
      </c>
      <c r="D58" s="43"/>
      <c r="E58" s="43">
        <v>235999000</v>
      </c>
      <c r="F58" s="43">
        <v>235999000</v>
      </c>
      <c r="G58" s="43">
        <v>217192923</v>
      </c>
      <c r="H58" s="43">
        <v>249770000</v>
      </c>
      <c r="I58" s="43">
        <v>249770000</v>
      </c>
      <c r="J58" s="43">
        <v>144464400</v>
      </c>
      <c r="K58" s="43">
        <f t="shared" si="2"/>
        <v>1.5267429207472567</v>
      </c>
      <c r="L58" s="43"/>
      <c r="M58" s="43">
        <f t="shared" si="4"/>
        <v>1.0699990932172652</v>
      </c>
      <c r="N58" s="43">
        <v>220560000</v>
      </c>
      <c r="O58" s="43">
        <f t="shared" si="3"/>
        <v>1.5267429207472567</v>
      </c>
      <c r="P58" s="44">
        <f>F58/N58</f>
        <v>1.0699990932172652</v>
      </c>
      <c r="Q58" s="45"/>
    </row>
    <row r="59" spans="1:17" ht="63.75" customHeight="1">
      <c r="A59" s="46">
        <v>32280936</v>
      </c>
      <c r="B59" s="47" t="s">
        <v>957</v>
      </c>
      <c r="C59" s="48" t="s">
        <v>881</v>
      </c>
      <c r="D59" s="49"/>
      <c r="E59" s="49"/>
      <c r="F59" s="49">
        <f t="shared" ref="F59:F67" si="5">N59*1.07</f>
        <v>85990229</v>
      </c>
      <c r="G59" s="49"/>
      <c r="H59" s="49"/>
      <c r="I59" s="49"/>
      <c r="J59" s="49"/>
      <c r="K59" s="49"/>
      <c r="L59" s="49"/>
      <c r="M59" s="49">
        <f t="shared" si="4"/>
        <v>1.07</v>
      </c>
      <c r="N59" s="49">
        <v>80364700</v>
      </c>
      <c r="O59" s="49"/>
      <c r="P59" s="50"/>
      <c r="Q59" s="39"/>
    </row>
    <row r="60" spans="1:17" ht="63.75" customHeight="1">
      <c r="A60" s="40">
        <v>32280937</v>
      </c>
      <c r="B60" s="41" t="s">
        <v>958</v>
      </c>
      <c r="C60" s="42" t="s">
        <v>881</v>
      </c>
      <c r="D60" s="43"/>
      <c r="E60" s="43"/>
      <c r="F60" s="43">
        <f t="shared" si="5"/>
        <v>58749420</v>
      </c>
      <c r="G60" s="43"/>
      <c r="H60" s="43"/>
      <c r="I60" s="43"/>
      <c r="J60" s="43"/>
      <c r="K60" s="43"/>
      <c r="L60" s="43"/>
      <c r="M60" s="43">
        <f t="shared" si="4"/>
        <v>1.07</v>
      </c>
      <c r="N60" s="43">
        <v>54906000</v>
      </c>
      <c r="O60" s="43"/>
      <c r="P60" s="44"/>
      <c r="Q60" s="45"/>
    </row>
    <row r="61" spans="1:17" ht="63.75" customHeight="1">
      <c r="A61" s="46">
        <v>32280938</v>
      </c>
      <c r="B61" s="47" t="s">
        <v>959</v>
      </c>
      <c r="C61" s="48" t="s">
        <v>881</v>
      </c>
      <c r="D61" s="49"/>
      <c r="E61" s="49"/>
      <c r="F61" s="49">
        <f t="shared" si="5"/>
        <v>69724410</v>
      </c>
      <c r="G61" s="49"/>
      <c r="H61" s="49"/>
      <c r="I61" s="49"/>
      <c r="J61" s="49"/>
      <c r="K61" s="49"/>
      <c r="L61" s="49"/>
      <c r="M61" s="49">
        <f t="shared" si="4"/>
        <v>1.07</v>
      </c>
      <c r="N61" s="49">
        <v>65163000</v>
      </c>
      <c r="O61" s="49"/>
      <c r="P61" s="50"/>
      <c r="Q61" s="39"/>
    </row>
    <row r="62" spans="1:17" ht="63.75" customHeight="1">
      <c r="A62" s="40">
        <v>32280939</v>
      </c>
      <c r="B62" s="41" t="s">
        <v>960</v>
      </c>
      <c r="C62" s="42" t="s">
        <v>881</v>
      </c>
      <c r="D62" s="43"/>
      <c r="E62" s="43"/>
      <c r="F62" s="43">
        <f t="shared" si="5"/>
        <v>86673210</v>
      </c>
      <c r="G62" s="43"/>
      <c r="H62" s="43"/>
      <c r="I62" s="43"/>
      <c r="J62" s="43"/>
      <c r="K62" s="43"/>
      <c r="L62" s="43"/>
      <c r="M62" s="43">
        <f t="shared" si="4"/>
        <v>1.07</v>
      </c>
      <c r="N62" s="43">
        <v>81003000</v>
      </c>
      <c r="O62" s="43"/>
      <c r="P62" s="44"/>
      <c r="Q62" s="45"/>
    </row>
    <row r="63" spans="1:17" ht="63.75" customHeight="1">
      <c r="A63" s="46">
        <v>32280940</v>
      </c>
      <c r="B63" s="47" t="s">
        <v>961</v>
      </c>
      <c r="C63" s="48" t="s">
        <v>881</v>
      </c>
      <c r="D63" s="49"/>
      <c r="E63" s="49"/>
      <c r="F63" s="49">
        <f t="shared" si="5"/>
        <v>73246850</v>
      </c>
      <c r="G63" s="49"/>
      <c r="H63" s="49"/>
      <c r="I63" s="49"/>
      <c r="J63" s="49"/>
      <c r="K63" s="49"/>
      <c r="L63" s="49"/>
      <c r="M63" s="49">
        <f t="shared" si="4"/>
        <v>1.07</v>
      </c>
      <c r="N63" s="49">
        <v>68455000</v>
      </c>
      <c r="O63" s="49"/>
      <c r="P63" s="50"/>
      <c r="Q63" s="39"/>
    </row>
    <row r="64" spans="1:17" ht="63.75" customHeight="1">
      <c r="A64" s="40">
        <v>32280941</v>
      </c>
      <c r="B64" s="41" t="s">
        <v>962</v>
      </c>
      <c r="C64" s="42" t="s">
        <v>881</v>
      </c>
      <c r="D64" s="43"/>
      <c r="E64" s="43"/>
      <c r="F64" s="43">
        <f t="shared" si="5"/>
        <v>81827180</v>
      </c>
      <c r="G64" s="43"/>
      <c r="H64" s="43"/>
      <c r="I64" s="43"/>
      <c r="J64" s="43"/>
      <c r="K64" s="43"/>
      <c r="L64" s="43"/>
      <c r="M64" s="43">
        <f t="shared" si="4"/>
        <v>1.07</v>
      </c>
      <c r="N64" s="43">
        <v>76474000</v>
      </c>
      <c r="O64" s="43"/>
      <c r="P64" s="44"/>
      <c r="Q64" s="45"/>
    </row>
    <row r="65" spans="1:17" ht="63.75" customHeight="1">
      <c r="A65" s="46">
        <v>32280942</v>
      </c>
      <c r="B65" s="47" t="s">
        <v>963</v>
      </c>
      <c r="C65" s="48" t="s">
        <v>881</v>
      </c>
      <c r="D65" s="49"/>
      <c r="E65" s="49"/>
      <c r="F65" s="49">
        <f t="shared" si="5"/>
        <v>96267900</v>
      </c>
      <c r="G65" s="49"/>
      <c r="H65" s="49"/>
      <c r="I65" s="49"/>
      <c r="J65" s="49"/>
      <c r="K65" s="49"/>
      <c r="L65" s="49"/>
      <c r="M65" s="49">
        <f t="shared" si="4"/>
        <v>1.07</v>
      </c>
      <c r="N65" s="49">
        <v>89970000</v>
      </c>
      <c r="O65" s="49"/>
      <c r="P65" s="50"/>
      <c r="Q65" s="39"/>
    </row>
    <row r="66" spans="1:17" ht="63.75" customHeight="1">
      <c r="A66" s="40">
        <v>32280943</v>
      </c>
      <c r="B66" s="41" t="s">
        <v>964</v>
      </c>
      <c r="C66" s="42" t="s">
        <v>881</v>
      </c>
      <c r="D66" s="43"/>
      <c r="E66" s="43"/>
      <c r="F66" s="43">
        <f t="shared" si="5"/>
        <v>0</v>
      </c>
      <c r="G66" s="43"/>
      <c r="H66" s="43"/>
      <c r="I66" s="43"/>
      <c r="J66" s="43"/>
      <c r="K66" s="43"/>
      <c r="L66" s="43"/>
      <c r="M66" s="43" t="e">
        <f t="shared" si="4"/>
        <v>#DIV/0!</v>
      </c>
      <c r="N66" s="43"/>
      <c r="O66" s="43"/>
      <c r="P66" s="44"/>
      <c r="Q66" s="45"/>
    </row>
    <row r="67" spans="1:17" ht="63.75" customHeight="1">
      <c r="A67" s="46">
        <v>32280944</v>
      </c>
      <c r="B67" s="47" t="s">
        <v>965</v>
      </c>
      <c r="C67" s="48" t="s">
        <v>881</v>
      </c>
      <c r="D67" s="49"/>
      <c r="E67" s="49"/>
      <c r="F67" s="49">
        <f t="shared" si="5"/>
        <v>981796893.30000007</v>
      </c>
      <c r="G67" s="49"/>
      <c r="H67" s="49"/>
      <c r="I67" s="49"/>
      <c r="J67" s="49">
        <v>611711460</v>
      </c>
      <c r="K67" s="49"/>
      <c r="L67" s="49"/>
      <c r="M67" s="49">
        <f t="shared" ref="M67:M98" si="6">F67/N67</f>
        <v>1.07</v>
      </c>
      <c r="N67" s="49">
        <f>J67*1.5</f>
        <v>917567190</v>
      </c>
      <c r="O67" s="49">
        <f>N67/J67</f>
        <v>1.5</v>
      </c>
      <c r="P67" s="50"/>
      <c r="Q67" s="39"/>
    </row>
    <row r="68" spans="1:17" ht="63.75" customHeight="1">
      <c r="A68" s="40">
        <v>32280945</v>
      </c>
      <c r="B68" s="41" t="s">
        <v>966</v>
      </c>
      <c r="C68" s="42" t="s">
        <v>881</v>
      </c>
      <c r="D68" s="43"/>
      <c r="E68" s="43"/>
      <c r="F68" s="43"/>
      <c r="G68" s="43"/>
      <c r="H68" s="43"/>
      <c r="I68" s="43"/>
      <c r="J68" s="43"/>
      <c r="K68" s="43"/>
      <c r="L68" s="43"/>
      <c r="M68" s="43" t="e">
        <f t="shared" si="6"/>
        <v>#DIV/0!</v>
      </c>
      <c r="N68" s="43"/>
      <c r="O68" s="43"/>
      <c r="P68" s="44"/>
      <c r="Q68" s="45"/>
    </row>
    <row r="69" spans="1:17" ht="63.75" customHeight="1">
      <c r="A69" s="46">
        <v>32280946</v>
      </c>
      <c r="B69" s="47" t="s">
        <v>967</v>
      </c>
      <c r="C69" s="48" t="s">
        <v>881</v>
      </c>
      <c r="D69" s="49"/>
      <c r="E69" s="49"/>
      <c r="F69" s="49"/>
      <c r="G69" s="49"/>
      <c r="H69" s="49"/>
      <c r="I69" s="49"/>
      <c r="J69" s="49"/>
      <c r="K69" s="49"/>
      <c r="L69" s="49"/>
      <c r="M69" s="49" t="e">
        <f t="shared" si="6"/>
        <v>#DIV/0!</v>
      </c>
      <c r="N69" s="49"/>
      <c r="O69" s="49"/>
      <c r="P69" s="50"/>
      <c r="Q69" s="39"/>
    </row>
    <row r="70" spans="1:17" ht="63.75" customHeight="1">
      <c r="A70" s="40">
        <v>32280947</v>
      </c>
      <c r="B70" s="41" t="s">
        <v>968</v>
      </c>
      <c r="C70" s="42" t="s">
        <v>881</v>
      </c>
      <c r="D70" s="43"/>
      <c r="E70" s="43"/>
      <c r="F70" s="43"/>
      <c r="G70" s="43"/>
      <c r="H70" s="43"/>
      <c r="I70" s="43"/>
      <c r="J70" s="43"/>
      <c r="K70" s="43"/>
      <c r="L70" s="43"/>
      <c r="M70" s="43" t="e">
        <f t="shared" si="6"/>
        <v>#DIV/0!</v>
      </c>
      <c r="N70" s="43"/>
      <c r="O70" s="43"/>
      <c r="P70" s="44"/>
      <c r="Q70" s="45"/>
    </row>
    <row r="71" spans="1:17" ht="63.75" customHeight="1">
      <c r="A71" s="46">
        <v>32280948</v>
      </c>
      <c r="B71" s="47" t="s">
        <v>969</v>
      </c>
      <c r="C71" s="48" t="s">
        <v>881</v>
      </c>
      <c r="D71" s="49"/>
      <c r="E71" s="49"/>
      <c r="F71" s="49"/>
      <c r="G71" s="49"/>
      <c r="H71" s="49"/>
      <c r="I71" s="49"/>
      <c r="J71" s="49"/>
      <c r="K71" s="49"/>
      <c r="L71" s="49"/>
      <c r="M71" s="49" t="e">
        <f t="shared" si="6"/>
        <v>#DIV/0!</v>
      </c>
      <c r="N71" s="49"/>
      <c r="O71" s="49"/>
      <c r="P71" s="50"/>
      <c r="Q71" s="39"/>
    </row>
    <row r="72" spans="1:17" ht="63.75" customHeight="1">
      <c r="A72" s="40">
        <v>32280949</v>
      </c>
      <c r="B72" s="41" t="s">
        <v>970</v>
      </c>
      <c r="C72" s="42" t="s">
        <v>881</v>
      </c>
      <c r="D72" s="43"/>
      <c r="E72" s="43"/>
      <c r="F72" s="43"/>
      <c r="G72" s="43"/>
      <c r="H72" s="43"/>
      <c r="I72" s="43"/>
      <c r="J72" s="43"/>
      <c r="K72" s="43"/>
      <c r="L72" s="43"/>
      <c r="M72" s="43" t="e">
        <f t="shared" si="6"/>
        <v>#DIV/0!</v>
      </c>
      <c r="N72" s="43"/>
      <c r="O72" s="43"/>
      <c r="P72" s="44"/>
      <c r="Q72" s="45"/>
    </row>
    <row r="73" spans="1:17" ht="63.75" customHeight="1">
      <c r="A73" s="46">
        <v>32280950</v>
      </c>
      <c r="B73" s="47" t="s">
        <v>971</v>
      </c>
      <c r="C73" s="48" t="s">
        <v>881</v>
      </c>
      <c r="D73" s="49"/>
      <c r="E73" s="49"/>
      <c r="F73" s="49"/>
      <c r="G73" s="49"/>
      <c r="H73" s="49"/>
      <c r="I73" s="49"/>
      <c r="J73" s="49"/>
      <c r="K73" s="49"/>
      <c r="L73" s="49"/>
      <c r="M73" s="49" t="e">
        <f t="shared" si="6"/>
        <v>#DIV/0!</v>
      </c>
      <c r="N73" s="49"/>
      <c r="O73" s="49"/>
      <c r="P73" s="50"/>
      <c r="Q73" s="39"/>
    </row>
    <row r="74" spans="1:17" ht="63.75" customHeight="1">
      <c r="A74" s="40">
        <v>32280951</v>
      </c>
      <c r="B74" s="41" t="s">
        <v>972</v>
      </c>
      <c r="C74" s="42" t="s">
        <v>881</v>
      </c>
      <c r="D74" s="43"/>
      <c r="E74" s="43"/>
      <c r="F74" s="43"/>
      <c r="G74" s="43"/>
      <c r="H74" s="43"/>
      <c r="I74" s="43"/>
      <c r="J74" s="43"/>
      <c r="K74" s="43"/>
      <c r="L74" s="43"/>
      <c r="M74" s="43" t="e">
        <f t="shared" si="6"/>
        <v>#DIV/0!</v>
      </c>
      <c r="N74" s="43"/>
      <c r="O74" s="43"/>
      <c r="P74" s="44"/>
      <c r="Q74" s="45"/>
    </row>
    <row r="75" spans="1:17" ht="63.75" customHeight="1">
      <c r="A75" s="46">
        <v>32280952</v>
      </c>
      <c r="B75" s="47" t="s">
        <v>973</v>
      </c>
      <c r="C75" s="48" t="s">
        <v>881</v>
      </c>
      <c r="D75" s="49"/>
      <c r="E75" s="49"/>
      <c r="F75" s="49"/>
      <c r="G75" s="49"/>
      <c r="H75" s="49"/>
      <c r="I75" s="49"/>
      <c r="J75" s="49"/>
      <c r="K75" s="49"/>
      <c r="L75" s="49"/>
      <c r="M75" s="49" t="e">
        <f t="shared" si="6"/>
        <v>#DIV/0!</v>
      </c>
      <c r="N75" s="49"/>
      <c r="O75" s="49"/>
      <c r="P75" s="50"/>
      <c r="Q75" s="39"/>
    </row>
    <row r="76" spans="1:17" ht="63.75" customHeight="1">
      <c r="A76" s="40">
        <v>32280953</v>
      </c>
      <c r="B76" s="41" t="s">
        <v>974</v>
      </c>
      <c r="C76" s="42" t="s">
        <v>881</v>
      </c>
      <c r="D76" s="43"/>
      <c r="E76" s="43"/>
      <c r="F76" s="43"/>
      <c r="G76" s="43"/>
      <c r="H76" s="43"/>
      <c r="I76" s="43"/>
      <c r="J76" s="43"/>
      <c r="K76" s="43"/>
      <c r="L76" s="43"/>
      <c r="M76" s="43" t="e">
        <f t="shared" si="6"/>
        <v>#DIV/0!</v>
      </c>
      <c r="N76" s="43"/>
      <c r="O76" s="43"/>
      <c r="P76" s="44"/>
      <c r="Q76" s="45"/>
    </row>
    <row r="77" spans="1:17" ht="63.75" customHeight="1">
      <c r="A77" s="46">
        <v>32280954</v>
      </c>
      <c r="B77" s="47" t="s">
        <v>975</v>
      </c>
      <c r="C77" s="48" t="s">
        <v>881</v>
      </c>
      <c r="D77" s="49"/>
      <c r="E77" s="49"/>
      <c r="F77" s="49"/>
      <c r="G77" s="49"/>
      <c r="H77" s="49"/>
      <c r="I77" s="49"/>
      <c r="J77" s="49"/>
      <c r="K77" s="49"/>
      <c r="L77" s="49"/>
      <c r="M77" s="49" t="e">
        <f t="shared" si="6"/>
        <v>#DIV/0!</v>
      </c>
      <c r="N77" s="49"/>
      <c r="O77" s="49"/>
      <c r="P77" s="50"/>
      <c r="Q77" s="39"/>
    </row>
    <row r="78" spans="1:17" ht="76.5" customHeight="1">
      <c r="A78" s="40">
        <v>32281001</v>
      </c>
      <c r="B78" s="41" t="s">
        <v>976</v>
      </c>
      <c r="C78" s="42" t="s">
        <v>881</v>
      </c>
      <c r="D78" s="43"/>
      <c r="E78" s="43"/>
      <c r="F78" s="43">
        <f t="shared" ref="F78:F85" si="7">N78*1.12</f>
        <v>144997664</v>
      </c>
      <c r="G78" s="43"/>
      <c r="H78" s="43"/>
      <c r="I78" s="43"/>
      <c r="J78" s="43">
        <v>97340000</v>
      </c>
      <c r="K78" s="43">
        <f t="shared" ref="K78:K85" si="8">J78*1.33</f>
        <v>129462200</v>
      </c>
      <c r="L78" s="43"/>
      <c r="M78" s="43">
        <f t="shared" si="6"/>
        <v>1.1200000000000001</v>
      </c>
      <c r="N78" s="43">
        <v>129462200</v>
      </c>
      <c r="O78" s="43">
        <f t="shared" ref="O78:O111" si="9">N78/J78</f>
        <v>1.33</v>
      </c>
      <c r="P78" s="44"/>
      <c r="Q78" s="45"/>
    </row>
    <row r="79" spans="1:17" ht="76.5" customHeight="1">
      <c r="A79" s="46">
        <v>32281002</v>
      </c>
      <c r="B79" s="47" t="s">
        <v>977</v>
      </c>
      <c r="C79" s="48" t="s">
        <v>881</v>
      </c>
      <c r="D79" s="49"/>
      <c r="E79" s="49"/>
      <c r="F79" s="49">
        <f t="shared" si="7"/>
        <v>156427752.09600002</v>
      </c>
      <c r="G79" s="49"/>
      <c r="H79" s="49"/>
      <c r="I79" s="49"/>
      <c r="J79" s="49">
        <v>105013260</v>
      </c>
      <c r="K79" s="49">
        <f t="shared" si="8"/>
        <v>139667635.80000001</v>
      </c>
      <c r="L79" s="49"/>
      <c r="M79" s="49">
        <f t="shared" si="6"/>
        <v>1.1200000000000001</v>
      </c>
      <c r="N79" s="49">
        <v>139667635.80000001</v>
      </c>
      <c r="O79" s="49">
        <f t="shared" si="9"/>
        <v>1.33</v>
      </c>
      <c r="P79" s="50"/>
      <c r="Q79" s="39"/>
    </row>
    <row r="80" spans="1:17" ht="76.5" customHeight="1">
      <c r="A80" s="40">
        <v>32281003</v>
      </c>
      <c r="B80" s="41" t="s">
        <v>978</v>
      </c>
      <c r="C80" s="42" t="s">
        <v>881</v>
      </c>
      <c r="D80" s="43"/>
      <c r="E80" s="43"/>
      <c r="F80" s="43">
        <f t="shared" si="7"/>
        <v>184507456.89600003</v>
      </c>
      <c r="G80" s="43"/>
      <c r="H80" s="43"/>
      <c r="I80" s="43"/>
      <c r="J80" s="43">
        <v>123863760</v>
      </c>
      <c r="K80" s="43">
        <f t="shared" si="8"/>
        <v>164738800.80000001</v>
      </c>
      <c r="L80" s="43"/>
      <c r="M80" s="43">
        <f t="shared" si="6"/>
        <v>1.1200000000000001</v>
      </c>
      <c r="N80" s="43">
        <v>164738800.80000001</v>
      </c>
      <c r="O80" s="43">
        <f t="shared" si="9"/>
        <v>1.33</v>
      </c>
      <c r="P80" s="44"/>
      <c r="Q80" s="45"/>
    </row>
    <row r="81" spans="1:17" ht="76.5" customHeight="1">
      <c r="A81" s="46">
        <v>32281004</v>
      </c>
      <c r="B81" s="47" t="s">
        <v>979</v>
      </c>
      <c r="C81" s="48" t="s">
        <v>881</v>
      </c>
      <c r="D81" s="49"/>
      <c r="E81" s="49"/>
      <c r="F81" s="49">
        <f t="shared" si="7"/>
        <v>193872125.21600002</v>
      </c>
      <c r="G81" s="49"/>
      <c r="H81" s="49"/>
      <c r="I81" s="49"/>
      <c r="J81" s="49">
        <v>130150460</v>
      </c>
      <c r="K81" s="49">
        <f t="shared" si="8"/>
        <v>173100111.80000001</v>
      </c>
      <c r="L81" s="49"/>
      <c r="M81" s="49">
        <f t="shared" si="6"/>
        <v>1.1200000000000001</v>
      </c>
      <c r="N81" s="49">
        <v>173100111.80000001</v>
      </c>
      <c r="O81" s="49">
        <f t="shared" si="9"/>
        <v>1.33</v>
      </c>
      <c r="P81" s="50"/>
      <c r="Q81" s="39"/>
    </row>
    <row r="82" spans="1:17" ht="76.5" customHeight="1">
      <c r="A82" s="40">
        <v>32281005</v>
      </c>
      <c r="B82" s="41" t="s">
        <v>980</v>
      </c>
      <c r="C82" s="42" t="s">
        <v>881</v>
      </c>
      <c r="D82" s="43"/>
      <c r="E82" s="43"/>
      <c r="F82" s="43">
        <f t="shared" si="7"/>
        <v>282190107.02399999</v>
      </c>
      <c r="G82" s="43"/>
      <c r="H82" s="43"/>
      <c r="I82" s="43"/>
      <c r="J82" s="43">
        <v>189440190</v>
      </c>
      <c r="K82" s="43">
        <f t="shared" si="8"/>
        <v>251955452.70000002</v>
      </c>
      <c r="L82" s="43"/>
      <c r="M82" s="43">
        <f t="shared" si="6"/>
        <v>1.1200000000000001</v>
      </c>
      <c r="N82" s="43">
        <v>251955452.69999999</v>
      </c>
      <c r="O82" s="43">
        <f t="shared" si="9"/>
        <v>1.3299999999999998</v>
      </c>
      <c r="P82" s="44"/>
      <c r="Q82" s="45"/>
    </row>
    <row r="83" spans="1:17" ht="76.5" customHeight="1">
      <c r="A83" s="46">
        <v>32281006</v>
      </c>
      <c r="B83" s="47" t="s">
        <v>981</v>
      </c>
      <c r="C83" s="48" t="s">
        <v>881</v>
      </c>
      <c r="D83" s="49"/>
      <c r="E83" s="49"/>
      <c r="F83" s="49">
        <f t="shared" si="7"/>
        <v>341696066.88000005</v>
      </c>
      <c r="G83" s="49"/>
      <c r="H83" s="49"/>
      <c r="I83" s="49"/>
      <c r="J83" s="49">
        <v>229387800</v>
      </c>
      <c r="K83" s="49">
        <f t="shared" si="8"/>
        <v>305085774</v>
      </c>
      <c r="L83" s="49"/>
      <c r="M83" s="49">
        <f t="shared" si="6"/>
        <v>1.1200000000000001</v>
      </c>
      <c r="N83" s="49">
        <v>305085774</v>
      </c>
      <c r="O83" s="49">
        <f t="shared" si="9"/>
        <v>1.33</v>
      </c>
      <c r="P83" s="50"/>
      <c r="Q83" s="39"/>
    </row>
    <row r="84" spans="1:17" ht="76.5" customHeight="1">
      <c r="A84" s="40">
        <v>32281007</v>
      </c>
      <c r="B84" s="41" t="s">
        <v>982</v>
      </c>
      <c r="C84" s="42" t="s">
        <v>881</v>
      </c>
      <c r="D84" s="43"/>
      <c r="E84" s="43"/>
      <c r="F84" s="43">
        <f t="shared" si="7"/>
        <v>503377511.56000006</v>
      </c>
      <c r="G84" s="43"/>
      <c r="H84" s="43"/>
      <c r="I84" s="43"/>
      <c r="J84" s="43">
        <v>337927975</v>
      </c>
      <c r="K84" s="43">
        <f t="shared" si="8"/>
        <v>449444206.75</v>
      </c>
      <c r="L84" s="43"/>
      <c r="M84" s="43">
        <f t="shared" si="6"/>
        <v>1.1200000000000001</v>
      </c>
      <c r="N84" s="43">
        <v>449444206.75</v>
      </c>
      <c r="O84" s="43">
        <f t="shared" si="9"/>
        <v>1.33</v>
      </c>
      <c r="P84" s="44"/>
      <c r="Q84" s="45"/>
    </row>
    <row r="85" spans="1:17" ht="76.5" customHeight="1">
      <c r="A85" s="46">
        <v>32281008</v>
      </c>
      <c r="B85" s="47" t="s">
        <v>983</v>
      </c>
      <c r="C85" s="48" t="s">
        <v>881</v>
      </c>
      <c r="D85" s="49"/>
      <c r="E85" s="49"/>
      <c r="F85" s="49">
        <f t="shared" si="7"/>
        <v>730166765.44000006</v>
      </c>
      <c r="G85" s="49"/>
      <c r="H85" s="49"/>
      <c r="I85" s="49"/>
      <c r="J85" s="49">
        <v>490176400</v>
      </c>
      <c r="K85" s="49">
        <f t="shared" si="8"/>
        <v>651934612</v>
      </c>
      <c r="L85" s="49"/>
      <c r="M85" s="49">
        <f t="shared" si="6"/>
        <v>1.1200000000000001</v>
      </c>
      <c r="N85" s="49">
        <v>651934612</v>
      </c>
      <c r="O85" s="49">
        <f t="shared" si="9"/>
        <v>1.33</v>
      </c>
      <c r="P85" s="50"/>
      <c r="Q85" s="39"/>
    </row>
    <row r="86" spans="1:17" ht="63.75" customHeight="1">
      <c r="A86" s="40" t="s">
        <v>984</v>
      </c>
      <c r="B86" s="41" t="s">
        <v>985</v>
      </c>
      <c r="C86" s="42" t="s">
        <v>881</v>
      </c>
      <c r="D86" s="43"/>
      <c r="E86" s="43"/>
      <c r="F86" s="43">
        <f t="shared" ref="F86:F117" si="10">N86*1.07</f>
        <v>6620625000</v>
      </c>
      <c r="G86" s="43"/>
      <c r="H86" s="43"/>
      <c r="I86" s="43"/>
      <c r="J86" s="43">
        <v>3750000000</v>
      </c>
      <c r="K86" s="43" t="e">
        <f t="shared" ref="K86:K111" si="11">C86*1.32</f>
        <v>#VALUE!</v>
      </c>
      <c r="L86" s="43"/>
      <c r="M86" s="43">
        <f t="shared" si="6"/>
        <v>1.07</v>
      </c>
      <c r="N86" s="43">
        <v>6187500000</v>
      </c>
      <c r="O86" s="43">
        <f t="shared" si="9"/>
        <v>1.65</v>
      </c>
      <c r="P86" s="44"/>
      <c r="Q86" s="45"/>
    </row>
    <row r="87" spans="1:17" ht="38.25" customHeight="1">
      <c r="A87" s="46" t="s">
        <v>986</v>
      </c>
      <c r="B87" s="47" t="s">
        <v>987</v>
      </c>
      <c r="C87" s="48" t="s">
        <v>881</v>
      </c>
      <c r="D87" s="49"/>
      <c r="E87" s="49"/>
      <c r="F87" s="49">
        <f t="shared" si="10"/>
        <v>6620625000</v>
      </c>
      <c r="G87" s="49"/>
      <c r="H87" s="49"/>
      <c r="I87" s="49"/>
      <c r="J87" s="49">
        <v>3750000000</v>
      </c>
      <c r="K87" s="49" t="e">
        <f t="shared" si="11"/>
        <v>#VALUE!</v>
      </c>
      <c r="L87" s="49"/>
      <c r="M87" s="49">
        <f t="shared" si="6"/>
        <v>1.07</v>
      </c>
      <c r="N87" s="49">
        <v>6187500000</v>
      </c>
      <c r="O87" s="49">
        <f t="shared" si="9"/>
        <v>1.65</v>
      </c>
      <c r="P87" s="50"/>
      <c r="Q87" s="39"/>
    </row>
    <row r="88" spans="1:17" ht="38.25" customHeight="1">
      <c r="A88" s="40" t="s">
        <v>988</v>
      </c>
      <c r="B88" s="41" t="s">
        <v>989</v>
      </c>
      <c r="C88" s="42" t="s">
        <v>881</v>
      </c>
      <c r="D88" s="43"/>
      <c r="E88" s="43"/>
      <c r="F88" s="43">
        <f t="shared" si="10"/>
        <v>8209575000.000001</v>
      </c>
      <c r="G88" s="43"/>
      <c r="H88" s="43"/>
      <c r="I88" s="43"/>
      <c r="J88" s="43">
        <v>4650000000</v>
      </c>
      <c r="K88" s="43" t="e">
        <f t="shared" si="11"/>
        <v>#VALUE!</v>
      </c>
      <c r="L88" s="43"/>
      <c r="M88" s="43">
        <f t="shared" si="6"/>
        <v>1.07</v>
      </c>
      <c r="N88" s="43">
        <v>7672500000</v>
      </c>
      <c r="O88" s="43">
        <f t="shared" si="9"/>
        <v>1.65</v>
      </c>
      <c r="P88" s="44"/>
      <c r="Q88" s="45"/>
    </row>
    <row r="89" spans="1:17" ht="38.25" customHeight="1">
      <c r="A89" s="46" t="s">
        <v>990</v>
      </c>
      <c r="B89" s="47" t="s">
        <v>991</v>
      </c>
      <c r="C89" s="48" t="s">
        <v>881</v>
      </c>
      <c r="D89" s="49"/>
      <c r="E89" s="49"/>
      <c r="F89" s="49">
        <f t="shared" si="10"/>
        <v>8209575000.000001</v>
      </c>
      <c r="G89" s="49"/>
      <c r="H89" s="49"/>
      <c r="I89" s="49"/>
      <c r="J89" s="49">
        <v>4650000000</v>
      </c>
      <c r="K89" s="49" t="e">
        <f t="shared" si="11"/>
        <v>#VALUE!</v>
      </c>
      <c r="L89" s="49"/>
      <c r="M89" s="49">
        <f t="shared" si="6"/>
        <v>1.07</v>
      </c>
      <c r="N89" s="49">
        <v>7672500000</v>
      </c>
      <c r="O89" s="49">
        <f t="shared" si="9"/>
        <v>1.65</v>
      </c>
      <c r="P89" s="50"/>
      <c r="Q89" s="39"/>
    </row>
    <row r="90" spans="1:17" ht="38.25" customHeight="1">
      <c r="A90" s="40" t="s">
        <v>992</v>
      </c>
      <c r="B90" s="41" t="s">
        <v>993</v>
      </c>
      <c r="C90" s="42" t="s">
        <v>881</v>
      </c>
      <c r="D90" s="43"/>
      <c r="E90" s="43"/>
      <c r="F90" s="43">
        <f t="shared" si="10"/>
        <v>8739225000</v>
      </c>
      <c r="G90" s="43"/>
      <c r="H90" s="43"/>
      <c r="I90" s="43"/>
      <c r="J90" s="43">
        <v>4950000000</v>
      </c>
      <c r="K90" s="43" t="e">
        <f t="shared" si="11"/>
        <v>#VALUE!</v>
      </c>
      <c r="L90" s="43"/>
      <c r="M90" s="43">
        <f t="shared" si="6"/>
        <v>1.07</v>
      </c>
      <c r="N90" s="43">
        <v>8167500000</v>
      </c>
      <c r="O90" s="43">
        <f t="shared" si="9"/>
        <v>1.65</v>
      </c>
      <c r="P90" s="44"/>
      <c r="Q90" s="45"/>
    </row>
    <row r="91" spans="1:17" ht="38.25" customHeight="1">
      <c r="A91" s="46" t="s">
        <v>994</v>
      </c>
      <c r="B91" s="47" t="s">
        <v>995</v>
      </c>
      <c r="C91" s="48" t="s">
        <v>881</v>
      </c>
      <c r="D91" s="49"/>
      <c r="E91" s="49"/>
      <c r="F91" s="49">
        <f t="shared" si="10"/>
        <v>8739225000</v>
      </c>
      <c r="G91" s="49"/>
      <c r="H91" s="49"/>
      <c r="I91" s="49"/>
      <c r="J91" s="49">
        <v>4950000000</v>
      </c>
      <c r="K91" s="49" t="e">
        <f t="shared" si="11"/>
        <v>#VALUE!</v>
      </c>
      <c r="L91" s="49"/>
      <c r="M91" s="49">
        <f t="shared" si="6"/>
        <v>1.07</v>
      </c>
      <c r="N91" s="49">
        <v>8167500000</v>
      </c>
      <c r="O91" s="49">
        <f t="shared" si="9"/>
        <v>1.65</v>
      </c>
      <c r="P91" s="50"/>
      <c r="Q91" s="39"/>
    </row>
    <row r="92" spans="1:17" ht="38.25" customHeight="1">
      <c r="A92" s="40" t="s">
        <v>996</v>
      </c>
      <c r="B92" s="41" t="s">
        <v>997</v>
      </c>
      <c r="C92" s="42" t="s">
        <v>881</v>
      </c>
      <c r="D92" s="43"/>
      <c r="E92" s="43"/>
      <c r="F92" s="43">
        <f t="shared" si="10"/>
        <v>9004050000</v>
      </c>
      <c r="G92" s="43"/>
      <c r="H92" s="43"/>
      <c r="I92" s="43"/>
      <c r="J92" s="43">
        <v>5100000000</v>
      </c>
      <c r="K92" s="43" t="e">
        <f t="shared" si="11"/>
        <v>#VALUE!</v>
      </c>
      <c r="L92" s="43"/>
      <c r="M92" s="43">
        <f t="shared" si="6"/>
        <v>1.07</v>
      </c>
      <c r="N92" s="43">
        <v>8415000000</v>
      </c>
      <c r="O92" s="43">
        <f t="shared" si="9"/>
        <v>1.65</v>
      </c>
      <c r="P92" s="44"/>
      <c r="Q92" s="45"/>
    </row>
    <row r="93" spans="1:17" ht="38.25" customHeight="1">
      <c r="A93" s="46" t="s">
        <v>998</v>
      </c>
      <c r="B93" s="47" t="s">
        <v>999</v>
      </c>
      <c r="C93" s="48" t="s">
        <v>881</v>
      </c>
      <c r="D93" s="49"/>
      <c r="E93" s="49"/>
      <c r="F93" s="49">
        <f t="shared" si="10"/>
        <v>10328175000</v>
      </c>
      <c r="G93" s="49"/>
      <c r="H93" s="49"/>
      <c r="I93" s="49"/>
      <c r="J93" s="49">
        <v>5850000000</v>
      </c>
      <c r="K93" s="49" t="e">
        <f t="shared" si="11"/>
        <v>#VALUE!</v>
      </c>
      <c r="L93" s="49"/>
      <c r="M93" s="49">
        <f t="shared" si="6"/>
        <v>1.07</v>
      </c>
      <c r="N93" s="49">
        <v>9652500000</v>
      </c>
      <c r="O93" s="49">
        <f t="shared" si="9"/>
        <v>1.65</v>
      </c>
      <c r="P93" s="50"/>
      <c r="Q93" s="39"/>
    </row>
    <row r="94" spans="1:17" ht="38.25" customHeight="1">
      <c r="A94" s="40" t="s">
        <v>1000</v>
      </c>
      <c r="B94" s="41" t="s">
        <v>1001</v>
      </c>
      <c r="C94" s="42" t="s">
        <v>881</v>
      </c>
      <c r="D94" s="43"/>
      <c r="E94" s="43"/>
      <c r="F94" s="43">
        <f t="shared" si="10"/>
        <v>12049537500</v>
      </c>
      <c r="G94" s="43"/>
      <c r="H94" s="43"/>
      <c r="I94" s="43"/>
      <c r="J94" s="43">
        <v>6825000000</v>
      </c>
      <c r="K94" s="43" t="e">
        <f t="shared" si="11"/>
        <v>#VALUE!</v>
      </c>
      <c r="L94" s="43"/>
      <c r="M94" s="43">
        <f t="shared" si="6"/>
        <v>1.07</v>
      </c>
      <c r="N94" s="43">
        <v>11261250000</v>
      </c>
      <c r="O94" s="43">
        <f t="shared" si="9"/>
        <v>1.65</v>
      </c>
      <c r="P94" s="44"/>
      <c r="Q94" s="45"/>
    </row>
    <row r="95" spans="1:17" ht="38.25" customHeight="1">
      <c r="A95" s="46" t="s">
        <v>1002</v>
      </c>
      <c r="B95" s="47" t="s">
        <v>1003</v>
      </c>
      <c r="C95" s="48" t="s">
        <v>881</v>
      </c>
      <c r="D95" s="49"/>
      <c r="E95" s="49"/>
      <c r="F95" s="49">
        <f t="shared" si="10"/>
        <v>12049537500</v>
      </c>
      <c r="G95" s="49"/>
      <c r="H95" s="49"/>
      <c r="I95" s="49"/>
      <c r="J95" s="49">
        <v>6825000000</v>
      </c>
      <c r="K95" s="49" t="e">
        <f t="shared" si="11"/>
        <v>#VALUE!</v>
      </c>
      <c r="L95" s="49"/>
      <c r="M95" s="49">
        <f t="shared" si="6"/>
        <v>1.07</v>
      </c>
      <c r="N95" s="49">
        <v>11261250000</v>
      </c>
      <c r="O95" s="49">
        <f t="shared" si="9"/>
        <v>1.65</v>
      </c>
      <c r="P95" s="50"/>
      <c r="Q95" s="39"/>
    </row>
    <row r="96" spans="1:17" ht="38.25" customHeight="1">
      <c r="A96" s="40" t="s">
        <v>1004</v>
      </c>
      <c r="B96" s="41" t="s">
        <v>1005</v>
      </c>
      <c r="C96" s="42" t="s">
        <v>881</v>
      </c>
      <c r="D96" s="43"/>
      <c r="E96" s="43"/>
      <c r="F96" s="43">
        <f t="shared" si="10"/>
        <v>14830200000</v>
      </c>
      <c r="G96" s="43"/>
      <c r="H96" s="43"/>
      <c r="I96" s="43"/>
      <c r="J96" s="43">
        <v>8400000000</v>
      </c>
      <c r="K96" s="43" t="e">
        <f t="shared" si="11"/>
        <v>#VALUE!</v>
      </c>
      <c r="L96" s="43"/>
      <c r="M96" s="43">
        <f t="shared" si="6"/>
        <v>1.07</v>
      </c>
      <c r="N96" s="43">
        <v>13860000000</v>
      </c>
      <c r="O96" s="43">
        <f t="shared" si="9"/>
        <v>1.65</v>
      </c>
      <c r="P96" s="44"/>
      <c r="Q96" s="45"/>
    </row>
    <row r="97" spans="1:17" ht="38.25" customHeight="1">
      <c r="A97" s="46" t="s">
        <v>1006</v>
      </c>
      <c r="B97" s="47" t="s">
        <v>1007</v>
      </c>
      <c r="C97" s="48" t="s">
        <v>881</v>
      </c>
      <c r="D97" s="49"/>
      <c r="E97" s="49"/>
      <c r="F97" s="49">
        <f t="shared" si="10"/>
        <v>17743275000</v>
      </c>
      <c r="G97" s="49"/>
      <c r="H97" s="49"/>
      <c r="I97" s="49"/>
      <c r="J97" s="49">
        <v>10050000000</v>
      </c>
      <c r="K97" s="49" t="e">
        <f t="shared" si="11"/>
        <v>#VALUE!</v>
      </c>
      <c r="L97" s="49"/>
      <c r="M97" s="49">
        <f t="shared" si="6"/>
        <v>1.07</v>
      </c>
      <c r="N97" s="49">
        <v>16582500000</v>
      </c>
      <c r="O97" s="49">
        <f t="shared" si="9"/>
        <v>1.65</v>
      </c>
      <c r="P97" s="50"/>
      <c r="Q97" s="39"/>
    </row>
    <row r="98" spans="1:17" ht="38.25" customHeight="1">
      <c r="A98" s="40" t="s">
        <v>1008</v>
      </c>
      <c r="B98" s="41" t="s">
        <v>1009</v>
      </c>
      <c r="C98" s="42" t="s">
        <v>881</v>
      </c>
      <c r="D98" s="43"/>
      <c r="E98" s="43"/>
      <c r="F98" s="43">
        <f t="shared" si="10"/>
        <v>20656350000</v>
      </c>
      <c r="G98" s="43"/>
      <c r="H98" s="43"/>
      <c r="I98" s="43"/>
      <c r="J98" s="43">
        <v>11700000000</v>
      </c>
      <c r="K98" s="43" t="e">
        <f t="shared" si="11"/>
        <v>#VALUE!</v>
      </c>
      <c r="L98" s="43"/>
      <c r="M98" s="43">
        <f t="shared" si="6"/>
        <v>1.07</v>
      </c>
      <c r="N98" s="43">
        <v>19305000000</v>
      </c>
      <c r="O98" s="43">
        <f t="shared" si="9"/>
        <v>1.65</v>
      </c>
      <c r="P98" s="44"/>
      <c r="Q98" s="45"/>
    </row>
    <row r="99" spans="1:17" ht="25.5" customHeight="1">
      <c r="A99" s="51" t="s">
        <v>1010</v>
      </c>
      <c r="B99" s="47" t="s">
        <v>1011</v>
      </c>
      <c r="C99" s="48" t="s">
        <v>881</v>
      </c>
      <c r="D99" s="49"/>
      <c r="E99" s="49"/>
      <c r="F99" s="49">
        <f t="shared" si="10"/>
        <v>29660400</v>
      </c>
      <c r="G99" s="49"/>
      <c r="H99" s="49"/>
      <c r="I99" s="49"/>
      <c r="J99" s="49">
        <v>16800000</v>
      </c>
      <c r="K99" s="49" t="e">
        <f t="shared" si="11"/>
        <v>#VALUE!</v>
      </c>
      <c r="L99" s="49"/>
      <c r="M99" s="49">
        <f t="shared" ref="M99:M130" si="12">F99/N99</f>
        <v>1.07</v>
      </c>
      <c r="N99" s="49">
        <v>27720000</v>
      </c>
      <c r="O99" s="49">
        <f t="shared" si="9"/>
        <v>1.65</v>
      </c>
      <c r="P99" s="50"/>
      <c r="Q99" s="39"/>
    </row>
    <row r="100" spans="1:17" ht="25.5" customHeight="1">
      <c r="A100" s="52" t="s">
        <v>1012</v>
      </c>
      <c r="B100" s="41" t="s">
        <v>1013</v>
      </c>
      <c r="C100" s="42" t="s">
        <v>881</v>
      </c>
      <c r="D100" s="43"/>
      <c r="E100" s="43"/>
      <c r="F100" s="43">
        <f t="shared" si="10"/>
        <v>42018900</v>
      </c>
      <c r="G100" s="43"/>
      <c r="H100" s="43"/>
      <c r="I100" s="43"/>
      <c r="J100" s="43">
        <v>23800000</v>
      </c>
      <c r="K100" s="43" t="e">
        <f t="shared" si="11"/>
        <v>#VALUE!</v>
      </c>
      <c r="L100" s="43"/>
      <c r="M100" s="43">
        <f t="shared" si="12"/>
        <v>1.07</v>
      </c>
      <c r="N100" s="43">
        <v>39270000</v>
      </c>
      <c r="O100" s="43">
        <f t="shared" si="9"/>
        <v>1.65</v>
      </c>
      <c r="P100" s="44"/>
      <c r="Q100" s="45"/>
    </row>
    <row r="101" spans="1:17" ht="25.5" customHeight="1">
      <c r="A101" s="51" t="s">
        <v>1014</v>
      </c>
      <c r="B101" s="47" t="s">
        <v>1015</v>
      </c>
      <c r="C101" s="48" t="s">
        <v>881</v>
      </c>
      <c r="D101" s="49"/>
      <c r="E101" s="49"/>
      <c r="F101" s="49">
        <f t="shared" si="10"/>
        <v>51905700</v>
      </c>
      <c r="G101" s="49"/>
      <c r="H101" s="49"/>
      <c r="I101" s="49"/>
      <c r="J101" s="49">
        <v>29400000</v>
      </c>
      <c r="K101" s="49" t="e">
        <f t="shared" si="11"/>
        <v>#VALUE!</v>
      </c>
      <c r="L101" s="49"/>
      <c r="M101" s="49">
        <f t="shared" si="12"/>
        <v>1.07</v>
      </c>
      <c r="N101" s="49">
        <v>48510000</v>
      </c>
      <c r="O101" s="49">
        <f t="shared" si="9"/>
        <v>1.65</v>
      </c>
      <c r="P101" s="50"/>
      <c r="Q101" s="39"/>
    </row>
    <row r="102" spans="1:17" ht="25.5" customHeight="1">
      <c r="A102" s="52" t="s">
        <v>1016</v>
      </c>
      <c r="B102" s="41" t="s">
        <v>1017</v>
      </c>
      <c r="C102" s="42" t="s">
        <v>881</v>
      </c>
      <c r="D102" s="43"/>
      <c r="E102" s="43"/>
      <c r="F102" s="43">
        <f t="shared" si="10"/>
        <v>76622700</v>
      </c>
      <c r="G102" s="43"/>
      <c r="H102" s="43"/>
      <c r="I102" s="43"/>
      <c r="J102" s="43">
        <v>43400000</v>
      </c>
      <c r="K102" s="43" t="e">
        <f t="shared" si="11"/>
        <v>#VALUE!</v>
      </c>
      <c r="L102" s="43"/>
      <c r="M102" s="43">
        <f t="shared" si="12"/>
        <v>1.07</v>
      </c>
      <c r="N102" s="43">
        <v>71610000</v>
      </c>
      <c r="O102" s="43">
        <f t="shared" si="9"/>
        <v>1.65</v>
      </c>
      <c r="P102" s="44"/>
      <c r="Q102" s="45"/>
    </row>
    <row r="103" spans="1:17" ht="25.5" customHeight="1">
      <c r="A103" s="51" t="s">
        <v>1018</v>
      </c>
      <c r="B103" s="47" t="s">
        <v>1019</v>
      </c>
      <c r="C103" s="48" t="s">
        <v>881</v>
      </c>
      <c r="D103" s="49"/>
      <c r="E103" s="49"/>
      <c r="F103" s="49">
        <f t="shared" si="10"/>
        <v>96396300</v>
      </c>
      <c r="G103" s="49"/>
      <c r="H103" s="49"/>
      <c r="I103" s="49"/>
      <c r="J103" s="49">
        <v>54600000</v>
      </c>
      <c r="K103" s="49" t="e">
        <f t="shared" si="11"/>
        <v>#VALUE!</v>
      </c>
      <c r="L103" s="49"/>
      <c r="M103" s="49">
        <f t="shared" si="12"/>
        <v>1.07</v>
      </c>
      <c r="N103" s="49">
        <v>90090000</v>
      </c>
      <c r="O103" s="49">
        <f t="shared" si="9"/>
        <v>1.65</v>
      </c>
      <c r="P103" s="50"/>
      <c r="Q103" s="39"/>
    </row>
    <row r="104" spans="1:17" ht="25.5" customHeight="1">
      <c r="A104" s="52" t="s">
        <v>1020</v>
      </c>
      <c r="B104" s="41" t="s">
        <v>1021</v>
      </c>
      <c r="C104" s="42" t="s">
        <v>881</v>
      </c>
      <c r="D104" s="43"/>
      <c r="E104" s="43"/>
      <c r="F104" s="43">
        <f t="shared" si="10"/>
        <v>121113300</v>
      </c>
      <c r="G104" s="43"/>
      <c r="H104" s="43"/>
      <c r="I104" s="43"/>
      <c r="J104" s="43">
        <v>68600000</v>
      </c>
      <c r="K104" s="43" t="e">
        <f t="shared" si="11"/>
        <v>#VALUE!</v>
      </c>
      <c r="L104" s="43"/>
      <c r="M104" s="43">
        <f t="shared" si="12"/>
        <v>1.07</v>
      </c>
      <c r="N104" s="43">
        <v>113190000</v>
      </c>
      <c r="O104" s="43">
        <f t="shared" si="9"/>
        <v>1.65</v>
      </c>
      <c r="P104" s="44"/>
      <c r="Q104" s="45"/>
    </row>
    <row r="105" spans="1:17" ht="25.5" customHeight="1">
      <c r="A105" s="51" t="s">
        <v>1022</v>
      </c>
      <c r="B105" s="47" t="s">
        <v>1023</v>
      </c>
      <c r="C105" s="48" t="s">
        <v>881</v>
      </c>
      <c r="D105" s="49"/>
      <c r="E105" s="49"/>
      <c r="F105" s="49">
        <f t="shared" si="10"/>
        <v>175490700</v>
      </c>
      <c r="G105" s="49"/>
      <c r="H105" s="49"/>
      <c r="I105" s="49"/>
      <c r="J105" s="49">
        <v>99400000</v>
      </c>
      <c r="K105" s="49" t="e">
        <f t="shared" si="11"/>
        <v>#VALUE!</v>
      </c>
      <c r="L105" s="49"/>
      <c r="M105" s="49">
        <f t="shared" si="12"/>
        <v>1.07</v>
      </c>
      <c r="N105" s="49">
        <v>164010000</v>
      </c>
      <c r="O105" s="49">
        <f t="shared" si="9"/>
        <v>1.65</v>
      </c>
      <c r="P105" s="50"/>
      <c r="Q105" s="39"/>
    </row>
    <row r="106" spans="1:17" ht="25.5" customHeight="1">
      <c r="A106" s="52" t="s">
        <v>1024</v>
      </c>
      <c r="B106" s="41" t="s">
        <v>1025</v>
      </c>
      <c r="C106" s="42" t="s">
        <v>881</v>
      </c>
      <c r="D106" s="43"/>
      <c r="E106" s="43"/>
      <c r="F106" s="43">
        <f t="shared" si="10"/>
        <v>242226600</v>
      </c>
      <c r="G106" s="43"/>
      <c r="H106" s="43"/>
      <c r="I106" s="43"/>
      <c r="J106" s="43">
        <v>137200000</v>
      </c>
      <c r="K106" s="43" t="e">
        <f t="shared" si="11"/>
        <v>#VALUE!</v>
      </c>
      <c r="L106" s="43"/>
      <c r="M106" s="43">
        <f t="shared" si="12"/>
        <v>1.07</v>
      </c>
      <c r="N106" s="43">
        <v>226380000</v>
      </c>
      <c r="O106" s="43">
        <f t="shared" si="9"/>
        <v>1.65</v>
      </c>
      <c r="P106" s="44"/>
      <c r="Q106" s="45"/>
    </row>
    <row r="107" spans="1:17" ht="25.5" customHeight="1">
      <c r="A107" s="51" t="s">
        <v>1026</v>
      </c>
      <c r="B107" s="47" t="s">
        <v>1027</v>
      </c>
      <c r="C107" s="48" t="s">
        <v>881</v>
      </c>
      <c r="D107" s="49"/>
      <c r="E107" s="49"/>
      <c r="F107" s="49">
        <f t="shared" si="10"/>
        <v>311434200</v>
      </c>
      <c r="G107" s="49"/>
      <c r="H107" s="49"/>
      <c r="I107" s="49"/>
      <c r="J107" s="49">
        <v>176400000</v>
      </c>
      <c r="K107" s="49" t="e">
        <f t="shared" si="11"/>
        <v>#VALUE!</v>
      </c>
      <c r="L107" s="49"/>
      <c r="M107" s="49">
        <f t="shared" si="12"/>
        <v>1.07</v>
      </c>
      <c r="N107" s="49">
        <v>291060000</v>
      </c>
      <c r="O107" s="49">
        <f t="shared" si="9"/>
        <v>1.65</v>
      </c>
      <c r="P107" s="50"/>
      <c r="Q107" s="39"/>
    </row>
    <row r="108" spans="1:17" ht="25.5" customHeight="1">
      <c r="A108" s="52" t="s">
        <v>1028</v>
      </c>
      <c r="B108" s="41" t="s">
        <v>1029</v>
      </c>
      <c r="C108" s="42" t="s">
        <v>881</v>
      </c>
      <c r="D108" s="43"/>
      <c r="E108" s="43"/>
      <c r="F108" s="43">
        <f t="shared" si="10"/>
        <v>380641800</v>
      </c>
      <c r="G108" s="43"/>
      <c r="H108" s="43"/>
      <c r="I108" s="43"/>
      <c r="J108" s="43">
        <v>215600000</v>
      </c>
      <c r="K108" s="43" t="e">
        <f t="shared" si="11"/>
        <v>#VALUE!</v>
      </c>
      <c r="L108" s="43"/>
      <c r="M108" s="43">
        <f t="shared" si="12"/>
        <v>1.07</v>
      </c>
      <c r="N108" s="43">
        <v>355740000</v>
      </c>
      <c r="O108" s="43">
        <f t="shared" si="9"/>
        <v>1.65</v>
      </c>
      <c r="P108" s="44"/>
      <c r="Q108" s="45"/>
    </row>
    <row r="109" spans="1:17" ht="25.5" customHeight="1">
      <c r="A109" s="51" t="s">
        <v>1030</v>
      </c>
      <c r="B109" s="47" t="s">
        <v>1031</v>
      </c>
      <c r="C109" s="48" t="s">
        <v>881</v>
      </c>
      <c r="D109" s="49"/>
      <c r="E109" s="49"/>
      <c r="F109" s="49">
        <f t="shared" si="10"/>
        <v>449849400</v>
      </c>
      <c r="G109" s="49"/>
      <c r="H109" s="49"/>
      <c r="I109" s="49"/>
      <c r="J109" s="49">
        <v>254800000</v>
      </c>
      <c r="K109" s="49" t="e">
        <f t="shared" si="11"/>
        <v>#VALUE!</v>
      </c>
      <c r="L109" s="49"/>
      <c r="M109" s="49">
        <f t="shared" si="12"/>
        <v>1.07</v>
      </c>
      <c r="N109" s="49">
        <v>420420000</v>
      </c>
      <c r="O109" s="49">
        <f t="shared" si="9"/>
        <v>1.65</v>
      </c>
      <c r="P109" s="50"/>
      <c r="Q109" s="39"/>
    </row>
    <row r="110" spans="1:17" ht="25.5" customHeight="1">
      <c r="A110" s="52" t="s">
        <v>1032</v>
      </c>
      <c r="B110" s="41" t="s">
        <v>1033</v>
      </c>
      <c r="C110" s="42" t="s">
        <v>881</v>
      </c>
      <c r="D110" s="43"/>
      <c r="E110" s="43"/>
      <c r="F110" s="43">
        <f t="shared" si="10"/>
        <v>519057000.00000006</v>
      </c>
      <c r="G110" s="43"/>
      <c r="H110" s="43"/>
      <c r="I110" s="43"/>
      <c r="J110" s="43">
        <v>294000000</v>
      </c>
      <c r="K110" s="43" t="e">
        <f t="shared" si="11"/>
        <v>#VALUE!</v>
      </c>
      <c r="L110" s="43"/>
      <c r="M110" s="43">
        <f t="shared" si="12"/>
        <v>1.07</v>
      </c>
      <c r="N110" s="43">
        <v>485100000</v>
      </c>
      <c r="O110" s="43">
        <f t="shared" si="9"/>
        <v>1.65</v>
      </c>
      <c r="P110" s="44"/>
      <c r="Q110" s="45"/>
    </row>
    <row r="111" spans="1:17" ht="25.5" customHeight="1">
      <c r="A111" s="51" t="s">
        <v>1034</v>
      </c>
      <c r="B111" s="47" t="s">
        <v>1035</v>
      </c>
      <c r="C111" s="48" t="s">
        <v>881</v>
      </c>
      <c r="D111" s="49"/>
      <c r="E111" s="49"/>
      <c r="F111" s="49">
        <f t="shared" si="10"/>
        <v>588264600</v>
      </c>
      <c r="G111" s="49"/>
      <c r="H111" s="49"/>
      <c r="I111" s="49"/>
      <c r="J111" s="49">
        <v>333200000</v>
      </c>
      <c r="K111" s="49" t="e">
        <f t="shared" si="11"/>
        <v>#VALUE!</v>
      </c>
      <c r="L111" s="49"/>
      <c r="M111" s="49">
        <f t="shared" si="12"/>
        <v>1.07</v>
      </c>
      <c r="N111" s="49">
        <v>549780000</v>
      </c>
      <c r="O111" s="49">
        <f t="shared" si="9"/>
        <v>1.65</v>
      </c>
      <c r="P111" s="50"/>
      <c r="Q111" s="39"/>
    </row>
    <row r="112" spans="1:17" ht="63.75" customHeight="1">
      <c r="A112" s="52" t="s">
        <v>1036</v>
      </c>
      <c r="B112" s="41" t="s">
        <v>1037</v>
      </c>
      <c r="C112" s="42" t="s">
        <v>881</v>
      </c>
      <c r="D112" s="43"/>
      <c r="E112" s="43"/>
      <c r="F112" s="43">
        <f t="shared" si="10"/>
        <v>0</v>
      </c>
      <c r="G112" s="43"/>
      <c r="H112" s="43"/>
      <c r="I112" s="43"/>
      <c r="J112" s="43"/>
      <c r="K112" s="43"/>
      <c r="L112" s="43"/>
      <c r="M112" s="43" t="e">
        <f t="shared" si="12"/>
        <v>#DIV/0!</v>
      </c>
      <c r="N112" s="43"/>
      <c r="O112" s="43"/>
      <c r="P112" s="44"/>
      <c r="Q112" s="45"/>
    </row>
    <row r="113" spans="1:17" ht="63.75" customHeight="1">
      <c r="A113" s="51" t="s">
        <v>1038</v>
      </c>
      <c r="B113" s="47" t="s">
        <v>1039</v>
      </c>
      <c r="C113" s="48" t="s">
        <v>881</v>
      </c>
      <c r="D113" s="49"/>
      <c r="E113" s="49"/>
      <c r="F113" s="49">
        <f t="shared" si="10"/>
        <v>0</v>
      </c>
      <c r="G113" s="49"/>
      <c r="H113" s="49"/>
      <c r="I113" s="49"/>
      <c r="J113" s="49"/>
      <c r="K113" s="49"/>
      <c r="L113" s="49"/>
      <c r="M113" s="49" t="e">
        <f t="shared" si="12"/>
        <v>#DIV/0!</v>
      </c>
      <c r="N113" s="49"/>
      <c r="O113" s="49"/>
      <c r="P113" s="50"/>
      <c r="Q113" s="39"/>
    </row>
    <row r="114" spans="1:17" ht="63.75" customHeight="1">
      <c r="A114" s="52" t="s">
        <v>1040</v>
      </c>
      <c r="B114" s="41" t="s">
        <v>1041</v>
      </c>
      <c r="C114" s="42" t="s">
        <v>881</v>
      </c>
      <c r="D114" s="43"/>
      <c r="E114" s="43"/>
      <c r="F114" s="43">
        <f t="shared" si="10"/>
        <v>0</v>
      </c>
      <c r="G114" s="43"/>
      <c r="H114" s="43"/>
      <c r="I114" s="43"/>
      <c r="J114" s="43"/>
      <c r="K114" s="43"/>
      <c r="L114" s="43"/>
      <c r="M114" s="43" t="e">
        <f t="shared" si="12"/>
        <v>#DIV/0!</v>
      </c>
      <c r="N114" s="43"/>
      <c r="O114" s="43"/>
      <c r="P114" s="44"/>
      <c r="Q114" s="45"/>
    </row>
    <row r="115" spans="1:17" ht="63.75" customHeight="1">
      <c r="A115" s="51" t="s">
        <v>1042</v>
      </c>
      <c r="B115" s="47" t="s">
        <v>1043</v>
      </c>
      <c r="C115" s="48" t="s">
        <v>881</v>
      </c>
      <c r="D115" s="49"/>
      <c r="E115" s="49"/>
      <c r="F115" s="49">
        <f t="shared" si="10"/>
        <v>0</v>
      </c>
      <c r="G115" s="49"/>
      <c r="H115" s="49"/>
      <c r="I115" s="49"/>
      <c r="J115" s="49"/>
      <c r="K115" s="49"/>
      <c r="L115" s="49"/>
      <c r="M115" s="49" t="e">
        <f t="shared" si="12"/>
        <v>#DIV/0!</v>
      </c>
      <c r="N115" s="49"/>
      <c r="O115" s="49"/>
      <c r="P115" s="50"/>
      <c r="Q115" s="39"/>
    </row>
    <row r="116" spans="1:17" ht="63.75" customHeight="1">
      <c r="A116" s="52" t="s">
        <v>1044</v>
      </c>
      <c r="B116" s="41" t="s">
        <v>1045</v>
      </c>
      <c r="C116" s="42" t="s">
        <v>881</v>
      </c>
      <c r="D116" s="43"/>
      <c r="E116" s="43"/>
      <c r="F116" s="43">
        <f t="shared" si="10"/>
        <v>0</v>
      </c>
      <c r="G116" s="43"/>
      <c r="H116" s="43"/>
      <c r="I116" s="43"/>
      <c r="J116" s="43"/>
      <c r="K116" s="43"/>
      <c r="L116" s="43"/>
      <c r="M116" s="43" t="e">
        <f t="shared" si="12"/>
        <v>#DIV/0!</v>
      </c>
      <c r="N116" s="43"/>
      <c r="O116" s="43"/>
      <c r="P116" s="44"/>
      <c r="Q116" s="45"/>
    </row>
    <row r="117" spans="1:17" ht="63.75" customHeight="1">
      <c r="A117" s="51" t="s">
        <v>1046</v>
      </c>
      <c r="B117" s="47" t="s">
        <v>1047</v>
      </c>
      <c r="C117" s="48" t="s">
        <v>881</v>
      </c>
      <c r="D117" s="49"/>
      <c r="E117" s="49"/>
      <c r="F117" s="49">
        <f t="shared" si="10"/>
        <v>0</v>
      </c>
      <c r="G117" s="49"/>
      <c r="H117" s="49"/>
      <c r="I117" s="49"/>
      <c r="J117" s="49"/>
      <c r="K117" s="49"/>
      <c r="L117" s="49"/>
      <c r="M117" s="49" t="e">
        <f t="shared" si="12"/>
        <v>#DIV/0!</v>
      </c>
      <c r="N117" s="49"/>
      <c r="O117" s="49"/>
      <c r="P117" s="50"/>
      <c r="Q117" s="39"/>
    </row>
    <row r="118" spans="1:17" ht="63.75" customHeight="1">
      <c r="A118" s="52" t="s">
        <v>1048</v>
      </c>
      <c r="B118" s="41" t="s">
        <v>1049</v>
      </c>
      <c r="C118" s="42" t="s">
        <v>881</v>
      </c>
      <c r="D118" s="43"/>
      <c r="E118" s="43"/>
      <c r="F118" s="43">
        <f t="shared" ref="F118:F139" si="13">N118*1.07</f>
        <v>0</v>
      </c>
      <c r="G118" s="43"/>
      <c r="H118" s="43"/>
      <c r="I118" s="43"/>
      <c r="J118" s="43"/>
      <c r="K118" s="43"/>
      <c r="L118" s="43"/>
      <c r="M118" s="43" t="e">
        <f t="shared" si="12"/>
        <v>#DIV/0!</v>
      </c>
      <c r="N118" s="43"/>
      <c r="O118" s="43"/>
      <c r="P118" s="44"/>
      <c r="Q118" s="45"/>
    </row>
    <row r="119" spans="1:17" ht="38.25" customHeight="1">
      <c r="A119" s="51" t="s">
        <v>1050</v>
      </c>
      <c r="B119" s="47" t="s">
        <v>1051</v>
      </c>
      <c r="C119" s="48" t="s">
        <v>881</v>
      </c>
      <c r="D119" s="49"/>
      <c r="E119" s="49"/>
      <c r="F119" s="49">
        <f t="shared" si="13"/>
        <v>0</v>
      </c>
      <c r="G119" s="49"/>
      <c r="H119" s="49"/>
      <c r="I119" s="49"/>
      <c r="J119" s="49"/>
      <c r="K119" s="49"/>
      <c r="L119" s="49"/>
      <c r="M119" s="49" t="e">
        <f t="shared" si="12"/>
        <v>#DIV/0!</v>
      </c>
      <c r="N119" s="49"/>
      <c r="O119" s="49"/>
      <c r="P119" s="50"/>
      <c r="Q119" s="39"/>
    </row>
    <row r="120" spans="1:17" ht="38.25" customHeight="1">
      <c r="A120" s="52" t="s">
        <v>1052</v>
      </c>
      <c r="B120" s="41" t="s">
        <v>1053</v>
      </c>
      <c r="C120" s="42" t="s">
        <v>881</v>
      </c>
      <c r="D120" s="43"/>
      <c r="E120" s="43"/>
      <c r="F120" s="43">
        <f t="shared" si="13"/>
        <v>0</v>
      </c>
      <c r="G120" s="43"/>
      <c r="H120" s="43"/>
      <c r="I120" s="43"/>
      <c r="J120" s="43"/>
      <c r="K120" s="43"/>
      <c r="L120" s="43"/>
      <c r="M120" s="43" t="e">
        <f t="shared" si="12"/>
        <v>#DIV/0!</v>
      </c>
      <c r="N120" s="43"/>
      <c r="O120" s="43"/>
      <c r="P120" s="44"/>
      <c r="Q120" s="45"/>
    </row>
    <row r="121" spans="1:17" ht="38.25" customHeight="1">
      <c r="A121" s="51" t="s">
        <v>1054</v>
      </c>
      <c r="B121" s="47" t="s">
        <v>1055</v>
      </c>
      <c r="C121" s="48" t="s">
        <v>881</v>
      </c>
      <c r="D121" s="49"/>
      <c r="E121" s="49"/>
      <c r="F121" s="49">
        <f t="shared" si="13"/>
        <v>0</v>
      </c>
      <c r="G121" s="49"/>
      <c r="H121" s="49"/>
      <c r="I121" s="49"/>
      <c r="J121" s="49"/>
      <c r="K121" s="49"/>
      <c r="L121" s="49"/>
      <c r="M121" s="49" t="e">
        <f t="shared" si="12"/>
        <v>#DIV/0!</v>
      </c>
      <c r="N121" s="49"/>
      <c r="O121" s="49"/>
      <c r="P121" s="50"/>
      <c r="Q121" s="39"/>
    </row>
    <row r="122" spans="1:17" ht="38.25" customHeight="1">
      <c r="A122" s="52" t="s">
        <v>1056</v>
      </c>
      <c r="B122" s="41" t="s">
        <v>1057</v>
      </c>
      <c r="C122" s="42" t="s">
        <v>881</v>
      </c>
      <c r="D122" s="43"/>
      <c r="E122" s="43"/>
      <c r="F122" s="43">
        <f t="shared" si="13"/>
        <v>0</v>
      </c>
      <c r="G122" s="43"/>
      <c r="H122" s="43"/>
      <c r="I122" s="43"/>
      <c r="J122" s="43"/>
      <c r="K122" s="43"/>
      <c r="L122" s="43"/>
      <c r="M122" s="43" t="e">
        <f t="shared" si="12"/>
        <v>#DIV/0!</v>
      </c>
      <c r="N122" s="43"/>
      <c r="O122" s="43"/>
      <c r="P122" s="44"/>
      <c r="Q122" s="45"/>
    </row>
    <row r="123" spans="1:17" ht="38.25" customHeight="1">
      <c r="A123" s="51" t="s">
        <v>1058</v>
      </c>
      <c r="B123" s="47" t="s">
        <v>1059</v>
      </c>
      <c r="C123" s="48" t="s">
        <v>881</v>
      </c>
      <c r="D123" s="49"/>
      <c r="E123" s="49"/>
      <c r="F123" s="49">
        <f t="shared" si="13"/>
        <v>0</v>
      </c>
      <c r="G123" s="49"/>
      <c r="H123" s="49"/>
      <c r="I123" s="49"/>
      <c r="J123" s="49"/>
      <c r="K123" s="49"/>
      <c r="L123" s="49"/>
      <c r="M123" s="49" t="e">
        <f t="shared" si="12"/>
        <v>#DIV/0!</v>
      </c>
      <c r="N123" s="49"/>
      <c r="O123" s="49"/>
      <c r="P123" s="50"/>
      <c r="Q123" s="39"/>
    </row>
    <row r="124" spans="1:17" ht="38.25" customHeight="1">
      <c r="A124" s="52" t="s">
        <v>1060</v>
      </c>
      <c r="B124" s="41" t="s">
        <v>1061</v>
      </c>
      <c r="C124" s="42" t="s">
        <v>881</v>
      </c>
      <c r="D124" s="43"/>
      <c r="E124" s="43"/>
      <c r="F124" s="43">
        <f t="shared" si="13"/>
        <v>0</v>
      </c>
      <c r="G124" s="43"/>
      <c r="H124" s="43"/>
      <c r="I124" s="43"/>
      <c r="J124" s="43"/>
      <c r="K124" s="43"/>
      <c r="L124" s="43"/>
      <c r="M124" s="43" t="e">
        <f t="shared" si="12"/>
        <v>#DIV/0!</v>
      </c>
      <c r="N124" s="43"/>
      <c r="O124" s="43"/>
      <c r="P124" s="44"/>
      <c r="Q124" s="45"/>
    </row>
    <row r="125" spans="1:17" ht="38.25" customHeight="1">
      <c r="A125" s="51" t="s">
        <v>1062</v>
      </c>
      <c r="B125" s="47" t="s">
        <v>1063</v>
      </c>
      <c r="C125" s="48" t="s">
        <v>881</v>
      </c>
      <c r="D125" s="49"/>
      <c r="E125" s="49"/>
      <c r="F125" s="49">
        <f t="shared" si="13"/>
        <v>0</v>
      </c>
      <c r="G125" s="49"/>
      <c r="H125" s="49"/>
      <c r="I125" s="49"/>
      <c r="J125" s="49"/>
      <c r="K125" s="49"/>
      <c r="L125" s="49"/>
      <c r="M125" s="49" t="e">
        <f t="shared" si="12"/>
        <v>#DIV/0!</v>
      </c>
      <c r="N125" s="49"/>
      <c r="O125" s="49"/>
      <c r="P125" s="50"/>
      <c r="Q125" s="39"/>
    </row>
    <row r="126" spans="1:17" ht="38.25" customHeight="1">
      <c r="A126" s="52" t="s">
        <v>1064</v>
      </c>
      <c r="B126" s="41" t="s">
        <v>1065</v>
      </c>
      <c r="C126" s="42" t="s">
        <v>881</v>
      </c>
      <c r="D126" s="43"/>
      <c r="E126" s="43"/>
      <c r="F126" s="43">
        <f t="shared" si="13"/>
        <v>0</v>
      </c>
      <c r="G126" s="43"/>
      <c r="H126" s="43"/>
      <c r="I126" s="43"/>
      <c r="J126" s="43"/>
      <c r="K126" s="43"/>
      <c r="L126" s="43"/>
      <c r="M126" s="43" t="e">
        <f t="shared" si="12"/>
        <v>#DIV/0!</v>
      </c>
      <c r="N126" s="43"/>
      <c r="O126" s="43"/>
      <c r="P126" s="44"/>
      <c r="Q126" s="45"/>
    </row>
    <row r="127" spans="1:17" ht="38.25" customHeight="1">
      <c r="A127" s="51" t="s">
        <v>1066</v>
      </c>
      <c r="B127" s="47" t="s">
        <v>1067</v>
      </c>
      <c r="C127" s="48" t="s">
        <v>881</v>
      </c>
      <c r="D127" s="49"/>
      <c r="E127" s="49"/>
      <c r="F127" s="49">
        <f t="shared" si="13"/>
        <v>0</v>
      </c>
      <c r="G127" s="49"/>
      <c r="H127" s="49"/>
      <c r="I127" s="49"/>
      <c r="J127" s="49"/>
      <c r="K127" s="49"/>
      <c r="L127" s="49"/>
      <c r="M127" s="49" t="e">
        <f t="shared" si="12"/>
        <v>#DIV/0!</v>
      </c>
      <c r="N127" s="49"/>
      <c r="O127" s="49"/>
      <c r="P127" s="50"/>
      <c r="Q127" s="39"/>
    </row>
    <row r="128" spans="1:17" ht="38.25" customHeight="1">
      <c r="A128" s="40" t="s">
        <v>1068</v>
      </c>
      <c r="B128" s="41" t="s">
        <v>1069</v>
      </c>
      <c r="C128" s="42" t="s">
        <v>881</v>
      </c>
      <c r="D128" s="43"/>
      <c r="E128" s="43"/>
      <c r="F128" s="43">
        <f t="shared" si="13"/>
        <v>76081280</v>
      </c>
      <c r="G128" s="43"/>
      <c r="H128" s="43"/>
      <c r="I128" s="43"/>
      <c r="J128" s="43">
        <v>70400000</v>
      </c>
      <c r="K128" s="43"/>
      <c r="L128" s="43"/>
      <c r="M128" s="43">
        <f t="shared" si="12"/>
        <v>1.07</v>
      </c>
      <c r="N128" s="43">
        <f t="shared" ref="N128:N139" si="14">J128*1.01</f>
        <v>71104000</v>
      </c>
      <c r="O128" s="43">
        <f t="shared" ref="O128:O139" si="15">N128/J128</f>
        <v>1.01</v>
      </c>
      <c r="P128" s="44"/>
      <c r="Q128" s="45"/>
    </row>
    <row r="129" spans="1:17" ht="38.25" customHeight="1">
      <c r="A129" s="46" t="s">
        <v>1070</v>
      </c>
      <c r="B129" s="47" t="s">
        <v>1071</v>
      </c>
      <c r="C129" s="48" t="s">
        <v>881</v>
      </c>
      <c r="D129" s="49"/>
      <c r="E129" s="49"/>
      <c r="F129" s="49">
        <f t="shared" si="13"/>
        <v>95101600</v>
      </c>
      <c r="G129" s="49"/>
      <c r="H129" s="49"/>
      <c r="I129" s="49"/>
      <c r="J129" s="49">
        <v>88000000</v>
      </c>
      <c r="K129" s="49"/>
      <c r="L129" s="49"/>
      <c r="M129" s="49">
        <f t="shared" si="12"/>
        <v>1.07</v>
      </c>
      <c r="N129" s="49">
        <f t="shared" si="14"/>
        <v>88880000</v>
      </c>
      <c r="O129" s="49">
        <f t="shared" si="15"/>
        <v>1.01</v>
      </c>
      <c r="P129" s="50"/>
      <c r="Q129" s="39"/>
    </row>
    <row r="130" spans="1:17" ht="38.25" customHeight="1">
      <c r="A130" s="40" t="s">
        <v>1072</v>
      </c>
      <c r="B130" s="41" t="s">
        <v>1073</v>
      </c>
      <c r="C130" s="42" t="s">
        <v>881</v>
      </c>
      <c r="D130" s="43"/>
      <c r="E130" s="43"/>
      <c r="F130" s="43">
        <f t="shared" si="13"/>
        <v>118877000</v>
      </c>
      <c r="G130" s="43"/>
      <c r="H130" s="43"/>
      <c r="I130" s="43"/>
      <c r="J130" s="43">
        <v>110000000</v>
      </c>
      <c r="K130" s="43"/>
      <c r="L130" s="43"/>
      <c r="M130" s="43">
        <f t="shared" si="12"/>
        <v>1.07</v>
      </c>
      <c r="N130" s="43">
        <f t="shared" si="14"/>
        <v>111100000</v>
      </c>
      <c r="O130" s="43">
        <f t="shared" si="15"/>
        <v>1.01</v>
      </c>
      <c r="P130" s="44"/>
      <c r="Q130" s="45"/>
    </row>
    <row r="131" spans="1:17" ht="38.25" customHeight="1">
      <c r="A131" s="46" t="s">
        <v>1074</v>
      </c>
      <c r="B131" s="47" t="s">
        <v>1075</v>
      </c>
      <c r="C131" s="48" t="s">
        <v>881</v>
      </c>
      <c r="D131" s="49"/>
      <c r="E131" s="49"/>
      <c r="F131" s="49">
        <f t="shared" si="13"/>
        <v>106989300</v>
      </c>
      <c r="G131" s="49"/>
      <c r="H131" s="49"/>
      <c r="I131" s="49"/>
      <c r="J131" s="49">
        <v>99000000</v>
      </c>
      <c r="K131" s="49"/>
      <c r="L131" s="49"/>
      <c r="M131" s="49">
        <f t="shared" ref="M131:M162" si="16">F131/N131</f>
        <v>1.07</v>
      </c>
      <c r="N131" s="49">
        <f t="shared" si="14"/>
        <v>99990000</v>
      </c>
      <c r="O131" s="49">
        <f t="shared" si="15"/>
        <v>1.01</v>
      </c>
      <c r="P131" s="50"/>
      <c r="Q131" s="39"/>
    </row>
    <row r="132" spans="1:17" ht="38.25" customHeight="1">
      <c r="A132" s="40" t="s">
        <v>1076</v>
      </c>
      <c r="B132" s="41" t="s">
        <v>1077</v>
      </c>
      <c r="C132" s="42" t="s">
        <v>881</v>
      </c>
      <c r="D132" s="43"/>
      <c r="E132" s="43"/>
      <c r="F132" s="43">
        <f t="shared" si="13"/>
        <v>138329600</v>
      </c>
      <c r="G132" s="43"/>
      <c r="H132" s="43"/>
      <c r="I132" s="43"/>
      <c r="J132" s="43">
        <v>128000000</v>
      </c>
      <c r="K132" s="43"/>
      <c r="L132" s="43"/>
      <c r="M132" s="43">
        <f t="shared" si="16"/>
        <v>1.07</v>
      </c>
      <c r="N132" s="43">
        <f t="shared" si="14"/>
        <v>129280000</v>
      </c>
      <c r="O132" s="43">
        <f t="shared" si="15"/>
        <v>1.01</v>
      </c>
      <c r="P132" s="44"/>
      <c r="Q132" s="45"/>
    </row>
    <row r="133" spans="1:17" ht="38.25" customHeight="1">
      <c r="A133" s="46" t="s">
        <v>1078</v>
      </c>
      <c r="B133" s="47" t="s">
        <v>1079</v>
      </c>
      <c r="C133" s="48" t="s">
        <v>881</v>
      </c>
      <c r="D133" s="49"/>
      <c r="E133" s="49"/>
      <c r="F133" s="49">
        <f t="shared" si="13"/>
        <v>167508500</v>
      </c>
      <c r="G133" s="49"/>
      <c r="H133" s="49"/>
      <c r="I133" s="49"/>
      <c r="J133" s="49">
        <v>155000000</v>
      </c>
      <c r="K133" s="49"/>
      <c r="L133" s="49"/>
      <c r="M133" s="49">
        <f t="shared" si="16"/>
        <v>1.07</v>
      </c>
      <c r="N133" s="49">
        <f t="shared" si="14"/>
        <v>156550000</v>
      </c>
      <c r="O133" s="49">
        <f t="shared" si="15"/>
        <v>1.01</v>
      </c>
      <c r="P133" s="50"/>
      <c r="Q133" s="39"/>
    </row>
    <row r="134" spans="1:17" ht="38.25" customHeight="1">
      <c r="A134" s="40" t="s">
        <v>1080</v>
      </c>
      <c r="B134" s="41" t="s">
        <v>1081</v>
      </c>
      <c r="C134" s="42" t="s">
        <v>881</v>
      </c>
      <c r="D134" s="43"/>
      <c r="E134" s="43"/>
      <c r="F134" s="43">
        <f t="shared" si="13"/>
        <v>104827900</v>
      </c>
      <c r="G134" s="43"/>
      <c r="H134" s="43"/>
      <c r="I134" s="43"/>
      <c r="J134" s="43">
        <v>97000000</v>
      </c>
      <c r="K134" s="43"/>
      <c r="L134" s="43"/>
      <c r="M134" s="43">
        <f t="shared" si="16"/>
        <v>1.07</v>
      </c>
      <c r="N134" s="43">
        <f t="shared" si="14"/>
        <v>97970000</v>
      </c>
      <c r="O134" s="43">
        <f t="shared" si="15"/>
        <v>1.01</v>
      </c>
      <c r="P134" s="44"/>
      <c r="Q134" s="45"/>
    </row>
    <row r="135" spans="1:17" ht="38.25" customHeight="1">
      <c r="A135" s="46" t="s">
        <v>1082</v>
      </c>
      <c r="B135" s="47" t="s">
        <v>1083</v>
      </c>
      <c r="C135" s="48" t="s">
        <v>881</v>
      </c>
      <c r="D135" s="49"/>
      <c r="E135" s="49"/>
      <c r="F135" s="49">
        <f t="shared" si="13"/>
        <v>124280500</v>
      </c>
      <c r="G135" s="49"/>
      <c r="H135" s="49"/>
      <c r="I135" s="49"/>
      <c r="J135" s="49">
        <v>115000000</v>
      </c>
      <c r="K135" s="49"/>
      <c r="L135" s="49"/>
      <c r="M135" s="49">
        <f t="shared" si="16"/>
        <v>1.07</v>
      </c>
      <c r="N135" s="49">
        <f t="shared" si="14"/>
        <v>116150000</v>
      </c>
      <c r="O135" s="49">
        <f t="shared" si="15"/>
        <v>1.01</v>
      </c>
      <c r="P135" s="50"/>
      <c r="Q135" s="39"/>
    </row>
    <row r="136" spans="1:17" ht="38.25" customHeight="1">
      <c r="A136" s="40" t="s">
        <v>1084</v>
      </c>
      <c r="B136" s="41" t="s">
        <v>1085</v>
      </c>
      <c r="C136" s="42" t="s">
        <v>881</v>
      </c>
      <c r="D136" s="43"/>
      <c r="E136" s="43"/>
      <c r="F136" s="43">
        <f t="shared" si="13"/>
        <v>162105000</v>
      </c>
      <c r="G136" s="43"/>
      <c r="H136" s="43"/>
      <c r="I136" s="43"/>
      <c r="J136" s="43">
        <v>150000000</v>
      </c>
      <c r="K136" s="43"/>
      <c r="L136" s="43"/>
      <c r="M136" s="43">
        <f t="shared" si="16"/>
        <v>1.07</v>
      </c>
      <c r="N136" s="43">
        <f t="shared" si="14"/>
        <v>151500000</v>
      </c>
      <c r="O136" s="43">
        <f t="shared" si="15"/>
        <v>1.01</v>
      </c>
      <c r="P136" s="44"/>
      <c r="Q136" s="45"/>
    </row>
    <row r="137" spans="1:17" ht="38.25" customHeight="1">
      <c r="A137" s="46" t="s">
        <v>1086</v>
      </c>
      <c r="B137" s="47" t="s">
        <v>1087</v>
      </c>
      <c r="C137" s="48" t="s">
        <v>881</v>
      </c>
      <c r="D137" s="49"/>
      <c r="E137" s="49"/>
      <c r="F137" s="49">
        <f t="shared" si="13"/>
        <v>195606700</v>
      </c>
      <c r="G137" s="49"/>
      <c r="H137" s="49"/>
      <c r="I137" s="49"/>
      <c r="J137" s="49">
        <v>181000000</v>
      </c>
      <c r="K137" s="49"/>
      <c r="L137" s="49"/>
      <c r="M137" s="49">
        <f t="shared" si="16"/>
        <v>1.07</v>
      </c>
      <c r="N137" s="49">
        <f t="shared" si="14"/>
        <v>182810000</v>
      </c>
      <c r="O137" s="49">
        <f t="shared" si="15"/>
        <v>1.01</v>
      </c>
      <c r="P137" s="50"/>
      <c r="Q137" s="39"/>
    </row>
    <row r="138" spans="1:17" ht="38.25" customHeight="1">
      <c r="A138" s="40" t="s">
        <v>1088</v>
      </c>
      <c r="B138" s="41" t="s">
        <v>1089</v>
      </c>
      <c r="C138" s="42" t="s">
        <v>881</v>
      </c>
      <c r="D138" s="43"/>
      <c r="E138" s="43"/>
      <c r="F138" s="43">
        <f t="shared" si="13"/>
        <v>180476900</v>
      </c>
      <c r="G138" s="43"/>
      <c r="H138" s="43"/>
      <c r="I138" s="43"/>
      <c r="J138" s="43">
        <v>167000000</v>
      </c>
      <c r="K138" s="43"/>
      <c r="L138" s="43"/>
      <c r="M138" s="43">
        <f t="shared" si="16"/>
        <v>1.07</v>
      </c>
      <c r="N138" s="43">
        <f t="shared" si="14"/>
        <v>168670000</v>
      </c>
      <c r="O138" s="43">
        <f t="shared" si="15"/>
        <v>1.01</v>
      </c>
      <c r="P138" s="44"/>
      <c r="Q138" s="45"/>
    </row>
    <row r="139" spans="1:17" ht="38.25" customHeight="1">
      <c r="A139" s="46" t="s">
        <v>1090</v>
      </c>
      <c r="B139" s="47" t="s">
        <v>1091</v>
      </c>
      <c r="C139" s="48" t="s">
        <v>881</v>
      </c>
      <c r="D139" s="49"/>
      <c r="E139" s="49"/>
      <c r="F139" s="49">
        <f t="shared" si="13"/>
        <v>221543500</v>
      </c>
      <c r="G139" s="49"/>
      <c r="H139" s="49"/>
      <c r="I139" s="49"/>
      <c r="J139" s="49">
        <v>205000000</v>
      </c>
      <c r="K139" s="49"/>
      <c r="L139" s="49"/>
      <c r="M139" s="49">
        <f t="shared" si="16"/>
        <v>1.07</v>
      </c>
      <c r="N139" s="49">
        <f t="shared" si="14"/>
        <v>207050000</v>
      </c>
      <c r="O139" s="49">
        <f t="shared" si="15"/>
        <v>1.01</v>
      </c>
      <c r="P139" s="50"/>
      <c r="Q139" s="39"/>
    </row>
    <row r="140" spans="1:17" ht="38.25" customHeight="1">
      <c r="A140" s="40" t="s">
        <v>1092</v>
      </c>
      <c r="B140" s="41" t="s">
        <v>1093</v>
      </c>
      <c r="C140" s="42" t="s">
        <v>881</v>
      </c>
      <c r="D140" s="43"/>
      <c r="E140" s="43"/>
      <c r="F140" s="43"/>
      <c r="G140" s="43"/>
      <c r="H140" s="43"/>
      <c r="I140" s="43"/>
      <c r="J140" s="43"/>
      <c r="K140" s="43"/>
      <c r="L140" s="43"/>
      <c r="M140" s="43" t="e">
        <f t="shared" si="16"/>
        <v>#DIV/0!</v>
      </c>
      <c r="N140" s="43"/>
      <c r="O140" s="43"/>
      <c r="P140" s="44"/>
      <c r="Q140" s="45"/>
    </row>
    <row r="141" spans="1:17" ht="38.25" customHeight="1">
      <c r="A141" s="46" t="s">
        <v>1094</v>
      </c>
      <c r="B141" s="47" t="s">
        <v>1095</v>
      </c>
      <c r="C141" s="48" t="s">
        <v>881</v>
      </c>
      <c r="D141" s="49"/>
      <c r="E141" s="49"/>
      <c r="F141" s="49"/>
      <c r="G141" s="49"/>
      <c r="H141" s="49"/>
      <c r="I141" s="49"/>
      <c r="J141" s="49"/>
      <c r="K141" s="49"/>
      <c r="L141" s="49"/>
      <c r="M141" s="49" t="e">
        <f t="shared" si="16"/>
        <v>#DIV/0!</v>
      </c>
      <c r="N141" s="49"/>
      <c r="O141" s="49"/>
      <c r="P141" s="50"/>
      <c r="Q141" s="39"/>
    </row>
    <row r="142" spans="1:17" ht="38.25" customHeight="1">
      <c r="A142" s="40" t="s">
        <v>1096</v>
      </c>
      <c r="B142" s="41" t="s">
        <v>1097</v>
      </c>
      <c r="C142" s="42" t="s">
        <v>881</v>
      </c>
      <c r="D142" s="43"/>
      <c r="E142" s="43"/>
      <c r="F142" s="43"/>
      <c r="G142" s="43"/>
      <c r="H142" s="43"/>
      <c r="I142" s="43"/>
      <c r="J142" s="43"/>
      <c r="K142" s="43"/>
      <c r="L142" s="43"/>
      <c r="M142" s="43" t="e">
        <f t="shared" si="16"/>
        <v>#DIV/0!</v>
      </c>
      <c r="N142" s="43"/>
      <c r="O142" s="43"/>
      <c r="P142" s="44"/>
      <c r="Q142" s="45"/>
    </row>
    <row r="143" spans="1:17" ht="38.25" customHeight="1">
      <c r="A143" s="46" t="s">
        <v>1098</v>
      </c>
      <c r="B143" s="47" t="s">
        <v>1099</v>
      </c>
      <c r="C143" s="48" t="s">
        <v>881</v>
      </c>
      <c r="D143" s="49"/>
      <c r="E143" s="49"/>
      <c r="F143" s="49"/>
      <c r="G143" s="49"/>
      <c r="H143" s="49"/>
      <c r="I143" s="49"/>
      <c r="J143" s="49"/>
      <c r="K143" s="49"/>
      <c r="L143" s="49"/>
      <c r="M143" s="49" t="e">
        <f t="shared" si="16"/>
        <v>#DIV/0!</v>
      </c>
      <c r="N143" s="49"/>
      <c r="O143" s="49"/>
      <c r="P143" s="50"/>
      <c r="Q143" s="39"/>
    </row>
    <row r="144" spans="1:17" ht="38.25" customHeight="1">
      <c r="A144" s="40" t="s">
        <v>1100</v>
      </c>
      <c r="B144" s="41" t="s">
        <v>1101</v>
      </c>
      <c r="C144" s="42" t="s">
        <v>881</v>
      </c>
      <c r="D144" s="43"/>
      <c r="E144" s="43"/>
      <c r="F144" s="43"/>
      <c r="G144" s="43"/>
      <c r="H144" s="43"/>
      <c r="I144" s="43"/>
      <c r="J144" s="43"/>
      <c r="K144" s="43"/>
      <c r="L144" s="43"/>
      <c r="M144" s="43" t="e">
        <f t="shared" si="16"/>
        <v>#DIV/0!</v>
      </c>
      <c r="N144" s="43"/>
      <c r="O144" s="43"/>
      <c r="P144" s="44"/>
      <c r="Q144" s="45"/>
    </row>
    <row r="145" spans="1:17" ht="38.25" customHeight="1">
      <c r="A145" s="46" t="s">
        <v>1102</v>
      </c>
      <c r="B145" s="47" t="s">
        <v>1103</v>
      </c>
      <c r="C145" s="48" t="s">
        <v>881</v>
      </c>
      <c r="D145" s="49"/>
      <c r="E145" s="49"/>
      <c r="F145" s="49"/>
      <c r="G145" s="49"/>
      <c r="H145" s="49"/>
      <c r="I145" s="49"/>
      <c r="J145" s="49"/>
      <c r="K145" s="49"/>
      <c r="L145" s="49"/>
      <c r="M145" s="49" t="e">
        <f t="shared" si="16"/>
        <v>#DIV/0!</v>
      </c>
      <c r="N145" s="49"/>
      <c r="O145" s="49"/>
      <c r="P145" s="50"/>
      <c r="Q145" s="39"/>
    </row>
    <row r="146" spans="1:17" ht="38.25" customHeight="1">
      <c r="A146" s="40" t="s">
        <v>1104</v>
      </c>
      <c r="B146" s="41" t="s">
        <v>1105</v>
      </c>
      <c r="C146" s="42" t="s">
        <v>881</v>
      </c>
      <c r="D146" s="43"/>
      <c r="E146" s="43"/>
      <c r="F146" s="43"/>
      <c r="G146" s="43"/>
      <c r="H146" s="43"/>
      <c r="I146" s="43"/>
      <c r="J146" s="43"/>
      <c r="K146" s="43"/>
      <c r="L146" s="43"/>
      <c r="M146" s="43" t="e">
        <f t="shared" si="16"/>
        <v>#DIV/0!</v>
      </c>
      <c r="N146" s="43"/>
      <c r="O146" s="43"/>
      <c r="P146" s="44"/>
      <c r="Q146" s="45"/>
    </row>
    <row r="147" spans="1:17" ht="38.25" customHeight="1">
      <c r="A147" s="46" t="s">
        <v>1106</v>
      </c>
      <c r="B147" s="47" t="s">
        <v>1107</v>
      </c>
      <c r="C147" s="48" t="s">
        <v>881</v>
      </c>
      <c r="D147" s="49"/>
      <c r="E147" s="49"/>
      <c r="F147" s="49"/>
      <c r="G147" s="49"/>
      <c r="H147" s="49"/>
      <c r="I147" s="49"/>
      <c r="J147" s="49"/>
      <c r="K147" s="49"/>
      <c r="L147" s="49"/>
      <c r="M147" s="49" t="e">
        <f t="shared" si="16"/>
        <v>#DIV/0!</v>
      </c>
      <c r="N147" s="49"/>
      <c r="O147" s="49"/>
      <c r="P147" s="50"/>
      <c r="Q147" s="39"/>
    </row>
    <row r="148" spans="1:17" ht="38.25" customHeight="1">
      <c r="A148" s="40" t="s">
        <v>1108</v>
      </c>
      <c r="B148" s="41" t="s">
        <v>1109</v>
      </c>
      <c r="C148" s="42" t="s">
        <v>881</v>
      </c>
      <c r="D148" s="43"/>
      <c r="E148" s="43"/>
      <c r="F148" s="43"/>
      <c r="G148" s="43"/>
      <c r="H148" s="43"/>
      <c r="I148" s="43"/>
      <c r="J148" s="43"/>
      <c r="K148" s="43"/>
      <c r="L148" s="43"/>
      <c r="M148" s="43" t="e">
        <f t="shared" si="16"/>
        <v>#DIV/0!</v>
      </c>
      <c r="N148" s="43"/>
      <c r="O148" s="43"/>
      <c r="P148" s="44"/>
      <c r="Q148" s="45"/>
    </row>
    <row r="149" spans="1:17" ht="38.25" customHeight="1">
      <c r="A149" s="46" t="s">
        <v>1110</v>
      </c>
      <c r="B149" s="47" t="s">
        <v>1111</v>
      </c>
      <c r="C149" s="48" t="s">
        <v>881</v>
      </c>
      <c r="D149" s="49"/>
      <c r="E149" s="49"/>
      <c r="F149" s="49"/>
      <c r="G149" s="49"/>
      <c r="H149" s="49"/>
      <c r="I149" s="49"/>
      <c r="J149" s="49"/>
      <c r="K149" s="49"/>
      <c r="L149" s="49"/>
      <c r="M149" s="49" t="e">
        <f t="shared" si="16"/>
        <v>#DIV/0!</v>
      </c>
      <c r="N149" s="49"/>
      <c r="O149" s="49"/>
      <c r="P149" s="50"/>
      <c r="Q149" s="39"/>
    </row>
    <row r="150" spans="1:17" ht="38.25" customHeight="1">
      <c r="A150" s="40" t="s">
        <v>1112</v>
      </c>
      <c r="B150" s="41" t="s">
        <v>1113</v>
      </c>
      <c r="C150" s="42" t="s">
        <v>881</v>
      </c>
      <c r="D150" s="43"/>
      <c r="E150" s="43"/>
      <c r="F150" s="43"/>
      <c r="G150" s="43"/>
      <c r="H150" s="43"/>
      <c r="I150" s="43"/>
      <c r="J150" s="43"/>
      <c r="K150" s="43"/>
      <c r="L150" s="43"/>
      <c r="M150" s="43" t="e">
        <f t="shared" si="16"/>
        <v>#DIV/0!</v>
      </c>
      <c r="N150" s="43"/>
      <c r="O150" s="43"/>
      <c r="P150" s="44"/>
      <c r="Q150" s="45"/>
    </row>
    <row r="151" spans="1:17" ht="38.25" customHeight="1">
      <c r="A151" s="46" t="s">
        <v>1114</v>
      </c>
      <c r="B151" s="47" t="s">
        <v>1115</v>
      </c>
      <c r="C151" s="48" t="s">
        <v>881</v>
      </c>
      <c r="D151" s="49"/>
      <c r="E151" s="49"/>
      <c r="F151" s="49"/>
      <c r="G151" s="49"/>
      <c r="H151" s="49"/>
      <c r="I151" s="49"/>
      <c r="J151" s="49"/>
      <c r="K151" s="49"/>
      <c r="L151" s="49"/>
      <c r="M151" s="49" t="e">
        <f t="shared" si="16"/>
        <v>#DIV/0!</v>
      </c>
      <c r="N151" s="49"/>
      <c r="O151" s="49"/>
      <c r="P151" s="50"/>
      <c r="Q151" s="39"/>
    </row>
    <row r="152" spans="1:17" ht="38.25" customHeight="1">
      <c r="A152" s="40" t="s">
        <v>1116</v>
      </c>
      <c r="B152" s="41" t="s">
        <v>1117</v>
      </c>
      <c r="C152" s="42" t="s">
        <v>881</v>
      </c>
      <c r="D152" s="43"/>
      <c r="E152" s="43"/>
      <c r="F152" s="43"/>
      <c r="G152" s="43"/>
      <c r="H152" s="43"/>
      <c r="I152" s="43"/>
      <c r="J152" s="43"/>
      <c r="K152" s="43"/>
      <c r="L152" s="43"/>
      <c r="M152" s="43" t="e">
        <f t="shared" si="16"/>
        <v>#DIV/0!</v>
      </c>
      <c r="N152" s="43"/>
      <c r="O152" s="43"/>
      <c r="P152" s="44"/>
      <c r="Q152" s="45"/>
    </row>
    <row r="153" spans="1:17" ht="38.25" customHeight="1">
      <c r="A153" s="46" t="s">
        <v>1118</v>
      </c>
      <c r="B153" s="47" t="s">
        <v>1119</v>
      </c>
      <c r="C153" s="48" t="s">
        <v>881</v>
      </c>
      <c r="D153" s="49"/>
      <c r="E153" s="49"/>
      <c r="F153" s="49"/>
      <c r="G153" s="49"/>
      <c r="H153" s="49"/>
      <c r="I153" s="49"/>
      <c r="J153" s="49"/>
      <c r="K153" s="49"/>
      <c r="L153" s="49"/>
      <c r="M153" s="49" t="e">
        <f t="shared" si="16"/>
        <v>#DIV/0!</v>
      </c>
      <c r="N153" s="49"/>
      <c r="O153" s="49"/>
      <c r="P153" s="50"/>
      <c r="Q153" s="39"/>
    </row>
    <row r="154" spans="1:17" ht="38.25" customHeight="1">
      <c r="A154" s="40" t="s">
        <v>1120</v>
      </c>
      <c r="B154" s="41" t="s">
        <v>1121</v>
      </c>
      <c r="C154" s="42" t="s">
        <v>881</v>
      </c>
      <c r="D154" s="43"/>
      <c r="E154" s="43"/>
      <c r="F154" s="43"/>
      <c r="G154" s="43"/>
      <c r="H154" s="43"/>
      <c r="I154" s="43"/>
      <c r="J154" s="43"/>
      <c r="K154" s="43"/>
      <c r="L154" s="43"/>
      <c r="M154" s="43" t="e">
        <f t="shared" si="16"/>
        <v>#DIV/0!</v>
      </c>
      <c r="N154" s="43"/>
      <c r="O154" s="43"/>
      <c r="P154" s="44"/>
      <c r="Q154" s="45"/>
    </row>
    <row r="155" spans="1:17" ht="38.25" customHeight="1">
      <c r="A155" s="46" t="s">
        <v>1122</v>
      </c>
      <c r="B155" s="47" t="s">
        <v>1123</v>
      </c>
      <c r="C155" s="48" t="s">
        <v>881</v>
      </c>
      <c r="D155" s="49"/>
      <c r="E155" s="49"/>
      <c r="F155" s="49"/>
      <c r="G155" s="49"/>
      <c r="H155" s="49"/>
      <c r="I155" s="49"/>
      <c r="J155" s="49"/>
      <c r="K155" s="49"/>
      <c r="L155" s="49"/>
      <c r="M155" s="49" t="e">
        <f t="shared" si="16"/>
        <v>#DIV/0!</v>
      </c>
      <c r="N155" s="49"/>
      <c r="O155" s="49"/>
      <c r="P155" s="50"/>
      <c r="Q155" s="39"/>
    </row>
    <row r="156" spans="1:17" ht="38.25" customHeight="1">
      <c r="A156" s="40" t="s">
        <v>1124</v>
      </c>
      <c r="B156" s="41" t="s">
        <v>1125</v>
      </c>
      <c r="C156" s="42" t="s">
        <v>881</v>
      </c>
      <c r="D156" s="43"/>
      <c r="E156" s="43"/>
      <c r="F156" s="43"/>
      <c r="G156" s="43"/>
      <c r="H156" s="43"/>
      <c r="I156" s="43"/>
      <c r="J156" s="43"/>
      <c r="K156" s="43"/>
      <c r="L156" s="43"/>
      <c r="M156" s="43" t="e">
        <f t="shared" si="16"/>
        <v>#DIV/0!</v>
      </c>
      <c r="N156" s="43"/>
      <c r="O156" s="43"/>
      <c r="P156" s="44"/>
      <c r="Q156" s="45"/>
    </row>
    <row r="157" spans="1:17" ht="38.25" customHeight="1">
      <c r="A157" s="46" t="s">
        <v>1126</v>
      </c>
      <c r="B157" s="47" t="s">
        <v>1127</v>
      </c>
      <c r="C157" s="48" t="s">
        <v>881</v>
      </c>
      <c r="D157" s="49"/>
      <c r="E157" s="49">
        <v>75301000</v>
      </c>
      <c r="F157" s="49">
        <v>75301000</v>
      </c>
      <c r="G157" s="49"/>
      <c r="H157" s="49"/>
      <c r="I157" s="49"/>
      <c r="J157" s="49">
        <v>46000000</v>
      </c>
      <c r="K157" s="49">
        <f t="shared" ref="K157:K168" si="17">N157/J157</f>
        <v>1.4881521739130434</v>
      </c>
      <c r="L157" s="49"/>
      <c r="M157" s="49">
        <f t="shared" si="16"/>
        <v>1.100007304068366</v>
      </c>
      <c r="N157" s="49">
        <v>68455000</v>
      </c>
      <c r="O157" s="49">
        <f t="shared" ref="O157:O199" si="18">N157/J157</f>
        <v>1.4881521739130434</v>
      </c>
      <c r="P157" s="50">
        <f>F157/N157</f>
        <v>1.100007304068366</v>
      </c>
      <c r="Q157" s="39"/>
    </row>
    <row r="158" spans="1:17" ht="38.25" customHeight="1">
      <c r="A158" s="40" t="s">
        <v>1128</v>
      </c>
      <c r="B158" s="41" t="s">
        <v>1129</v>
      </c>
      <c r="C158" s="42" t="s">
        <v>881</v>
      </c>
      <c r="D158" s="43"/>
      <c r="E158" s="43">
        <v>89462000</v>
      </c>
      <c r="F158" s="43">
        <v>89462000</v>
      </c>
      <c r="G158" s="43"/>
      <c r="H158" s="43"/>
      <c r="I158" s="43"/>
      <c r="J158" s="43">
        <v>54000000</v>
      </c>
      <c r="K158" s="43">
        <f t="shared" si="17"/>
        <v>1.5060925925925925</v>
      </c>
      <c r="L158" s="43"/>
      <c r="M158" s="43">
        <f t="shared" si="16"/>
        <v>1.1000012295737067</v>
      </c>
      <c r="N158" s="43">
        <v>81329000</v>
      </c>
      <c r="O158" s="43">
        <f t="shared" si="18"/>
        <v>1.5060925925925925</v>
      </c>
      <c r="P158" s="44"/>
      <c r="Q158" s="45"/>
    </row>
    <row r="159" spans="1:17" ht="38.25" customHeight="1">
      <c r="A159" s="46" t="s">
        <v>1130</v>
      </c>
      <c r="B159" s="47" t="s">
        <v>1131</v>
      </c>
      <c r="C159" s="48" t="s">
        <v>881</v>
      </c>
      <c r="D159" s="49"/>
      <c r="E159" s="49">
        <v>90432000</v>
      </c>
      <c r="F159" s="49">
        <v>90432000</v>
      </c>
      <c r="G159" s="49"/>
      <c r="H159" s="49"/>
      <c r="I159" s="49"/>
      <c r="J159" s="49">
        <v>55000000</v>
      </c>
      <c r="K159" s="49">
        <f t="shared" si="17"/>
        <v>1.4947454545454546</v>
      </c>
      <c r="L159" s="49"/>
      <c r="M159" s="49">
        <f t="shared" si="16"/>
        <v>1.099998783617764</v>
      </c>
      <c r="N159" s="49">
        <v>82211000</v>
      </c>
      <c r="O159" s="49">
        <f t="shared" si="18"/>
        <v>1.4947454545454546</v>
      </c>
      <c r="P159" s="50"/>
      <c r="Q159" s="39"/>
    </row>
    <row r="160" spans="1:17" ht="38.25" customHeight="1">
      <c r="A160" s="40" t="s">
        <v>1132</v>
      </c>
      <c r="B160" s="41" t="s">
        <v>1133</v>
      </c>
      <c r="C160" s="42" t="s">
        <v>881</v>
      </c>
      <c r="D160" s="43"/>
      <c r="E160" s="43">
        <v>101000000</v>
      </c>
      <c r="F160" s="43">
        <v>101000000</v>
      </c>
      <c r="G160" s="43"/>
      <c r="H160" s="43"/>
      <c r="I160" s="43"/>
      <c r="J160" s="43">
        <v>61000000</v>
      </c>
      <c r="K160" s="43">
        <f t="shared" si="17"/>
        <v>1.5052131147540984</v>
      </c>
      <c r="L160" s="43"/>
      <c r="M160" s="43">
        <f t="shared" si="16"/>
        <v>1.1000021782221352</v>
      </c>
      <c r="N160" s="43">
        <v>91818000</v>
      </c>
      <c r="O160" s="43">
        <f t="shared" si="18"/>
        <v>1.5052131147540984</v>
      </c>
      <c r="P160" s="44"/>
      <c r="Q160" s="45"/>
    </row>
    <row r="161" spans="1:17" ht="38.25" customHeight="1">
      <c r="A161" s="46" t="s">
        <v>1134</v>
      </c>
      <c r="B161" s="47" t="s">
        <v>1135</v>
      </c>
      <c r="C161" s="48" t="s">
        <v>881</v>
      </c>
      <c r="D161" s="49"/>
      <c r="E161" s="49">
        <v>92472000</v>
      </c>
      <c r="F161" s="49">
        <v>92472000</v>
      </c>
      <c r="G161" s="49"/>
      <c r="H161" s="49"/>
      <c r="I161" s="49"/>
      <c r="J161" s="49">
        <v>56000000</v>
      </c>
      <c r="K161" s="49">
        <f t="shared" si="17"/>
        <v>1.5011607142857142</v>
      </c>
      <c r="L161" s="49"/>
      <c r="M161" s="49">
        <f t="shared" si="16"/>
        <v>1.1000059477785047</v>
      </c>
      <c r="N161" s="49">
        <v>84065000</v>
      </c>
      <c r="O161" s="49">
        <f t="shared" si="18"/>
        <v>1.5011607142857142</v>
      </c>
      <c r="P161" s="50"/>
      <c r="Q161" s="39"/>
    </row>
    <row r="162" spans="1:17" ht="38.25" customHeight="1">
      <c r="A162" s="40" t="s">
        <v>1136</v>
      </c>
      <c r="B162" s="41" t="s">
        <v>1137</v>
      </c>
      <c r="C162" s="42" t="s">
        <v>881</v>
      </c>
      <c r="D162" s="43"/>
      <c r="E162" s="43">
        <v>132099000</v>
      </c>
      <c r="F162" s="43">
        <v>132099000</v>
      </c>
      <c r="G162" s="43"/>
      <c r="H162" s="43"/>
      <c r="I162" s="43"/>
      <c r="J162" s="43">
        <v>65000000</v>
      </c>
      <c r="K162" s="43">
        <f t="shared" si="17"/>
        <v>1.8475384615384616</v>
      </c>
      <c r="L162" s="43"/>
      <c r="M162" s="43">
        <f t="shared" si="16"/>
        <v>1.1000000000000001</v>
      </c>
      <c r="N162" s="43">
        <v>120090000</v>
      </c>
      <c r="O162" s="43">
        <f t="shared" si="18"/>
        <v>1.8475384615384616</v>
      </c>
      <c r="P162" s="44">
        <v>0.65</v>
      </c>
      <c r="Q162" s="45"/>
    </row>
    <row r="163" spans="1:17" ht="38.25" customHeight="1">
      <c r="A163" s="46" t="s">
        <v>1138</v>
      </c>
      <c r="B163" s="47" t="s">
        <v>1139</v>
      </c>
      <c r="C163" s="48" t="s">
        <v>881</v>
      </c>
      <c r="D163" s="49"/>
      <c r="E163" s="49">
        <v>162320000</v>
      </c>
      <c r="F163" s="49">
        <v>162320000</v>
      </c>
      <c r="G163" s="49"/>
      <c r="H163" s="49"/>
      <c r="I163" s="49"/>
      <c r="J163" s="49">
        <v>91000000</v>
      </c>
      <c r="K163" s="49">
        <f t="shared" si="17"/>
        <v>1.6215824175824176</v>
      </c>
      <c r="L163" s="49"/>
      <c r="M163" s="49">
        <f t="shared" ref="M163:M194" si="19">F163/N163</f>
        <v>1.0999972893117562</v>
      </c>
      <c r="N163" s="49">
        <v>147564000</v>
      </c>
      <c r="O163" s="49">
        <f t="shared" si="18"/>
        <v>1.6215824175824176</v>
      </c>
      <c r="P163" s="50"/>
      <c r="Q163" s="39"/>
    </row>
    <row r="164" spans="1:17" ht="38.25" customHeight="1">
      <c r="A164" s="40" t="s">
        <v>1140</v>
      </c>
      <c r="B164" s="41" t="s">
        <v>1141</v>
      </c>
      <c r="C164" s="42" t="s">
        <v>881</v>
      </c>
      <c r="D164" s="43"/>
      <c r="E164" s="43">
        <v>154929000</v>
      </c>
      <c r="F164" s="43">
        <v>154929000</v>
      </c>
      <c r="G164" s="43"/>
      <c r="H164" s="43"/>
      <c r="I164" s="43"/>
      <c r="J164" s="43">
        <v>94000000</v>
      </c>
      <c r="K164" s="43">
        <f t="shared" si="17"/>
        <v>1.4983510638297872</v>
      </c>
      <c r="L164" s="43"/>
      <c r="M164" s="43">
        <f t="shared" si="19"/>
        <v>1.0999964499982251</v>
      </c>
      <c r="N164" s="43">
        <v>140845000</v>
      </c>
      <c r="O164" s="43">
        <f t="shared" si="18"/>
        <v>1.4983510638297872</v>
      </c>
      <c r="P164" s="44"/>
      <c r="Q164" s="45"/>
    </row>
    <row r="165" spans="1:17" ht="38.25" customHeight="1">
      <c r="A165" s="46" t="s">
        <v>1142</v>
      </c>
      <c r="B165" s="47" t="s">
        <v>1143</v>
      </c>
      <c r="C165" s="48" t="s">
        <v>881</v>
      </c>
      <c r="D165" s="49"/>
      <c r="E165" s="49">
        <v>141898000</v>
      </c>
      <c r="F165" s="49">
        <v>141898000</v>
      </c>
      <c r="G165" s="49"/>
      <c r="H165" s="49"/>
      <c r="I165" s="49"/>
      <c r="J165" s="49">
        <v>86000000</v>
      </c>
      <c r="K165" s="49">
        <f t="shared" si="17"/>
        <v>1.4999767441860465</v>
      </c>
      <c r="L165" s="49"/>
      <c r="M165" s="49">
        <f t="shared" si="19"/>
        <v>1.1000015504116343</v>
      </c>
      <c r="N165" s="49">
        <v>128998000</v>
      </c>
      <c r="O165" s="49">
        <f t="shared" si="18"/>
        <v>1.4999767441860465</v>
      </c>
      <c r="P165" s="50"/>
      <c r="Q165" s="39"/>
    </row>
    <row r="166" spans="1:17" ht="38.25" customHeight="1">
      <c r="A166" s="40" t="s">
        <v>1144</v>
      </c>
      <c r="B166" s="41" t="s">
        <v>1145</v>
      </c>
      <c r="C166" s="42" t="s">
        <v>881</v>
      </c>
      <c r="D166" s="43"/>
      <c r="E166" s="43">
        <v>185440000</v>
      </c>
      <c r="F166" s="43">
        <v>185440000</v>
      </c>
      <c r="G166" s="43"/>
      <c r="H166" s="43"/>
      <c r="I166" s="43"/>
      <c r="J166" s="43">
        <v>113000000</v>
      </c>
      <c r="K166" s="43">
        <f t="shared" si="17"/>
        <v>1.4918761061946904</v>
      </c>
      <c r="L166" s="43"/>
      <c r="M166" s="43">
        <f t="shared" si="19"/>
        <v>1.0999988136337213</v>
      </c>
      <c r="N166" s="43">
        <v>168582000</v>
      </c>
      <c r="O166" s="43">
        <f t="shared" si="18"/>
        <v>1.4918761061946904</v>
      </c>
      <c r="P166" s="44"/>
      <c r="Q166" s="45"/>
    </row>
    <row r="167" spans="1:17" ht="38.25" customHeight="1">
      <c r="A167" s="46" t="s">
        <v>1146</v>
      </c>
      <c r="B167" s="47" t="s">
        <v>1147</v>
      </c>
      <c r="C167" s="48" t="s">
        <v>881</v>
      </c>
      <c r="D167" s="49"/>
      <c r="E167" s="49">
        <v>176820000</v>
      </c>
      <c r="F167" s="49">
        <v>176820000</v>
      </c>
      <c r="G167" s="49"/>
      <c r="H167" s="49"/>
      <c r="I167" s="49"/>
      <c r="J167" s="49">
        <v>108000000</v>
      </c>
      <c r="K167" s="49">
        <f t="shared" si="17"/>
        <v>1.4883796296296297</v>
      </c>
      <c r="L167" s="49"/>
      <c r="M167" s="49">
        <f t="shared" si="19"/>
        <v>1.1000031105166568</v>
      </c>
      <c r="N167" s="49">
        <v>160745000</v>
      </c>
      <c r="O167" s="49">
        <f t="shared" si="18"/>
        <v>1.4883796296296297</v>
      </c>
      <c r="P167" s="50"/>
      <c r="Q167" s="39"/>
    </row>
    <row r="168" spans="1:17" ht="38.25" customHeight="1">
      <c r="A168" s="52" t="s">
        <v>1148</v>
      </c>
      <c r="B168" s="41" t="s">
        <v>1149</v>
      </c>
      <c r="C168" s="42" t="s">
        <v>881</v>
      </c>
      <c r="D168" s="43"/>
      <c r="E168" s="43">
        <v>319358000</v>
      </c>
      <c r="F168" s="43">
        <v>319358000</v>
      </c>
      <c r="G168" s="43"/>
      <c r="H168" s="43"/>
      <c r="I168" s="43"/>
      <c r="J168" s="43">
        <v>195000000</v>
      </c>
      <c r="K168" s="43">
        <f t="shared" si="17"/>
        <v>1.4888461538461539</v>
      </c>
      <c r="L168" s="43"/>
      <c r="M168" s="43">
        <f t="shared" si="19"/>
        <v>1.1000017222078704</v>
      </c>
      <c r="N168" s="43">
        <v>290325000</v>
      </c>
      <c r="O168" s="43">
        <f t="shared" si="18"/>
        <v>1.4888461538461539</v>
      </c>
      <c r="P168" s="44"/>
      <c r="Q168" s="45"/>
    </row>
    <row r="169" spans="1:17" ht="51" customHeight="1">
      <c r="A169" s="51" t="s">
        <v>1150</v>
      </c>
      <c r="B169" s="47" t="s">
        <v>1151</v>
      </c>
      <c r="C169" s="48" t="s">
        <v>881</v>
      </c>
      <c r="D169" s="49"/>
      <c r="E169" s="49"/>
      <c r="F169" s="49">
        <f t="shared" ref="F169:F199" si="20">N169*1.1</f>
        <v>2613600000</v>
      </c>
      <c r="G169" s="49"/>
      <c r="H169" s="49"/>
      <c r="I169" s="49"/>
      <c r="J169" s="49">
        <v>1800000000</v>
      </c>
      <c r="K169" s="49"/>
      <c r="L169" s="49"/>
      <c r="M169" s="49">
        <f t="shared" si="19"/>
        <v>1.1000000000000001</v>
      </c>
      <c r="N169" s="49">
        <v>2376000000</v>
      </c>
      <c r="O169" s="49">
        <f t="shared" si="18"/>
        <v>1.32</v>
      </c>
      <c r="P169" s="50"/>
      <c r="Q169" s="53"/>
    </row>
    <row r="170" spans="1:17" ht="51" customHeight="1">
      <c r="A170" s="52" t="s">
        <v>1152</v>
      </c>
      <c r="B170" s="41" t="s">
        <v>1153</v>
      </c>
      <c r="C170" s="42" t="s">
        <v>881</v>
      </c>
      <c r="D170" s="43"/>
      <c r="E170" s="43"/>
      <c r="F170" s="43">
        <f t="shared" si="20"/>
        <v>3267000000.0000005</v>
      </c>
      <c r="G170" s="43"/>
      <c r="H170" s="43"/>
      <c r="I170" s="43"/>
      <c r="J170" s="43">
        <v>2250000000</v>
      </c>
      <c r="K170" s="43"/>
      <c r="L170" s="43"/>
      <c r="M170" s="43">
        <f t="shared" si="19"/>
        <v>1.1000000000000001</v>
      </c>
      <c r="N170" s="43">
        <v>2970000000</v>
      </c>
      <c r="O170" s="43">
        <f t="shared" si="18"/>
        <v>1.32</v>
      </c>
      <c r="P170" s="44"/>
      <c r="Q170" s="54"/>
    </row>
    <row r="171" spans="1:17" ht="51" customHeight="1">
      <c r="A171" s="51" t="s">
        <v>1154</v>
      </c>
      <c r="B171" s="47" t="s">
        <v>1155</v>
      </c>
      <c r="C171" s="48" t="s">
        <v>881</v>
      </c>
      <c r="D171" s="49"/>
      <c r="E171" s="49"/>
      <c r="F171" s="49">
        <f t="shared" si="20"/>
        <v>4181760000.0000005</v>
      </c>
      <c r="G171" s="49"/>
      <c r="H171" s="49"/>
      <c r="I171" s="49"/>
      <c r="J171" s="49">
        <v>2880000000</v>
      </c>
      <c r="K171" s="49"/>
      <c r="L171" s="49"/>
      <c r="M171" s="49">
        <f t="shared" si="19"/>
        <v>1.1000000000000001</v>
      </c>
      <c r="N171" s="49">
        <v>3801600000</v>
      </c>
      <c r="O171" s="49">
        <f t="shared" si="18"/>
        <v>1.32</v>
      </c>
      <c r="P171" s="50"/>
      <c r="Q171" s="53"/>
    </row>
    <row r="172" spans="1:17" ht="51" customHeight="1">
      <c r="A172" s="52" t="s">
        <v>1156</v>
      </c>
      <c r="B172" s="41" t="s">
        <v>1157</v>
      </c>
      <c r="C172" s="42" t="s">
        <v>881</v>
      </c>
      <c r="D172" s="43"/>
      <c r="E172" s="43"/>
      <c r="F172" s="43">
        <f t="shared" si="20"/>
        <v>4965840000</v>
      </c>
      <c r="G172" s="43"/>
      <c r="H172" s="43"/>
      <c r="I172" s="43"/>
      <c r="J172" s="43">
        <v>3420000000</v>
      </c>
      <c r="K172" s="43"/>
      <c r="L172" s="43"/>
      <c r="M172" s="43">
        <f t="shared" si="19"/>
        <v>1.1000000000000001</v>
      </c>
      <c r="N172" s="43">
        <v>4514400000</v>
      </c>
      <c r="O172" s="43">
        <f t="shared" si="18"/>
        <v>1.32</v>
      </c>
      <c r="P172" s="44"/>
      <c r="Q172" s="54"/>
    </row>
    <row r="173" spans="1:17" ht="51" customHeight="1">
      <c r="A173" s="51" t="s">
        <v>1158</v>
      </c>
      <c r="B173" s="47" t="s">
        <v>1159</v>
      </c>
      <c r="C173" s="48" t="s">
        <v>881</v>
      </c>
      <c r="D173" s="49"/>
      <c r="E173" s="49"/>
      <c r="F173" s="49">
        <f t="shared" si="20"/>
        <v>5880600000</v>
      </c>
      <c r="G173" s="49"/>
      <c r="H173" s="49"/>
      <c r="I173" s="49"/>
      <c r="J173" s="49">
        <v>4050000000</v>
      </c>
      <c r="K173" s="49"/>
      <c r="L173" s="49"/>
      <c r="M173" s="49">
        <f t="shared" si="19"/>
        <v>1.1000000000000001</v>
      </c>
      <c r="N173" s="49">
        <v>5346000000</v>
      </c>
      <c r="O173" s="49">
        <f t="shared" si="18"/>
        <v>1.32</v>
      </c>
      <c r="P173" s="50"/>
      <c r="Q173" s="53"/>
    </row>
    <row r="174" spans="1:17" ht="51" customHeight="1">
      <c r="A174" s="52" t="s">
        <v>1160</v>
      </c>
      <c r="B174" s="41" t="s">
        <v>1161</v>
      </c>
      <c r="C174" s="42" t="s">
        <v>881</v>
      </c>
      <c r="D174" s="43"/>
      <c r="E174" s="43"/>
      <c r="F174" s="43">
        <f t="shared" si="20"/>
        <v>6534000000.000001</v>
      </c>
      <c r="G174" s="43"/>
      <c r="H174" s="43"/>
      <c r="I174" s="43"/>
      <c r="J174" s="43">
        <v>4500000000</v>
      </c>
      <c r="K174" s="43"/>
      <c r="L174" s="43"/>
      <c r="M174" s="43">
        <f t="shared" si="19"/>
        <v>1.1000000000000001</v>
      </c>
      <c r="N174" s="43">
        <v>5940000000</v>
      </c>
      <c r="O174" s="43">
        <f t="shared" si="18"/>
        <v>1.32</v>
      </c>
      <c r="P174" s="44"/>
      <c r="Q174" s="54"/>
    </row>
    <row r="175" spans="1:17" ht="51" customHeight="1">
      <c r="A175" s="51" t="s">
        <v>1162</v>
      </c>
      <c r="B175" s="47" t="s">
        <v>1163</v>
      </c>
      <c r="C175" s="48" t="s">
        <v>881</v>
      </c>
      <c r="D175" s="49"/>
      <c r="E175" s="49"/>
      <c r="F175" s="49">
        <f t="shared" si="20"/>
        <v>7579440000.000001</v>
      </c>
      <c r="G175" s="49"/>
      <c r="H175" s="49"/>
      <c r="I175" s="49"/>
      <c r="J175" s="49">
        <v>5220000000</v>
      </c>
      <c r="K175" s="49"/>
      <c r="L175" s="49"/>
      <c r="M175" s="49">
        <f t="shared" si="19"/>
        <v>1.1000000000000001</v>
      </c>
      <c r="N175" s="49">
        <v>6890400000</v>
      </c>
      <c r="O175" s="49">
        <f t="shared" si="18"/>
        <v>1.32</v>
      </c>
      <c r="P175" s="50"/>
      <c r="Q175" s="53"/>
    </row>
    <row r="176" spans="1:17" ht="51" customHeight="1">
      <c r="A176" s="52" t="s">
        <v>1164</v>
      </c>
      <c r="B176" s="41" t="s">
        <v>1165</v>
      </c>
      <c r="C176" s="42" t="s">
        <v>881</v>
      </c>
      <c r="D176" s="43"/>
      <c r="E176" s="43"/>
      <c r="F176" s="43">
        <f t="shared" si="20"/>
        <v>9147600000</v>
      </c>
      <c r="G176" s="43"/>
      <c r="H176" s="43"/>
      <c r="I176" s="43"/>
      <c r="J176" s="43">
        <v>6300000000</v>
      </c>
      <c r="K176" s="43"/>
      <c r="L176" s="43"/>
      <c r="M176" s="43">
        <f t="shared" si="19"/>
        <v>1.1000000000000001</v>
      </c>
      <c r="N176" s="43">
        <v>8316000000</v>
      </c>
      <c r="O176" s="43">
        <f t="shared" si="18"/>
        <v>1.32</v>
      </c>
      <c r="P176" s="44"/>
      <c r="Q176" s="54"/>
    </row>
    <row r="177" spans="1:17" ht="51" customHeight="1">
      <c r="A177" s="51" t="s">
        <v>1166</v>
      </c>
      <c r="B177" s="47" t="s">
        <v>1167</v>
      </c>
      <c r="C177" s="48" t="s">
        <v>881</v>
      </c>
      <c r="D177" s="49"/>
      <c r="E177" s="49"/>
      <c r="F177" s="49">
        <f t="shared" si="20"/>
        <v>11107800000</v>
      </c>
      <c r="G177" s="49"/>
      <c r="H177" s="49"/>
      <c r="I177" s="49"/>
      <c r="J177" s="49">
        <v>7650000000</v>
      </c>
      <c r="K177" s="49"/>
      <c r="L177" s="49"/>
      <c r="M177" s="49">
        <f t="shared" si="19"/>
        <v>1.1000000000000001</v>
      </c>
      <c r="N177" s="49">
        <v>10098000000</v>
      </c>
      <c r="O177" s="49">
        <f t="shared" si="18"/>
        <v>1.32</v>
      </c>
      <c r="P177" s="50"/>
      <c r="Q177" s="53"/>
    </row>
    <row r="178" spans="1:17" ht="51" customHeight="1">
      <c r="A178" s="52" t="s">
        <v>1168</v>
      </c>
      <c r="B178" s="41" t="s">
        <v>1169</v>
      </c>
      <c r="C178" s="42" t="s">
        <v>881</v>
      </c>
      <c r="D178" s="43"/>
      <c r="E178" s="43"/>
      <c r="F178" s="43">
        <f t="shared" si="20"/>
        <v>12414600000.000002</v>
      </c>
      <c r="G178" s="43"/>
      <c r="H178" s="43"/>
      <c r="I178" s="43"/>
      <c r="J178" s="43">
        <v>8550000000</v>
      </c>
      <c r="K178" s="43"/>
      <c r="L178" s="43"/>
      <c r="M178" s="43">
        <f t="shared" si="19"/>
        <v>1.1000000000000001</v>
      </c>
      <c r="N178" s="43">
        <v>11286000000</v>
      </c>
      <c r="O178" s="43">
        <f t="shared" si="18"/>
        <v>1.32</v>
      </c>
      <c r="P178" s="44"/>
      <c r="Q178" s="54"/>
    </row>
    <row r="179" spans="1:17" ht="51" customHeight="1">
      <c r="A179" s="51" t="s">
        <v>1170</v>
      </c>
      <c r="B179" s="47" t="s">
        <v>1171</v>
      </c>
      <c r="C179" s="48" t="s">
        <v>881</v>
      </c>
      <c r="D179" s="49"/>
      <c r="E179" s="49"/>
      <c r="F179" s="49">
        <f t="shared" si="20"/>
        <v>13721400000.000002</v>
      </c>
      <c r="G179" s="49"/>
      <c r="H179" s="49"/>
      <c r="I179" s="49"/>
      <c r="J179" s="49">
        <v>9450000000</v>
      </c>
      <c r="K179" s="49"/>
      <c r="L179" s="49"/>
      <c r="M179" s="49">
        <f t="shared" si="19"/>
        <v>1.1000000000000001</v>
      </c>
      <c r="N179" s="49">
        <v>12474000000</v>
      </c>
      <c r="O179" s="49">
        <f t="shared" si="18"/>
        <v>1.32</v>
      </c>
      <c r="P179" s="50"/>
      <c r="Q179" s="53"/>
    </row>
    <row r="180" spans="1:17" ht="76.5" customHeight="1">
      <c r="A180" s="40" t="s">
        <v>1172</v>
      </c>
      <c r="B180" s="41" t="s">
        <v>1173</v>
      </c>
      <c r="C180" s="42" t="s">
        <v>881</v>
      </c>
      <c r="D180" s="43"/>
      <c r="E180" s="43"/>
      <c r="F180" s="43">
        <f t="shared" si="20"/>
        <v>271530765</v>
      </c>
      <c r="G180" s="43"/>
      <c r="H180" s="43"/>
      <c r="I180" s="43"/>
      <c r="J180" s="43">
        <v>183972600</v>
      </c>
      <c r="K180" s="43">
        <f t="shared" ref="K180:K199" si="21">N180/J180</f>
        <v>1.3417549678593443</v>
      </c>
      <c r="L180" s="43"/>
      <c r="M180" s="43">
        <f t="shared" si="19"/>
        <v>1.1000000000000001</v>
      </c>
      <c r="N180" s="43">
        <v>246846150</v>
      </c>
      <c r="O180" s="43">
        <f t="shared" si="18"/>
        <v>1.3417549678593443</v>
      </c>
      <c r="P180" s="44"/>
      <c r="Q180" s="55"/>
    </row>
    <row r="181" spans="1:17" ht="114.75" customHeight="1">
      <c r="A181" s="46" t="s">
        <v>1174</v>
      </c>
      <c r="B181" s="47" t="s">
        <v>1175</v>
      </c>
      <c r="C181" s="48" t="s">
        <v>881</v>
      </c>
      <c r="D181" s="49"/>
      <c r="E181" s="49"/>
      <c r="F181" s="49">
        <f t="shared" si="20"/>
        <v>446797890.00000006</v>
      </c>
      <c r="G181" s="49"/>
      <c r="H181" s="49"/>
      <c r="I181" s="49"/>
      <c r="J181" s="49">
        <v>321952050</v>
      </c>
      <c r="K181" s="49">
        <f t="shared" si="21"/>
        <v>1.2616161319674777</v>
      </c>
      <c r="L181" s="49"/>
      <c r="M181" s="49">
        <f t="shared" si="19"/>
        <v>1.1000000000000001</v>
      </c>
      <c r="N181" s="49">
        <v>406179900</v>
      </c>
      <c r="O181" s="49">
        <f t="shared" si="18"/>
        <v>1.2616161319674777</v>
      </c>
      <c r="P181" s="50"/>
      <c r="Q181" s="56"/>
    </row>
    <row r="182" spans="1:17" ht="63.75" customHeight="1">
      <c r="A182" s="40" t="s">
        <v>1176</v>
      </c>
      <c r="B182" s="41" t="s">
        <v>1177</v>
      </c>
      <c r="C182" s="42" t="s">
        <v>881</v>
      </c>
      <c r="D182" s="43"/>
      <c r="E182" s="43"/>
      <c r="F182" s="43">
        <f t="shared" si="20"/>
        <v>464800545.00000006</v>
      </c>
      <c r="G182" s="43"/>
      <c r="H182" s="43"/>
      <c r="I182" s="43"/>
      <c r="J182" s="43">
        <v>347331357.39999998</v>
      </c>
      <c r="K182" s="43">
        <f t="shared" si="21"/>
        <v>1.2165499630181102</v>
      </c>
      <c r="L182" s="43"/>
      <c r="M182" s="43">
        <f t="shared" si="19"/>
        <v>1.1000000000000001</v>
      </c>
      <c r="N182" s="43">
        <v>422545950</v>
      </c>
      <c r="O182" s="43">
        <f t="shared" si="18"/>
        <v>1.2165499630181102</v>
      </c>
      <c r="P182" s="44"/>
      <c r="Q182" s="55"/>
    </row>
    <row r="183" spans="1:17" ht="63.75" customHeight="1">
      <c r="A183" s="46" t="s">
        <v>1178</v>
      </c>
      <c r="B183" s="47" t="s">
        <v>1179</v>
      </c>
      <c r="C183" s="48" t="s">
        <v>881</v>
      </c>
      <c r="D183" s="49"/>
      <c r="E183" s="49"/>
      <c r="F183" s="49">
        <f t="shared" si="20"/>
        <v>451806795.00000006</v>
      </c>
      <c r="G183" s="49"/>
      <c r="H183" s="49"/>
      <c r="I183" s="49"/>
      <c r="J183" s="49">
        <v>287788839</v>
      </c>
      <c r="K183" s="49">
        <f t="shared" si="21"/>
        <v>1.4272042356722527</v>
      </c>
      <c r="L183" s="49">
        <f>N183/J183</f>
        <v>1.4272042356722527</v>
      </c>
      <c r="M183" s="49">
        <f t="shared" si="19"/>
        <v>1.1000000000000001</v>
      </c>
      <c r="N183" s="49">
        <v>410733450</v>
      </c>
      <c r="O183" s="49">
        <f t="shared" si="18"/>
        <v>1.4272042356722527</v>
      </c>
      <c r="P183" s="50"/>
      <c r="Q183" s="56"/>
    </row>
    <row r="184" spans="1:17" ht="63.75" customHeight="1">
      <c r="A184" s="40" t="s">
        <v>1180</v>
      </c>
      <c r="B184" s="41" t="s">
        <v>1181</v>
      </c>
      <c r="C184" s="42" t="s">
        <v>881</v>
      </c>
      <c r="D184" s="43"/>
      <c r="E184" s="43"/>
      <c r="F184" s="43">
        <f t="shared" si="20"/>
        <v>295972380</v>
      </c>
      <c r="G184" s="43"/>
      <c r="H184" s="43"/>
      <c r="I184" s="43"/>
      <c r="J184" s="43">
        <v>198475061.40000001</v>
      </c>
      <c r="K184" s="43">
        <f t="shared" si="21"/>
        <v>1.3556655335036465</v>
      </c>
      <c r="L184" s="43"/>
      <c r="M184" s="43">
        <f t="shared" si="19"/>
        <v>1.1000000000000001</v>
      </c>
      <c r="N184" s="43">
        <v>269065800</v>
      </c>
      <c r="O184" s="43">
        <f t="shared" si="18"/>
        <v>1.3556655335036465</v>
      </c>
      <c r="P184" s="44"/>
      <c r="Q184" s="55"/>
    </row>
    <row r="185" spans="1:17" ht="63.75" customHeight="1">
      <c r="A185" s="46" t="s">
        <v>1182</v>
      </c>
      <c r="B185" s="47" t="s">
        <v>1183</v>
      </c>
      <c r="C185" s="48" t="s">
        <v>881</v>
      </c>
      <c r="D185" s="49"/>
      <c r="E185" s="49"/>
      <c r="F185" s="49">
        <f t="shared" si="20"/>
        <v>380391660.00000006</v>
      </c>
      <c r="G185" s="49"/>
      <c r="H185" s="49"/>
      <c r="I185" s="49"/>
      <c r="J185" s="49">
        <v>258017579.80000001</v>
      </c>
      <c r="K185" s="49">
        <f t="shared" si="21"/>
        <v>1.3402598391475959</v>
      </c>
      <c r="L185" s="49"/>
      <c r="M185" s="49">
        <f t="shared" si="19"/>
        <v>1.1000000000000001</v>
      </c>
      <c r="N185" s="49">
        <v>345810600</v>
      </c>
      <c r="O185" s="49">
        <f t="shared" si="18"/>
        <v>1.3402598391475959</v>
      </c>
      <c r="P185" s="50"/>
      <c r="Q185" s="56"/>
    </row>
    <row r="186" spans="1:17" ht="51" customHeight="1">
      <c r="A186" s="40" t="s">
        <v>1184</v>
      </c>
      <c r="B186" s="41" t="s">
        <v>1185</v>
      </c>
      <c r="C186" s="42" t="s">
        <v>881</v>
      </c>
      <c r="D186" s="43"/>
      <c r="E186" s="43"/>
      <c r="F186" s="43">
        <f t="shared" si="20"/>
        <v>351328725</v>
      </c>
      <c r="G186" s="43"/>
      <c r="H186" s="43"/>
      <c r="I186" s="43"/>
      <c r="J186" s="43">
        <v>234102506.40000001</v>
      </c>
      <c r="K186" s="43">
        <f t="shared" si="21"/>
        <v>1.3643158072569872</v>
      </c>
      <c r="L186" s="43"/>
      <c r="M186" s="43">
        <f t="shared" si="19"/>
        <v>1.1000000000000001</v>
      </c>
      <c r="N186" s="43">
        <v>319389750</v>
      </c>
      <c r="O186" s="43">
        <f t="shared" si="18"/>
        <v>1.3643158072569872</v>
      </c>
      <c r="P186" s="44"/>
      <c r="Q186" s="55"/>
    </row>
    <row r="187" spans="1:17" ht="51" customHeight="1">
      <c r="A187" s="46" t="s">
        <v>1186</v>
      </c>
      <c r="B187" s="47" t="s">
        <v>1187</v>
      </c>
      <c r="C187" s="48" t="s">
        <v>881</v>
      </c>
      <c r="D187" s="49"/>
      <c r="E187" s="49"/>
      <c r="F187" s="49">
        <f t="shared" si="20"/>
        <v>489300075.00000006</v>
      </c>
      <c r="G187" s="49"/>
      <c r="H187" s="49"/>
      <c r="I187" s="49"/>
      <c r="J187" s="49">
        <v>304333258.30000001</v>
      </c>
      <c r="K187" s="49">
        <f t="shared" si="21"/>
        <v>1.4616156396601101</v>
      </c>
      <c r="L187" s="49"/>
      <c r="M187" s="49">
        <f t="shared" si="19"/>
        <v>1.1000000000000001</v>
      </c>
      <c r="N187" s="49">
        <v>444818250</v>
      </c>
      <c r="O187" s="49">
        <f t="shared" si="18"/>
        <v>1.4616156396601101</v>
      </c>
      <c r="P187" s="50"/>
      <c r="Q187" s="56"/>
    </row>
    <row r="188" spans="1:17" ht="51" customHeight="1">
      <c r="A188" s="40" t="s">
        <v>1188</v>
      </c>
      <c r="B188" s="41" t="s">
        <v>1189</v>
      </c>
      <c r="C188" s="42" t="s">
        <v>881</v>
      </c>
      <c r="D188" s="43"/>
      <c r="E188" s="43"/>
      <c r="F188" s="43">
        <f t="shared" si="20"/>
        <v>339435360</v>
      </c>
      <c r="G188" s="43"/>
      <c r="H188" s="43"/>
      <c r="I188" s="43"/>
      <c r="J188" s="43">
        <v>234102506.40000001</v>
      </c>
      <c r="K188" s="43">
        <f t="shared" si="21"/>
        <v>1.3181302701336648</v>
      </c>
      <c r="L188" s="43"/>
      <c r="M188" s="43">
        <f t="shared" si="19"/>
        <v>1.1000000000000001</v>
      </c>
      <c r="N188" s="43">
        <v>308577600</v>
      </c>
      <c r="O188" s="43">
        <f t="shared" si="18"/>
        <v>1.3181302701336648</v>
      </c>
      <c r="P188" s="44"/>
      <c r="Q188" s="55"/>
    </row>
    <row r="189" spans="1:17" ht="51" customHeight="1">
      <c r="A189" s="46" t="s">
        <v>1190</v>
      </c>
      <c r="B189" s="47" t="s">
        <v>1191</v>
      </c>
      <c r="C189" s="48" t="s">
        <v>881</v>
      </c>
      <c r="D189" s="49"/>
      <c r="E189" s="49"/>
      <c r="F189" s="49">
        <f t="shared" si="20"/>
        <v>339435360</v>
      </c>
      <c r="G189" s="49"/>
      <c r="H189" s="49"/>
      <c r="I189" s="49"/>
      <c r="J189" s="49">
        <v>234102506.40000001</v>
      </c>
      <c r="K189" s="49">
        <f t="shared" si="21"/>
        <v>1.3181302701336648</v>
      </c>
      <c r="L189" s="49"/>
      <c r="M189" s="49">
        <f t="shared" si="19"/>
        <v>1.1000000000000001</v>
      </c>
      <c r="N189" s="49">
        <v>308577600</v>
      </c>
      <c r="O189" s="49">
        <f t="shared" si="18"/>
        <v>1.3181302701336648</v>
      </c>
      <c r="P189" s="50"/>
      <c r="Q189" s="56"/>
    </row>
    <row r="190" spans="1:17" ht="51" customHeight="1">
      <c r="A190" s="40" t="s">
        <v>1192</v>
      </c>
      <c r="B190" s="41" t="s">
        <v>1193</v>
      </c>
      <c r="C190" s="42" t="s">
        <v>881</v>
      </c>
      <c r="D190" s="43"/>
      <c r="E190" s="43"/>
      <c r="F190" s="43">
        <f t="shared" si="20"/>
        <v>339435360</v>
      </c>
      <c r="G190" s="43"/>
      <c r="H190" s="43"/>
      <c r="I190" s="43"/>
      <c r="J190" s="43">
        <v>234102506.40000001</v>
      </c>
      <c r="K190" s="43">
        <f t="shared" si="21"/>
        <v>1.3181302701336648</v>
      </c>
      <c r="L190" s="43"/>
      <c r="M190" s="43">
        <f t="shared" si="19"/>
        <v>1.1000000000000001</v>
      </c>
      <c r="N190" s="43">
        <v>308577600</v>
      </c>
      <c r="O190" s="43">
        <f t="shared" si="18"/>
        <v>1.3181302701336648</v>
      </c>
      <c r="P190" s="44"/>
      <c r="Q190" s="55"/>
    </row>
    <row r="191" spans="1:17" ht="38.25" customHeight="1">
      <c r="A191" s="46" t="s">
        <v>1194</v>
      </c>
      <c r="B191" s="47" t="s">
        <v>1195</v>
      </c>
      <c r="C191" s="48" t="s">
        <v>881</v>
      </c>
      <c r="D191" s="49"/>
      <c r="E191" s="49"/>
      <c r="F191" s="49">
        <f t="shared" si="20"/>
        <v>7260000000.000001</v>
      </c>
      <c r="G191" s="49"/>
      <c r="H191" s="49"/>
      <c r="I191" s="49"/>
      <c r="J191" s="49">
        <v>5000000000</v>
      </c>
      <c r="K191" s="49">
        <f t="shared" si="21"/>
        <v>1.32</v>
      </c>
      <c r="L191" s="49"/>
      <c r="M191" s="49">
        <f t="shared" si="19"/>
        <v>1.1000000000000001</v>
      </c>
      <c r="N191" s="49">
        <v>6600000000</v>
      </c>
      <c r="O191" s="49">
        <f t="shared" si="18"/>
        <v>1.32</v>
      </c>
      <c r="P191" s="50"/>
      <c r="Q191" s="56"/>
    </row>
    <row r="192" spans="1:17" ht="51" customHeight="1">
      <c r="A192" s="40" t="s">
        <v>1196</v>
      </c>
      <c r="B192" s="41" t="s">
        <v>1197</v>
      </c>
      <c r="C192" s="42" t="s">
        <v>881</v>
      </c>
      <c r="D192" s="43"/>
      <c r="E192" s="43"/>
      <c r="F192" s="43">
        <f t="shared" si="20"/>
        <v>17820000000</v>
      </c>
      <c r="G192" s="43"/>
      <c r="H192" s="43"/>
      <c r="I192" s="43"/>
      <c r="J192" s="43">
        <v>12000000000</v>
      </c>
      <c r="K192" s="43">
        <f t="shared" si="21"/>
        <v>1.35</v>
      </c>
      <c r="L192" s="43"/>
      <c r="M192" s="43">
        <f t="shared" si="19"/>
        <v>1.1000000000000001</v>
      </c>
      <c r="N192" s="43">
        <v>16200000000</v>
      </c>
      <c r="O192" s="43">
        <f t="shared" si="18"/>
        <v>1.35</v>
      </c>
      <c r="P192" s="44"/>
      <c r="Q192" s="55"/>
    </row>
    <row r="193" spans="1:17" ht="51" customHeight="1">
      <c r="A193" s="46" t="s">
        <v>1198</v>
      </c>
      <c r="B193" s="47" t="s">
        <v>1199</v>
      </c>
      <c r="C193" s="48" t="s">
        <v>881</v>
      </c>
      <c r="D193" s="49"/>
      <c r="E193" s="49"/>
      <c r="F193" s="49">
        <f t="shared" si="20"/>
        <v>23760000000.000004</v>
      </c>
      <c r="G193" s="49"/>
      <c r="H193" s="49"/>
      <c r="I193" s="49"/>
      <c r="J193" s="49">
        <v>16000000000</v>
      </c>
      <c r="K193" s="49">
        <f t="shared" si="21"/>
        <v>1.35</v>
      </c>
      <c r="L193" s="49"/>
      <c r="M193" s="49">
        <f t="shared" si="19"/>
        <v>1.1000000000000001</v>
      </c>
      <c r="N193" s="49">
        <v>21600000000</v>
      </c>
      <c r="O193" s="49">
        <f t="shared" si="18"/>
        <v>1.35</v>
      </c>
      <c r="P193" s="50"/>
      <c r="Q193" s="56"/>
    </row>
    <row r="194" spans="1:17" ht="51" customHeight="1">
      <c r="A194" s="40" t="s">
        <v>1200</v>
      </c>
      <c r="B194" s="41" t="s">
        <v>1201</v>
      </c>
      <c r="C194" s="42" t="s">
        <v>881</v>
      </c>
      <c r="D194" s="43"/>
      <c r="E194" s="43"/>
      <c r="F194" s="43">
        <f t="shared" si="20"/>
        <v>28215000000.000004</v>
      </c>
      <c r="G194" s="43"/>
      <c r="H194" s="43"/>
      <c r="I194" s="43"/>
      <c r="J194" s="43">
        <v>19000000000</v>
      </c>
      <c r="K194" s="43">
        <f t="shared" si="21"/>
        <v>1.35</v>
      </c>
      <c r="L194" s="43"/>
      <c r="M194" s="43">
        <f t="shared" si="19"/>
        <v>1.1000000000000001</v>
      </c>
      <c r="N194" s="43">
        <v>25650000000</v>
      </c>
      <c r="O194" s="43">
        <f t="shared" si="18"/>
        <v>1.35</v>
      </c>
      <c r="P194" s="44"/>
      <c r="Q194" s="55"/>
    </row>
    <row r="195" spans="1:17" ht="51" customHeight="1">
      <c r="A195" s="46" t="s">
        <v>1202</v>
      </c>
      <c r="B195" s="47" t="s">
        <v>1203</v>
      </c>
      <c r="C195" s="48" t="s">
        <v>881</v>
      </c>
      <c r="D195" s="49"/>
      <c r="E195" s="49"/>
      <c r="F195" s="49">
        <f t="shared" si="20"/>
        <v>26730000000.000004</v>
      </c>
      <c r="G195" s="49"/>
      <c r="H195" s="49"/>
      <c r="I195" s="49"/>
      <c r="J195" s="49">
        <v>18000000000</v>
      </c>
      <c r="K195" s="49">
        <f t="shared" si="21"/>
        <v>1.35</v>
      </c>
      <c r="L195" s="49"/>
      <c r="M195" s="49">
        <f t="shared" ref="M195:M226" si="22">F195/N195</f>
        <v>1.1000000000000001</v>
      </c>
      <c r="N195" s="49">
        <v>24300000000</v>
      </c>
      <c r="O195" s="49">
        <f t="shared" si="18"/>
        <v>1.35</v>
      </c>
      <c r="P195" s="50"/>
      <c r="Q195" s="56"/>
    </row>
    <row r="196" spans="1:17" ht="51" customHeight="1">
      <c r="A196" s="40" t="s">
        <v>1204</v>
      </c>
      <c r="B196" s="41" t="s">
        <v>1205</v>
      </c>
      <c r="C196" s="42" t="s">
        <v>881</v>
      </c>
      <c r="D196" s="43"/>
      <c r="E196" s="43"/>
      <c r="F196" s="43">
        <f t="shared" si="20"/>
        <v>40095000000</v>
      </c>
      <c r="G196" s="43"/>
      <c r="H196" s="43"/>
      <c r="I196" s="43"/>
      <c r="J196" s="43">
        <v>27000000000</v>
      </c>
      <c r="K196" s="43">
        <f t="shared" si="21"/>
        <v>1.35</v>
      </c>
      <c r="L196" s="43"/>
      <c r="M196" s="43">
        <f t="shared" si="22"/>
        <v>1.1000000000000001</v>
      </c>
      <c r="N196" s="43">
        <v>36450000000</v>
      </c>
      <c r="O196" s="43">
        <f t="shared" si="18"/>
        <v>1.35</v>
      </c>
      <c r="P196" s="44"/>
      <c r="Q196" s="55"/>
    </row>
    <row r="197" spans="1:17" ht="51" customHeight="1">
      <c r="A197" s="46" t="s">
        <v>1206</v>
      </c>
      <c r="B197" s="47" t="s">
        <v>1207</v>
      </c>
      <c r="C197" s="48" t="s">
        <v>881</v>
      </c>
      <c r="D197" s="49"/>
      <c r="E197" s="49"/>
      <c r="F197" s="49">
        <f t="shared" si="20"/>
        <v>44550000000</v>
      </c>
      <c r="G197" s="49"/>
      <c r="H197" s="49"/>
      <c r="I197" s="49"/>
      <c r="J197" s="49">
        <v>30000000000</v>
      </c>
      <c r="K197" s="49">
        <f t="shared" si="21"/>
        <v>1.35</v>
      </c>
      <c r="L197" s="49"/>
      <c r="M197" s="49">
        <f t="shared" si="22"/>
        <v>1.1000000000000001</v>
      </c>
      <c r="N197" s="49">
        <v>40500000000</v>
      </c>
      <c r="O197" s="49">
        <f t="shared" si="18"/>
        <v>1.35</v>
      </c>
      <c r="P197" s="50"/>
      <c r="Q197" s="56"/>
    </row>
    <row r="198" spans="1:17" ht="51" customHeight="1">
      <c r="A198" s="40" t="s">
        <v>1208</v>
      </c>
      <c r="B198" s="41" t="s">
        <v>1209</v>
      </c>
      <c r="C198" s="42" t="s">
        <v>881</v>
      </c>
      <c r="D198" s="43"/>
      <c r="E198" s="43"/>
      <c r="F198" s="43">
        <f t="shared" si="20"/>
        <v>72765000000.000015</v>
      </c>
      <c r="G198" s="43"/>
      <c r="H198" s="43"/>
      <c r="I198" s="43"/>
      <c r="J198" s="43">
        <v>49000000000</v>
      </c>
      <c r="K198" s="43">
        <f t="shared" si="21"/>
        <v>1.35</v>
      </c>
      <c r="L198" s="43"/>
      <c r="M198" s="43">
        <f t="shared" si="22"/>
        <v>1.1000000000000001</v>
      </c>
      <c r="N198" s="43">
        <v>66150000000.000008</v>
      </c>
      <c r="O198" s="43">
        <f t="shared" si="18"/>
        <v>1.35</v>
      </c>
      <c r="P198" s="44"/>
      <c r="Q198" s="55"/>
    </row>
    <row r="199" spans="1:17" ht="51" customHeight="1">
      <c r="A199" s="46" t="s">
        <v>1210</v>
      </c>
      <c r="B199" s="47" t="s">
        <v>1211</v>
      </c>
      <c r="C199" s="48" t="s">
        <v>881</v>
      </c>
      <c r="D199" s="49"/>
      <c r="E199" s="49"/>
      <c r="F199" s="49">
        <f t="shared" si="20"/>
        <v>22275000000</v>
      </c>
      <c r="G199" s="49"/>
      <c r="H199" s="49"/>
      <c r="I199" s="49"/>
      <c r="J199" s="49">
        <v>15000000000</v>
      </c>
      <c r="K199" s="49">
        <f t="shared" si="21"/>
        <v>1.35</v>
      </c>
      <c r="L199" s="49"/>
      <c r="M199" s="49">
        <f t="shared" si="22"/>
        <v>1.1000000000000001</v>
      </c>
      <c r="N199" s="49">
        <v>20250000000</v>
      </c>
      <c r="O199" s="49">
        <f t="shared" si="18"/>
        <v>1.35</v>
      </c>
      <c r="P199" s="50"/>
      <c r="Q199" s="56"/>
    </row>
    <row r="200" spans="1:17">
      <c r="A200" s="52"/>
      <c r="B200" s="57"/>
      <c r="C200" s="58"/>
      <c r="D200" s="43"/>
      <c r="E200" s="43"/>
      <c r="F200" s="43"/>
      <c r="G200" s="43"/>
      <c r="H200" s="43"/>
      <c r="I200" s="43"/>
      <c r="J200" s="43"/>
      <c r="K200" s="43"/>
      <c r="L200" s="43"/>
      <c r="M200" s="43"/>
      <c r="N200" s="43"/>
      <c r="O200" s="43"/>
      <c r="P200" s="44"/>
      <c r="Q200" s="45"/>
    </row>
    <row r="201" spans="1:17">
      <c r="A201" s="51"/>
      <c r="B201" s="59"/>
      <c r="C201" s="60"/>
      <c r="D201" s="49"/>
      <c r="E201" s="49"/>
      <c r="F201" s="49"/>
      <c r="G201" s="49"/>
      <c r="H201" s="49"/>
      <c r="I201" s="49"/>
      <c r="J201" s="49"/>
      <c r="K201" s="49"/>
      <c r="L201" s="49"/>
      <c r="M201" s="49"/>
      <c r="N201" s="49"/>
      <c r="O201" s="49"/>
      <c r="P201" s="50"/>
      <c r="Q201" s="39"/>
    </row>
    <row r="202" spans="1:17">
      <c r="A202" s="52"/>
      <c r="B202" s="57"/>
      <c r="C202" s="58"/>
      <c r="D202" s="43"/>
      <c r="E202" s="43"/>
      <c r="F202" s="43"/>
      <c r="G202" s="43"/>
      <c r="H202" s="43"/>
      <c r="I202" s="43"/>
      <c r="J202" s="43"/>
      <c r="K202" s="43"/>
      <c r="L202" s="43"/>
      <c r="M202" s="43"/>
      <c r="N202" s="43"/>
      <c r="O202" s="43"/>
      <c r="P202" s="44"/>
      <c r="Q202" s="45"/>
    </row>
    <row r="203" spans="1:17">
      <c r="A203" s="46"/>
      <c r="B203" s="59"/>
      <c r="C203" s="60"/>
      <c r="D203" s="49"/>
      <c r="E203" s="49"/>
      <c r="F203" s="49"/>
      <c r="G203" s="49"/>
      <c r="H203" s="49"/>
      <c r="I203" s="49"/>
      <c r="J203" s="49"/>
      <c r="K203" s="49"/>
      <c r="L203" s="49"/>
      <c r="M203" s="49"/>
      <c r="N203" s="49"/>
      <c r="O203" s="49"/>
      <c r="P203" s="50"/>
      <c r="Q203" s="39"/>
    </row>
    <row r="204" spans="1:17">
      <c r="A204" s="40"/>
      <c r="B204" s="57"/>
      <c r="C204" s="58"/>
      <c r="D204" s="43"/>
      <c r="E204" s="43"/>
      <c r="F204" s="43"/>
      <c r="G204" s="43"/>
      <c r="H204" s="43"/>
      <c r="I204" s="43"/>
      <c r="J204" s="43"/>
      <c r="K204" s="43"/>
      <c r="L204" s="43"/>
      <c r="M204" s="43"/>
      <c r="N204" s="43"/>
      <c r="O204" s="43"/>
      <c r="P204" s="44"/>
      <c r="Q204" s="45"/>
    </row>
    <row r="205" spans="1:17">
      <c r="A205" s="46"/>
      <c r="B205" s="59"/>
      <c r="C205" s="60"/>
      <c r="D205" s="49"/>
      <c r="E205" s="49"/>
      <c r="F205" s="49"/>
      <c r="G205" s="49"/>
      <c r="H205" s="49"/>
      <c r="I205" s="49"/>
      <c r="J205" s="49"/>
      <c r="K205" s="49"/>
      <c r="L205" s="49"/>
      <c r="M205" s="49"/>
      <c r="N205" s="49"/>
      <c r="O205" s="49"/>
      <c r="P205" s="50"/>
      <c r="Q205" s="39"/>
    </row>
    <row r="206" spans="1:17">
      <c r="A206" s="40"/>
      <c r="B206" s="57"/>
      <c r="C206" s="58"/>
      <c r="D206" s="43"/>
      <c r="E206" s="43"/>
      <c r="F206" s="43"/>
      <c r="G206" s="43"/>
      <c r="H206" s="43"/>
      <c r="I206" s="43"/>
      <c r="J206" s="43"/>
      <c r="K206" s="43"/>
      <c r="L206" s="43"/>
      <c r="M206" s="43"/>
      <c r="N206" s="43"/>
      <c r="O206" s="43"/>
      <c r="P206" s="44"/>
      <c r="Q206" s="45"/>
    </row>
    <row r="207" spans="1:17">
      <c r="A207" s="46"/>
      <c r="B207" s="59"/>
      <c r="C207" s="60"/>
      <c r="D207" s="49"/>
      <c r="E207" s="49"/>
      <c r="F207" s="49"/>
      <c r="G207" s="49"/>
      <c r="H207" s="49"/>
      <c r="I207" s="49"/>
      <c r="J207" s="49"/>
      <c r="K207" s="49"/>
      <c r="L207" s="49"/>
      <c r="M207" s="49"/>
      <c r="N207" s="49"/>
      <c r="O207" s="49"/>
      <c r="P207" s="50"/>
      <c r="Q207" s="39"/>
    </row>
    <row r="208" spans="1:17">
      <c r="A208" s="40"/>
      <c r="B208" s="57"/>
      <c r="C208" s="58"/>
      <c r="D208" s="43"/>
      <c r="E208" s="43"/>
      <c r="F208" s="43"/>
      <c r="G208" s="43"/>
      <c r="H208" s="43"/>
      <c r="I208" s="43"/>
      <c r="J208" s="43"/>
      <c r="K208" s="43"/>
      <c r="L208" s="43"/>
      <c r="M208" s="43"/>
      <c r="N208" s="43"/>
      <c r="O208" s="43"/>
      <c r="P208" s="44"/>
      <c r="Q208" s="45"/>
    </row>
    <row r="209" spans="1:17">
      <c r="A209" s="46"/>
      <c r="B209" s="59"/>
      <c r="C209" s="60"/>
      <c r="D209" s="49"/>
      <c r="E209" s="49"/>
      <c r="F209" s="49"/>
      <c r="G209" s="49"/>
      <c r="H209" s="49"/>
      <c r="I209" s="49"/>
      <c r="J209" s="49"/>
      <c r="K209" s="49"/>
      <c r="L209" s="49"/>
      <c r="M209" s="49"/>
      <c r="N209" s="49"/>
      <c r="O209" s="49"/>
      <c r="P209" s="50"/>
      <c r="Q209" s="39"/>
    </row>
    <row r="210" spans="1:17">
      <c r="A210" s="40"/>
      <c r="B210" s="57"/>
      <c r="C210" s="58"/>
      <c r="D210" s="43"/>
      <c r="E210" s="43"/>
      <c r="F210" s="43"/>
      <c r="G210" s="43"/>
      <c r="H210" s="43"/>
      <c r="I210" s="43"/>
      <c r="J210" s="43"/>
      <c r="K210" s="43"/>
      <c r="L210" s="43"/>
      <c r="M210" s="43"/>
      <c r="N210" s="43"/>
      <c r="O210" s="43"/>
      <c r="P210" s="44"/>
      <c r="Q210" s="45"/>
    </row>
    <row r="211" spans="1:17">
      <c r="A211" s="46"/>
      <c r="B211" s="59"/>
      <c r="C211" s="60"/>
      <c r="D211" s="49"/>
      <c r="E211" s="49"/>
      <c r="F211" s="49"/>
      <c r="G211" s="49"/>
      <c r="H211" s="49"/>
      <c r="I211" s="49"/>
      <c r="J211" s="49"/>
      <c r="K211" s="49"/>
      <c r="L211" s="49"/>
      <c r="M211" s="49"/>
      <c r="N211" s="49"/>
      <c r="O211" s="49"/>
      <c r="P211" s="50"/>
      <c r="Q211" s="39"/>
    </row>
    <row r="212" spans="1:17">
      <c r="A212" s="40"/>
      <c r="B212" s="57"/>
      <c r="C212" s="58"/>
      <c r="D212" s="43"/>
      <c r="E212" s="43"/>
      <c r="F212" s="43"/>
      <c r="G212" s="43"/>
      <c r="H212" s="43"/>
      <c r="I212" s="43"/>
      <c r="J212" s="43"/>
      <c r="K212" s="43"/>
      <c r="L212" s="43"/>
      <c r="M212" s="43"/>
      <c r="N212" s="43"/>
      <c r="O212" s="43"/>
      <c r="P212" s="44"/>
      <c r="Q212" s="45"/>
    </row>
    <row r="213" spans="1:17">
      <c r="A213" s="46"/>
      <c r="B213" s="59"/>
      <c r="C213" s="60"/>
      <c r="D213" s="49"/>
      <c r="E213" s="49"/>
      <c r="F213" s="49"/>
      <c r="G213" s="49"/>
      <c r="H213" s="49"/>
      <c r="I213" s="49"/>
      <c r="J213" s="49"/>
      <c r="K213" s="49"/>
      <c r="L213" s="49"/>
      <c r="M213" s="49"/>
      <c r="N213" s="49"/>
      <c r="O213" s="49"/>
      <c r="P213" s="50"/>
      <c r="Q213" s="39"/>
    </row>
    <row r="214" spans="1:17">
      <c r="A214" s="40"/>
      <c r="B214" s="57"/>
      <c r="C214" s="58"/>
      <c r="D214" s="43"/>
      <c r="E214" s="43"/>
      <c r="F214" s="43"/>
      <c r="G214" s="43"/>
      <c r="H214" s="43"/>
      <c r="I214" s="43"/>
      <c r="J214" s="43"/>
      <c r="K214" s="43"/>
      <c r="L214" s="43"/>
      <c r="M214" s="43"/>
      <c r="N214" s="43"/>
      <c r="O214" s="43"/>
      <c r="P214" s="44"/>
      <c r="Q214" s="45"/>
    </row>
    <row r="215" spans="1:17" ht="13.9" customHeight="1">
      <c r="A215" s="61"/>
      <c r="B215" s="62"/>
      <c r="C215" s="63"/>
      <c r="D215" s="64"/>
      <c r="E215" s="64"/>
      <c r="F215" s="64"/>
      <c r="G215" s="64"/>
      <c r="H215" s="64"/>
      <c r="I215" s="64"/>
      <c r="J215" s="64"/>
      <c r="K215" s="64"/>
      <c r="L215" s="64"/>
      <c r="M215" s="64"/>
      <c r="N215" s="64"/>
      <c r="O215" s="64"/>
      <c r="P215" s="65"/>
      <c r="Q215" s="39"/>
    </row>
    <row r="216" spans="1:17">
      <c r="A216" s="66"/>
      <c r="B216" s="67"/>
      <c r="C216" s="68"/>
      <c r="D216" s="45"/>
      <c r="E216" s="45"/>
      <c r="F216" s="45"/>
      <c r="G216" s="45"/>
      <c r="H216" s="45"/>
      <c r="I216" s="45"/>
      <c r="J216" s="69"/>
      <c r="K216" s="70"/>
      <c r="L216" s="70"/>
      <c r="M216" s="70"/>
      <c r="N216" s="71"/>
      <c r="O216" s="45"/>
      <c r="P216" s="45"/>
      <c r="Q216" s="45"/>
    </row>
  </sheetData>
  <mergeCells count="2">
    <mergeCell ref="D1:F1"/>
    <mergeCell ref="J1:O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tint="-0.249977111117893"/>
  </sheetPr>
  <dimension ref="A1:R51"/>
  <sheetViews>
    <sheetView rightToLeft="1" workbookViewId="0">
      <pane ySplit="17" topLeftCell="A18" activePane="bottomLeft" state="frozen"/>
      <selection pane="bottomLeft"/>
    </sheetView>
  </sheetViews>
  <sheetFormatPr defaultRowHeight="13.5"/>
  <cols>
    <col min="1" max="1" width="14.1875" customWidth="1"/>
    <col min="2" max="2" width="46.6875" customWidth="1"/>
    <col min="3" max="3" width="10.8125" customWidth="1"/>
    <col min="4" max="4" width="18.3125" customWidth="1"/>
    <col min="7" max="8" width="18.3125" customWidth="1"/>
  </cols>
  <sheetData>
    <row r="1" spans="1:18" ht="32" customHeight="1">
      <c r="A1" s="27"/>
      <c r="B1" s="28"/>
      <c r="C1" s="28"/>
      <c r="D1" s="28"/>
      <c r="E1" s="28"/>
      <c r="F1" s="28"/>
      <c r="G1" s="28"/>
      <c r="H1" s="28"/>
      <c r="I1" s="28" t="s">
        <v>1212</v>
      </c>
      <c r="J1" s="296" t="s">
        <v>1213</v>
      </c>
      <c r="K1" s="297"/>
      <c r="L1" s="297"/>
      <c r="M1" s="298"/>
      <c r="N1" s="28"/>
      <c r="O1" s="28"/>
      <c r="P1" s="28"/>
      <c r="Q1" s="28"/>
      <c r="R1" s="72"/>
    </row>
    <row r="2" spans="1:18" ht="28.05" customHeight="1">
      <c r="A2" s="73"/>
      <c r="B2" s="31"/>
      <c r="C2" s="31"/>
      <c r="D2" s="31"/>
      <c r="E2" s="31"/>
      <c r="F2" s="31"/>
      <c r="G2" s="31"/>
      <c r="H2" s="31"/>
      <c r="I2" s="299" t="s">
        <v>1212</v>
      </c>
      <c r="J2" s="299" t="s">
        <v>1214</v>
      </c>
      <c r="K2" s="300"/>
      <c r="L2" s="31"/>
      <c r="M2" s="31"/>
      <c r="N2" s="31"/>
      <c r="O2" s="31"/>
      <c r="P2" s="31"/>
      <c r="Q2" s="31"/>
      <c r="R2" s="74"/>
    </row>
    <row r="3" spans="1:18" ht="27" customHeight="1">
      <c r="A3" s="75" t="s">
        <v>868</v>
      </c>
      <c r="B3" s="35" t="s">
        <v>735</v>
      </c>
      <c r="C3" s="36" t="s">
        <v>1215</v>
      </c>
      <c r="D3" s="76" t="s">
        <v>871</v>
      </c>
      <c r="E3" s="76" t="s">
        <v>872</v>
      </c>
      <c r="F3" s="76" t="s">
        <v>873</v>
      </c>
      <c r="G3" s="76"/>
      <c r="H3" s="76" t="s">
        <v>878</v>
      </c>
      <c r="I3" s="301"/>
      <c r="J3" s="37" t="s">
        <v>1216</v>
      </c>
      <c r="K3" s="37" t="s">
        <v>1217</v>
      </c>
      <c r="L3" s="37" t="s">
        <v>876</v>
      </c>
      <c r="M3" s="37" t="s">
        <v>877</v>
      </c>
      <c r="N3" s="37" t="s">
        <v>1218</v>
      </c>
      <c r="O3" s="37" t="s">
        <v>1219</v>
      </c>
      <c r="P3" s="37" t="s">
        <v>878</v>
      </c>
      <c r="Q3" s="37"/>
      <c r="R3" s="38"/>
    </row>
    <row r="4" spans="1:18" ht="51" customHeight="1">
      <c r="A4" s="40" t="s">
        <v>1220</v>
      </c>
      <c r="B4" s="41" t="s">
        <v>1221</v>
      </c>
      <c r="C4" s="42" t="s">
        <v>881</v>
      </c>
      <c r="D4" s="43" t="s">
        <v>1222</v>
      </c>
      <c r="E4" s="43" t="s">
        <v>1222</v>
      </c>
      <c r="F4" s="43" t="s">
        <v>1222</v>
      </c>
      <c r="G4" s="43">
        <f>O4*1.12</f>
        <v>1151539200.0000002</v>
      </c>
      <c r="H4" s="43">
        <f t="shared" ref="H4:H51" si="0">G4/O4</f>
        <v>1.1200000000000001</v>
      </c>
      <c r="I4" s="43">
        <v>750000000</v>
      </c>
      <c r="J4" s="43">
        <v>750000000</v>
      </c>
      <c r="K4" s="43">
        <f t="shared" ref="K4:K44" si="1">J4/I4-1</f>
        <v>0</v>
      </c>
      <c r="L4" s="43">
        <v>0</v>
      </c>
      <c r="M4" s="43">
        <f>J4*1.512</f>
        <v>1134000000</v>
      </c>
      <c r="N4" s="43">
        <f t="shared" ref="N4:N44" si="2">M4/J4-1</f>
        <v>0.51200000000000001</v>
      </c>
      <c r="O4" s="43">
        <f>J4*1.37088</f>
        <v>1028160000.0000001</v>
      </c>
      <c r="P4" s="43">
        <f t="shared" ref="P4:P44" si="3">O4/I4</f>
        <v>1.3708800000000001</v>
      </c>
      <c r="Q4" s="43"/>
      <c r="R4" s="44"/>
    </row>
    <row r="5" spans="1:18" ht="51" customHeight="1">
      <c r="A5" s="46" t="s">
        <v>1223</v>
      </c>
      <c r="B5" s="47" t="s">
        <v>1224</v>
      </c>
      <c r="C5" s="48" t="s">
        <v>881</v>
      </c>
      <c r="D5" s="49" t="s">
        <v>1222</v>
      </c>
      <c r="E5" s="49" t="s">
        <v>1222</v>
      </c>
      <c r="F5" s="49" t="s">
        <v>1222</v>
      </c>
      <c r="G5" s="49">
        <f>O5*1.12</f>
        <v>1247500800</v>
      </c>
      <c r="H5" s="49">
        <f t="shared" si="0"/>
        <v>1.1200000000000001</v>
      </c>
      <c r="I5" s="49">
        <v>812500000</v>
      </c>
      <c r="J5" s="49">
        <v>812500000</v>
      </c>
      <c r="K5" s="49">
        <f t="shared" si="1"/>
        <v>0</v>
      </c>
      <c r="L5" s="49">
        <v>0</v>
      </c>
      <c r="M5" s="49">
        <f>J5*1.512</f>
        <v>1228500000</v>
      </c>
      <c r="N5" s="49">
        <f t="shared" si="2"/>
        <v>0.51200000000000001</v>
      </c>
      <c r="O5" s="49">
        <f>J5*1.37088</f>
        <v>1113840000</v>
      </c>
      <c r="P5" s="49">
        <f t="shared" si="3"/>
        <v>1.3708800000000001</v>
      </c>
      <c r="Q5" s="49"/>
      <c r="R5" s="50"/>
    </row>
    <row r="6" spans="1:18" ht="51" customHeight="1">
      <c r="A6" s="40" t="s">
        <v>1225</v>
      </c>
      <c r="B6" s="41" t="s">
        <v>1226</v>
      </c>
      <c r="C6" s="42" t="s">
        <v>881</v>
      </c>
      <c r="D6" s="43" t="s">
        <v>1222</v>
      </c>
      <c r="E6" s="43" t="s">
        <v>1222</v>
      </c>
      <c r="F6" s="43" t="s">
        <v>1222</v>
      </c>
      <c r="G6" s="43">
        <f>O6*1.12</f>
        <v>1343462400.0000002</v>
      </c>
      <c r="H6" s="43">
        <f t="shared" si="0"/>
        <v>1.1200000000000001</v>
      </c>
      <c r="I6" s="43">
        <v>875000000</v>
      </c>
      <c r="J6" s="43">
        <v>875000000</v>
      </c>
      <c r="K6" s="43">
        <f t="shared" si="1"/>
        <v>0</v>
      </c>
      <c r="L6" s="43">
        <v>0</v>
      </c>
      <c r="M6" s="43">
        <f>J6*1.512</f>
        <v>1323000000</v>
      </c>
      <c r="N6" s="43">
        <f t="shared" si="2"/>
        <v>0.51200000000000001</v>
      </c>
      <c r="O6" s="43">
        <f>J6*1.37088</f>
        <v>1199520000</v>
      </c>
      <c r="P6" s="43">
        <f t="shared" si="3"/>
        <v>1.3708800000000001</v>
      </c>
      <c r="Q6" s="43"/>
      <c r="R6" s="44"/>
    </row>
    <row r="7" spans="1:18" ht="51" customHeight="1">
      <c r="A7" s="46" t="s">
        <v>1227</v>
      </c>
      <c r="B7" s="47" t="s">
        <v>1228</v>
      </c>
      <c r="C7" s="48" t="s">
        <v>881</v>
      </c>
      <c r="D7" s="49">
        <v>1285200000</v>
      </c>
      <c r="E7" s="49">
        <v>1417000000</v>
      </c>
      <c r="F7" s="49">
        <v>1558700000</v>
      </c>
      <c r="G7" s="49">
        <v>1558700000</v>
      </c>
      <c r="H7" s="49">
        <f t="shared" si="0"/>
        <v>1.2128073451602863</v>
      </c>
      <c r="I7" s="49">
        <v>937500000</v>
      </c>
      <c r="J7" s="49">
        <v>850000000</v>
      </c>
      <c r="K7" s="49">
        <f t="shared" si="1"/>
        <v>-9.3333333333333379E-2</v>
      </c>
      <c r="L7" s="49">
        <v>1124550000</v>
      </c>
      <c r="M7" s="49">
        <v>1285200000</v>
      </c>
      <c r="N7" s="49">
        <f t="shared" si="2"/>
        <v>0.51200000000000001</v>
      </c>
      <c r="O7" s="49">
        <f>M7</f>
        <v>1285200000</v>
      </c>
      <c r="P7" s="49">
        <f t="shared" si="3"/>
        <v>1.3708800000000001</v>
      </c>
      <c r="Q7" s="49"/>
      <c r="R7" s="50"/>
    </row>
    <row r="8" spans="1:18" ht="51" customHeight="1">
      <c r="A8" s="40" t="s">
        <v>1229</v>
      </c>
      <c r="B8" s="41" t="s">
        <v>1230</v>
      </c>
      <c r="C8" s="42" t="s">
        <v>881</v>
      </c>
      <c r="D8" s="43">
        <v>1512000000</v>
      </c>
      <c r="E8" s="43">
        <v>1667000000</v>
      </c>
      <c r="F8" s="43">
        <v>1833700000</v>
      </c>
      <c r="G8" s="43">
        <v>1833700000</v>
      </c>
      <c r="H8" s="43">
        <f t="shared" si="0"/>
        <v>1.2127645502645503</v>
      </c>
      <c r="I8" s="43">
        <v>1000000000</v>
      </c>
      <c r="J8" s="43">
        <v>1000000000</v>
      </c>
      <c r="K8" s="43">
        <f t="shared" si="1"/>
        <v>0</v>
      </c>
      <c r="L8" s="43">
        <v>1323000000</v>
      </c>
      <c r="M8" s="43">
        <v>1512000000</v>
      </c>
      <c r="N8" s="43">
        <f t="shared" si="2"/>
        <v>0.51200000000000001</v>
      </c>
      <c r="O8" s="43">
        <f>M8</f>
        <v>1512000000</v>
      </c>
      <c r="P8" s="43">
        <f t="shared" si="3"/>
        <v>1.512</v>
      </c>
      <c r="Q8" s="43"/>
      <c r="R8" s="44"/>
    </row>
    <row r="9" spans="1:18" ht="51" customHeight="1">
      <c r="A9" s="46" t="s">
        <v>1231</v>
      </c>
      <c r="B9" s="47" t="s">
        <v>1232</v>
      </c>
      <c r="C9" s="48" t="s">
        <v>881</v>
      </c>
      <c r="D9" s="49">
        <v>1663200000</v>
      </c>
      <c r="E9" s="49">
        <v>1995000000</v>
      </c>
      <c r="F9" s="49">
        <v>2194500000</v>
      </c>
      <c r="G9" s="49">
        <v>2194500000</v>
      </c>
      <c r="H9" s="49">
        <f t="shared" si="0"/>
        <v>1.3660130718954249</v>
      </c>
      <c r="I9" s="49">
        <v>1062500000</v>
      </c>
      <c r="J9" s="49">
        <v>1100000000</v>
      </c>
      <c r="K9" s="49">
        <f t="shared" si="1"/>
        <v>3.529411764705892E-2</v>
      </c>
      <c r="L9" s="49">
        <v>1455300000</v>
      </c>
      <c r="M9" s="49">
        <v>1663200000</v>
      </c>
      <c r="N9" s="49">
        <f t="shared" si="2"/>
        <v>0.51200000000000001</v>
      </c>
      <c r="O9" s="49">
        <f>I9*1.512</f>
        <v>1606500000</v>
      </c>
      <c r="P9" s="49">
        <f t="shared" si="3"/>
        <v>1.512</v>
      </c>
      <c r="Q9" s="49"/>
      <c r="R9" s="50"/>
    </row>
    <row r="10" spans="1:18" ht="51" customHeight="1">
      <c r="A10" s="40" t="s">
        <v>1233</v>
      </c>
      <c r="B10" s="41" t="s">
        <v>1234</v>
      </c>
      <c r="C10" s="42" t="s">
        <v>881</v>
      </c>
      <c r="D10" s="43">
        <v>1890000000</v>
      </c>
      <c r="E10" s="43">
        <v>2262000000</v>
      </c>
      <c r="F10" s="43">
        <v>2488200000</v>
      </c>
      <c r="G10" s="43">
        <v>2488200000</v>
      </c>
      <c r="H10" s="43">
        <f t="shared" si="0"/>
        <v>1.408029878618114</v>
      </c>
      <c r="I10" s="43">
        <v>1168750000</v>
      </c>
      <c r="J10" s="43">
        <v>1250000000</v>
      </c>
      <c r="K10" s="43">
        <f t="shared" si="1"/>
        <v>6.9518716577540163E-2</v>
      </c>
      <c r="L10" s="43">
        <v>1653750000</v>
      </c>
      <c r="M10" s="43">
        <v>1890000000</v>
      </c>
      <c r="N10" s="43">
        <f t="shared" si="2"/>
        <v>0.51200000000000001</v>
      </c>
      <c r="O10" s="43">
        <f>I10*1.512</f>
        <v>1767150000</v>
      </c>
      <c r="P10" s="43">
        <f t="shared" si="3"/>
        <v>1.512</v>
      </c>
      <c r="Q10" s="43"/>
      <c r="R10" s="44"/>
    </row>
    <row r="11" spans="1:18" ht="51" customHeight="1">
      <c r="A11" s="46" t="s">
        <v>1235</v>
      </c>
      <c r="B11" s="47" t="s">
        <v>1236</v>
      </c>
      <c r="C11" s="48" t="s">
        <v>881</v>
      </c>
      <c r="D11" s="49">
        <v>2041200000</v>
      </c>
      <c r="E11" s="49">
        <v>2443000000</v>
      </c>
      <c r="F11" s="49">
        <v>2687300000</v>
      </c>
      <c r="G11" s="49">
        <v>2687300000</v>
      </c>
      <c r="H11" s="49">
        <f t="shared" si="0"/>
        <v>1.3824519706872649</v>
      </c>
      <c r="I11" s="49">
        <v>1285625000</v>
      </c>
      <c r="J11" s="49">
        <v>1350000000</v>
      </c>
      <c r="K11" s="49">
        <f t="shared" si="1"/>
        <v>5.0072921730675679E-2</v>
      </c>
      <c r="L11" s="49">
        <v>1786050000</v>
      </c>
      <c r="M11" s="49">
        <v>2041200000</v>
      </c>
      <c r="N11" s="49">
        <f t="shared" si="2"/>
        <v>0.51200000000000001</v>
      </c>
      <c r="O11" s="49">
        <f>I11*1.512</f>
        <v>1943865000</v>
      </c>
      <c r="P11" s="49">
        <f t="shared" si="3"/>
        <v>1.512</v>
      </c>
      <c r="Q11" s="49"/>
      <c r="R11" s="50"/>
    </row>
    <row r="12" spans="1:18" ht="51" customHeight="1">
      <c r="A12" s="40" t="s">
        <v>1237</v>
      </c>
      <c r="B12" s="41" t="s">
        <v>1238</v>
      </c>
      <c r="C12" s="42" t="s">
        <v>881</v>
      </c>
      <c r="D12" s="43" t="s">
        <v>1239</v>
      </c>
      <c r="E12" s="43" t="s">
        <v>1239</v>
      </c>
      <c r="F12" s="43" t="s">
        <v>1239</v>
      </c>
      <c r="G12" s="43">
        <f>O12*1.12</f>
        <v>2394100800</v>
      </c>
      <c r="H12" s="43">
        <f t="shared" si="0"/>
        <v>1.1200000000000001</v>
      </c>
      <c r="I12" s="43">
        <v>1413750000</v>
      </c>
      <c r="J12" s="43">
        <v>1413750000</v>
      </c>
      <c r="K12" s="43">
        <f t="shared" si="1"/>
        <v>0</v>
      </c>
      <c r="L12" s="43">
        <v>0</v>
      </c>
      <c r="M12" s="43">
        <f>J12*1.512</f>
        <v>2137590000</v>
      </c>
      <c r="N12" s="43">
        <f t="shared" si="2"/>
        <v>0.51200000000000001</v>
      </c>
      <c r="O12" s="43">
        <f>M12</f>
        <v>2137590000</v>
      </c>
      <c r="P12" s="43">
        <f t="shared" si="3"/>
        <v>1.512</v>
      </c>
      <c r="Q12" s="43"/>
      <c r="R12" s="44"/>
    </row>
    <row r="13" spans="1:18" ht="51" customHeight="1">
      <c r="A13" s="46" t="s">
        <v>1240</v>
      </c>
      <c r="B13" s="47" t="s">
        <v>1241</v>
      </c>
      <c r="C13" s="48" t="s">
        <v>881</v>
      </c>
      <c r="D13" s="49">
        <v>2268000000</v>
      </c>
      <c r="E13" s="49">
        <v>2714250000</v>
      </c>
      <c r="F13" s="49">
        <v>2985675000</v>
      </c>
      <c r="G13" s="49">
        <v>2985675000</v>
      </c>
      <c r="H13" s="49">
        <f t="shared" si="0"/>
        <v>1.3171320804658551</v>
      </c>
      <c r="I13" s="49">
        <v>1555000000</v>
      </c>
      <c r="J13" s="49">
        <v>1500000000</v>
      </c>
      <c r="K13" s="49">
        <f t="shared" si="1"/>
        <v>-3.5369774919614128E-2</v>
      </c>
      <c r="L13" s="49">
        <v>1984500000</v>
      </c>
      <c r="M13" s="49">
        <v>2266800000</v>
      </c>
      <c r="N13" s="49">
        <f t="shared" si="2"/>
        <v>0.5112000000000001</v>
      </c>
      <c r="O13" s="49">
        <f>M13</f>
        <v>2266800000</v>
      </c>
      <c r="P13" s="49">
        <f t="shared" si="3"/>
        <v>1.457749196141479</v>
      </c>
      <c r="Q13" s="49"/>
      <c r="R13" s="50"/>
    </row>
    <row r="14" spans="1:18" ht="51" customHeight="1">
      <c r="A14" s="40" t="s">
        <v>1242</v>
      </c>
      <c r="B14" s="41" t="s">
        <v>1243</v>
      </c>
      <c r="C14" s="42" t="s">
        <v>881</v>
      </c>
      <c r="D14" s="43">
        <v>2721600000</v>
      </c>
      <c r="E14" s="43">
        <v>3255000000</v>
      </c>
      <c r="F14" s="43">
        <v>3580500000</v>
      </c>
      <c r="G14" s="43">
        <v>3580500000</v>
      </c>
      <c r="H14" s="43">
        <f t="shared" si="0"/>
        <v>1.3848278102664067</v>
      </c>
      <c r="I14" s="43">
        <v>1710000000</v>
      </c>
      <c r="J14" s="43">
        <v>1800000000</v>
      </c>
      <c r="K14" s="43">
        <f t="shared" si="1"/>
        <v>5.2631578947368363E-2</v>
      </c>
      <c r="L14" s="43">
        <v>2381400000</v>
      </c>
      <c r="M14" s="43">
        <v>2721600000</v>
      </c>
      <c r="N14" s="43">
        <f t="shared" si="2"/>
        <v>0.51200000000000001</v>
      </c>
      <c r="O14" s="43">
        <f>I14*1.512</f>
        <v>2585520000</v>
      </c>
      <c r="P14" s="43">
        <f t="shared" si="3"/>
        <v>1.512</v>
      </c>
      <c r="Q14" s="43"/>
      <c r="R14" s="44"/>
    </row>
    <row r="15" spans="1:18" ht="51" customHeight="1">
      <c r="A15" s="46" t="s">
        <v>1244</v>
      </c>
      <c r="B15" s="47" t="s">
        <v>1245</v>
      </c>
      <c r="C15" s="48" t="s">
        <v>881</v>
      </c>
      <c r="D15" s="49">
        <v>3250800000</v>
      </c>
      <c r="E15" s="49">
        <v>3891300000</v>
      </c>
      <c r="F15" s="49">
        <v>4280430000</v>
      </c>
      <c r="G15" s="49">
        <v>4280430000</v>
      </c>
      <c r="H15" s="49">
        <f t="shared" si="0"/>
        <v>1.5040094269655091</v>
      </c>
      <c r="I15" s="49">
        <v>1882283562.5</v>
      </c>
      <c r="J15" s="49">
        <v>2150000000</v>
      </c>
      <c r="K15" s="49">
        <f t="shared" si="1"/>
        <v>0.1422295996382319</v>
      </c>
      <c r="L15" s="49">
        <v>2844450000</v>
      </c>
      <c r="M15" s="49">
        <v>3250800000</v>
      </c>
      <c r="N15" s="49">
        <f t="shared" si="2"/>
        <v>0.51200000000000001</v>
      </c>
      <c r="O15" s="49">
        <f>I15*1.512</f>
        <v>2846012746.5</v>
      </c>
      <c r="P15" s="49">
        <f t="shared" si="3"/>
        <v>1.512</v>
      </c>
      <c r="Q15" s="49"/>
      <c r="R15" s="50"/>
    </row>
    <row r="16" spans="1:18" ht="51" customHeight="1">
      <c r="A16" s="40" t="s">
        <v>1246</v>
      </c>
      <c r="B16" s="41" t="s">
        <v>1247</v>
      </c>
      <c r="C16" s="42" t="s">
        <v>881</v>
      </c>
      <c r="D16" s="43">
        <v>4498200000</v>
      </c>
      <c r="E16" s="43">
        <v>5386500000</v>
      </c>
      <c r="F16" s="43">
        <v>5925150000.000001</v>
      </c>
      <c r="G16" s="43">
        <v>4757356800</v>
      </c>
      <c r="H16" s="43">
        <f t="shared" si="0"/>
        <v>1.52</v>
      </c>
      <c r="I16" s="43">
        <v>2070000000</v>
      </c>
      <c r="J16" s="43">
        <v>2975000000</v>
      </c>
      <c r="K16" s="43">
        <f t="shared" si="1"/>
        <v>0.43719806763285018</v>
      </c>
      <c r="L16" s="43">
        <v>3935925000</v>
      </c>
      <c r="M16" s="43">
        <v>4498200000</v>
      </c>
      <c r="N16" s="43">
        <f t="shared" si="2"/>
        <v>0.51200000000000001</v>
      </c>
      <c r="O16" s="43">
        <f>I16*1.512</f>
        <v>3129840000</v>
      </c>
      <c r="P16" s="43">
        <f t="shared" si="3"/>
        <v>1.512</v>
      </c>
      <c r="Q16" s="43">
        <f>G16/D16</f>
        <v>1.0576134453781512</v>
      </c>
      <c r="R16" s="44">
        <f>O16*1.52</f>
        <v>4757356800</v>
      </c>
    </row>
    <row r="17" spans="1:18" ht="51" customHeight="1">
      <c r="A17" s="46" t="s">
        <v>1248</v>
      </c>
      <c r="B17" s="47" t="s">
        <v>1249</v>
      </c>
      <c r="C17" s="48" t="s">
        <v>881</v>
      </c>
      <c r="D17" s="49" t="s">
        <v>1222</v>
      </c>
      <c r="E17" s="49" t="s">
        <v>1222</v>
      </c>
      <c r="F17" s="49" t="s">
        <v>1222</v>
      </c>
      <c r="G17" s="49">
        <f>O17*1.5212</f>
        <v>5000265991.636364</v>
      </c>
      <c r="H17" s="49">
        <f t="shared" si="0"/>
        <v>1.5212000000000001</v>
      </c>
      <c r="I17" s="49">
        <v>2277500000</v>
      </c>
      <c r="J17" s="49">
        <v>2277500000</v>
      </c>
      <c r="K17" s="49">
        <f t="shared" si="1"/>
        <v>0</v>
      </c>
      <c r="L17" s="49">
        <v>0</v>
      </c>
      <c r="M17" s="49">
        <f>J17*P21</f>
        <v>3287053636.3636365</v>
      </c>
      <c r="N17" s="49">
        <f t="shared" si="2"/>
        <v>0.44327272727272726</v>
      </c>
      <c r="O17" s="49">
        <f t="shared" ref="O17:O33" si="4">M17</f>
        <v>3287053636.3636365</v>
      </c>
      <c r="P17" s="49">
        <f t="shared" si="3"/>
        <v>1.4432727272727273</v>
      </c>
      <c r="Q17" s="49"/>
      <c r="R17" s="50"/>
    </row>
    <row r="18" spans="1:18" ht="51" customHeight="1">
      <c r="A18" s="40" t="s">
        <v>1250</v>
      </c>
      <c r="B18" s="41" t="s">
        <v>1251</v>
      </c>
      <c r="C18" s="42" t="s">
        <v>881</v>
      </c>
      <c r="D18" s="43" t="s">
        <v>1222</v>
      </c>
      <c r="E18" s="43" t="s">
        <v>1222</v>
      </c>
      <c r="F18" s="43" t="s">
        <v>1222</v>
      </c>
      <c r="G18" s="43">
        <f>O18*1.5212</f>
        <v>1207528560</v>
      </c>
      <c r="H18" s="43">
        <f t="shared" si="0"/>
        <v>1.5212000000000001</v>
      </c>
      <c r="I18" s="43">
        <v>550000000</v>
      </c>
      <c r="J18" s="43">
        <v>550000000</v>
      </c>
      <c r="K18" s="43">
        <f t="shared" si="1"/>
        <v>0</v>
      </c>
      <c r="L18" s="43">
        <v>0</v>
      </c>
      <c r="M18" s="43">
        <f>J18*P21</f>
        <v>793800000</v>
      </c>
      <c r="N18" s="43">
        <f t="shared" si="2"/>
        <v>0.44327272727272726</v>
      </c>
      <c r="O18" s="43">
        <f t="shared" si="4"/>
        <v>793800000</v>
      </c>
      <c r="P18" s="43">
        <f t="shared" si="3"/>
        <v>1.4432727272727273</v>
      </c>
      <c r="Q18" s="43"/>
      <c r="R18" s="44"/>
    </row>
    <row r="19" spans="1:18" ht="51" customHeight="1">
      <c r="A19" s="46" t="s">
        <v>1252</v>
      </c>
      <c r="B19" s="47" t="s">
        <v>1253</v>
      </c>
      <c r="C19" s="48" t="s">
        <v>881</v>
      </c>
      <c r="D19" s="49" t="s">
        <v>1222</v>
      </c>
      <c r="E19" s="49" t="s">
        <v>1222</v>
      </c>
      <c r="F19" s="49" t="s">
        <v>1222</v>
      </c>
      <c r="G19" s="49">
        <f>O19*1.5212</f>
        <v>1298093202</v>
      </c>
      <c r="H19" s="49">
        <f t="shared" si="0"/>
        <v>1.5212000000000001</v>
      </c>
      <c r="I19" s="49">
        <v>591250000</v>
      </c>
      <c r="J19" s="49">
        <v>591250000</v>
      </c>
      <c r="K19" s="49">
        <f t="shared" si="1"/>
        <v>0</v>
      </c>
      <c r="L19" s="49">
        <v>0</v>
      </c>
      <c r="M19" s="49">
        <f>J19*P21</f>
        <v>853335000</v>
      </c>
      <c r="N19" s="49">
        <f t="shared" si="2"/>
        <v>0.44327272727272726</v>
      </c>
      <c r="O19" s="49">
        <f t="shared" si="4"/>
        <v>853335000</v>
      </c>
      <c r="P19" s="49">
        <f t="shared" si="3"/>
        <v>1.4432727272727273</v>
      </c>
      <c r="Q19" s="49"/>
      <c r="R19" s="50"/>
    </row>
    <row r="20" spans="1:18" ht="51" customHeight="1">
      <c r="A20" s="40" t="s">
        <v>1254</v>
      </c>
      <c r="B20" s="41" t="s">
        <v>1255</v>
      </c>
      <c r="C20" s="42" t="s">
        <v>881</v>
      </c>
      <c r="D20" s="43" t="s">
        <v>1222</v>
      </c>
      <c r="E20" s="43" t="s">
        <v>1222</v>
      </c>
      <c r="F20" s="43" t="s">
        <v>1222</v>
      </c>
      <c r="G20" s="43">
        <f>O20*1.5212</f>
        <v>1358469630</v>
      </c>
      <c r="H20" s="43">
        <f t="shared" si="0"/>
        <v>1.5212000000000001</v>
      </c>
      <c r="I20" s="43">
        <v>618750000</v>
      </c>
      <c r="J20" s="43">
        <v>618750000</v>
      </c>
      <c r="K20" s="43">
        <f t="shared" si="1"/>
        <v>0</v>
      </c>
      <c r="L20" s="43">
        <v>0</v>
      </c>
      <c r="M20" s="43">
        <f>J20*P21</f>
        <v>893025000</v>
      </c>
      <c r="N20" s="43">
        <f t="shared" si="2"/>
        <v>0.44327272727272726</v>
      </c>
      <c r="O20" s="43">
        <f t="shared" si="4"/>
        <v>893025000</v>
      </c>
      <c r="P20" s="43">
        <f t="shared" si="3"/>
        <v>1.4432727272727273</v>
      </c>
      <c r="Q20" s="43"/>
      <c r="R20" s="44"/>
    </row>
    <row r="21" spans="1:18" ht="51" customHeight="1">
      <c r="A21" s="46" t="s">
        <v>1256</v>
      </c>
      <c r="B21" s="47" t="s">
        <v>1257</v>
      </c>
      <c r="C21" s="48" t="s">
        <v>881</v>
      </c>
      <c r="D21" s="49">
        <v>952560000</v>
      </c>
      <c r="E21" s="49">
        <v>1322000000</v>
      </c>
      <c r="F21" s="49">
        <v>1454200000</v>
      </c>
      <c r="G21" s="49">
        <v>1454200000</v>
      </c>
      <c r="H21" s="49">
        <f t="shared" si="0"/>
        <v>1.5266229948769632</v>
      </c>
      <c r="I21" s="49">
        <v>660000000</v>
      </c>
      <c r="J21" s="49">
        <v>630000000</v>
      </c>
      <c r="K21" s="49">
        <f t="shared" si="1"/>
        <v>-4.5454545454545414E-2</v>
      </c>
      <c r="L21" s="49">
        <v>833490000</v>
      </c>
      <c r="M21" s="49">
        <v>952560000</v>
      </c>
      <c r="N21" s="49">
        <f t="shared" si="2"/>
        <v>0.51200000000000001</v>
      </c>
      <c r="O21" s="49">
        <f t="shared" si="4"/>
        <v>952560000</v>
      </c>
      <c r="P21" s="49">
        <f t="shared" si="3"/>
        <v>1.4432727272727273</v>
      </c>
      <c r="Q21" s="49"/>
      <c r="R21" s="50"/>
    </row>
    <row r="22" spans="1:18" ht="51" customHeight="1">
      <c r="A22" s="40" t="s">
        <v>1258</v>
      </c>
      <c r="B22" s="41" t="s">
        <v>1259</v>
      </c>
      <c r="C22" s="42" t="s">
        <v>881</v>
      </c>
      <c r="D22" s="43">
        <v>1016064000</v>
      </c>
      <c r="E22" s="43">
        <v>1412000000</v>
      </c>
      <c r="F22" s="43">
        <v>1553200000</v>
      </c>
      <c r="G22" s="43">
        <v>1553200000</v>
      </c>
      <c r="H22" s="43">
        <f t="shared" si="0"/>
        <v>1.5286438649533887</v>
      </c>
      <c r="I22" s="43">
        <v>701250000</v>
      </c>
      <c r="J22" s="43">
        <v>672000000</v>
      </c>
      <c r="K22" s="43">
        <f t="shared" si="1"/>
        <v>-4.1711229946524098E-2</v>
      </c>
      <c r="L22" s="43">
        <v>889056000</v>
      </c>
      <c r="M22" s="43">
        <v>1016064000</v>
      </c>
      <c r="N22" s="43">
        <f t="shared" si="2"/>
        <v>0.51200000000000001</v>
      </c>
      <c r="O22" s="43">
        <f t="shared" si="4"/>
        <v>1016064000</v>
      </c>
      <c r="P22" s="43">
        <f t="shared" si="3"/>
        <v>1.4489326203208557</v>
      </c>
      <c r="Q22" s="43"/>
      <c r="R22" s="44"/>
    </row>
    <row r="23" spans="1:18" ht="51" customHeight="1">
      <c r="A23" s="46" t="s">
        <v>1260</v>
      </c>
      <c r="B23" s="47" t="s">
        <v>1261</v>
      </c>
      <c r="C23" s="48" t="s">
        <v>881</v>
      </c>
      <c r="D23" s="49">
        <v>1079568000</v>
      </c>
      <c r="E23" s="49">
        <v>1497300000</v>
      </c>
      <c r="F23" s="49">
        <v>1647030000</v>
      </c>
      <c r="G23" s="49">
        <v>1647030000</v>
      </c>
      <c r="H23" s="49">
        <f t="shared" si="0"/>
        <v>1.5256380329909742</v>
      </c>
      <c r="I23" s="49">
        <v>756250000</v>
      </c>
      <c r="J23" s="49">
        <v>714000000</v>
      </c>
      <c r="K23" s="49">
        <f t="shared" si="1"/>
        <v>-5.5867768595041278E-2</v>
      </c>
      <c r="L23" s="49">
        <v>944622000</v>
      </c>
      <c r="M23" s="49">
        <v>1079568000</v>
      </c>
      <c r="N23" s="49">
        <f t="shared" si="2"/>
        <v>0.51200000000000001</v>
      </c>
      <c r="O23" s="49">
        <f t="shared" si="4"/>
        <v>1079568000</v>
      </c>
      <c r="P23" s="49">
        <f t="shared" si="3"/>
        <v>1.4275279338842974</v>
      </c>
      <c r="Q23" s="49"/>
      <c r="R23" s="50"/>
    </row>
    <row r="24" spans="1:18" ht="51" customHeight="1">
      <c r="A24" s="40" t="s">
        <v>1262</v>
      </c>
      <c r="B24" s="41" t="s">
        <v>1263</v>
      </c>
      <c r="C24" s="42" t="s">
        <v>881</v>
      </c>
      <c r="D24" s="43">
        <v>1270080000</v>
      </c>
      <c r="E24" s="43">
        <v>1763000000</v>
      </c>
      <c r="F24" s="43">
        <v>1939300000</v>
      </c>
      <c r="G24" s="43">
        <v>1939300000</v>
      </c>
      <c r="H24" s="43">
        <f t="shared" si="0"/>
        <v>1.5269116906021667</v>
      </c>
      <c r="I24" s="43">
        <v>893750000</v>
      </c>
      <c r="J24" s="43">
        <v>840000000</v>
      </c>
      <c r="K24" s="43">
        <f t="shared" si="1"/>
        <v>-6.0139860139860168E-2</v>
      </c>
      <c r="L24" s="43">
        <v>1111320000</v>
      </c>
      <c r="M24" s="43">
        <v>1270080000</v>
      </c>
      <c r="N24" s="43">
        <f t="shared" si="2"/>
        <v>0.51200000000000001</v>
      </c>
      <c r="O24" s="43">
        <f t="shared" si="4"/>
        <v>1270080000</v>
      </c>
      <c r="P24" s="43">
        <f t="shared" si="3"/>
        <v>1.4210685314685314</v>
      </c>
      <c r="Q24" s="43"/>
      <c r="R24" s="44"/>
    </row>
    <row r="25" spans="1:18" ht="51" customHeight="1">
      <c r="A25" s="46" t="s">
        <v>1264</v>
      </c>
      <c r="B25" s="47" t="s">
        <v>1265</v>
      </c>
      <c r="C25" s="48" t="s">
        <v>881</v>
      </c>
      <c r="D25" s="49" t="s">
        <v>1222</v>
      </c>
      <c r="E25" s="49" t="s">
        <v>1222</v>
      </c>
      <c r="F25" s="49" t="s">
        <v>1222</v>
      </c>
      <c r="G25" s="49">
        <f t="shared" ref="G25:G34" si="5">O25*1.12</f>
        <v>1564738560.0000002</v>
      </c>
      <c r="H25" s="49">
        <f t="shared" si="0"/>
        <v>1.1200000000000001</v>
      </c>
      <c r="I25" s="49">
        <v>983125000</v>
      </c>
      <c r="J25" s="49">
        <v>983125000</v>
      </c>
      <c r="K25" s="49">
        <f t="shared" si="1"/>
        <v>0</v>
      </c>
      <c r="L25" s="49">
        <v>0</v>
      </c>
      <c r="M25" s="49">
        <f>J25*P24</f>
        <v>1397088000</v>
      </c>
      <c r="N25" s="49">
        <f t="shared" si="2"/>
        <v>0.4210685314685314</v>
      </c>
      <c r="O25" s="49">
        <f t="shared" si="4"/>
        <v>1397088000</v>
      </c>
      <c r="P25" s="49">
        <f t="shared" si="3"/>
        <v>1.4210685314685314</v>
      </c>
      <c r="Q25" s="49"/>
      <c r="R25" s="50"/>
    </row>
    <row r="26" spans="1:18" ht="51" customHeight="1">
      <c r="A26" s="40" t="s">
        <v>1266</v>
      </c>
      <c r="B26" s="41" t="s">
        <v>1267</v>
      </c>
      <c r="C26" s="42" t="s">
        <v>881</v>
      </c>
      <c r="D26" s="43" t="s">
        <v>1239</v>
      </c>
      <c r="E26" s="43" t="s">
        <v>1239</v>
      </c>
      <c r="F26" s="43" t="s">
        <v>1239</v>
      </c>
      <c r="G26" s="43">
        <f t="shared" si="5"/>
        <v>1721212416.0000002</v>
      </c>
      <c r="H26" s="43">
        <f t="shared" si="0"/>
        <v>1.1200000000000001</v>
      </c>
      <c r="I26" s="43">
        <v>1081437500</v>
      </c>
      <c r="J26" s="43">
        <v>1081437500</v>
      </c>
      <c r="K26" s="43">
        <f t="shared" si="1"/>
        <v>0</v>
      </c>
      <c r="L26" s="43">
        <v>0</v>
      </c>
      <c r="M26" s="43">
        <f>J26*P24</f>
        <v>1536796800</v>
      </c>
      <c r="N26" s="43">
        <f t="shared" si="2"/>
        <v>0.4210685314685314</v>
      </c>
      <c r="O26" s="43">
        <f t="shared" si="4"/>
        <v>1536796800</v>
      </c>
      <c r="P26" s="43">
        <f t="shared" si="3"/>
        <v>1.4210685314685314</v>
      </c>
      <c r="Q26" s="43"/>
      <c r="R26" s="44"/>
    </row>
    <row r="27" spans="1:18" ht="51" customHeight="1">
      <c r="A27" s="46" t="s">
        <v>1268</v>
      </c>
      <c r="B27" s="47" t="s">
        <v>1269</v>
      </c>
      <c r="C27" s="48" t="s">
        <v>881</v>
      </c>
      <c r="D27" s="49" t="s">
        <v>1222</v>
      </c>
      <c r="E27" s="49" t="s">
        <v>1222</v>
      </c>
      <c r="F27" s="49" t="s">
        <v>1222</v>
      </c>
      <c r="G27" s="49">
        <f t="shared" si="5"/>
        <v>1893333657.6000001</v>
      </c>
      <c r="H27" s="49">
        <f t="shared" si="0"/>
        <v>1.1200000000000001</v>
      </c>
      <c r="I27" s="49">
        <v>1189581250</v>
      </c>
      <c r="J27" s="49">
        <v>1189581250</v>
      </c>
      <c r="K27" s="49">
        <f t="shared" si="1"/>
        <v>0</v>
      </c>
      <c r="L27" s="49">
        <v>0</v>
      </c>
      <c r="M27" s="49">
        <f>J27*P24</f>
        <v>1690476480</v>
      </c>
      <c r="N27" s="49">
        <f t="shared" si="2"/>
        <v>0.4210685314685314</v>
      </c>
      <c r="O27" s="49">
        <f t="shared" si="4"/>
        <v>1690476480</v>
      </c>
      <c r="P27" s="49">
        <f t="shared" si="3"/>
        <v>1.4210685314685314</v>
      </c>
      <c r="Q27" s="49"/>
      <c r="R27" s="50"/>
    </row>
    <row r="28" spans="1:18" ht="51" customHeight="1">
      <c r="A28" s="40" t="s">
        <v>1270</v>
      </c>
      <c r="B28" s="41" t="s">
        <v>1271</v>
      </c>
      <c r="C28" s="42" t="s">
        <v>881</v>
      </c>
      <c r="D28" s="43" t="s">
        <v>1222</v>
      </c>
      <c r="E28" s="43" t="s">
        <v>1222</v>
      </c>
      <c r="F28" s="43" t="s">
        <v>1222</v>
      </c>
      <c r="G28" s="43">
        <f t="shared" si="5"/>
        <v>2081012757.4825177</v>
      </c>
      <c r="H28" s="43">
        <f t="shared" si="0"/>
        <v>1.1200000000000001</v>
      </c>
      <c r="I28" s="43">
        <v>1307500000</v>
      </c>
      <c r="J28" s="43">
        <v>1307500000</v>
      </c>
      <c r="K28" s="43">
        <f t="shared" si="1"/>
        <v>0</v>
      </c>
      <c r="L28" s="43">
        <v>0</v>
      </c>
      <c r="M28" s="43">
        <f>J28*P24</f>
        <v>1858047104.8951049</v>
      </c>
      <c r="N28" s="43">
        <f t="shared" si="2"/>
        <v>0.4210685314685314</v>
      </c>
      <c r="O28" s="43">
        <f t="shared" si="4"/>
        <v>1858047104.8951049</v>
      </c>
      <c r="P28" s="43">
        <f t="shared" si="3"/>
        <v>1.4210685314685314</v>
      </c>
      <c r="Q28" s="43"/>
      <c r="R28" s="44"/>
    </row>
    <row r="29" spans="1:18" ht="51" customHeight="1">
      <c r="A29" s="46" t="s">
        <v>1272</v>
      </c>
      <c r="B29" s="47" t="s">
        <v>1273</v>
      </c>
      <c r="C29" s="48" t="s">
        <v>881</v>
      </c>
      <c r="D29" s="49" t="s">
        <v>1222</v>
      </c>
      <c r="E29" s="49" t="s">
        <v>1222</v>
      </c>
      <c r="F29" s="49" t="s">
        <v>1222</v>
      </c>
      <c r="G29" s="49">
        <f t="shared" si="5"/>
        <v>2289909831.6083918</v>
      </c>
      <c r="H29" s="49">
        <f t="shared" si="0"/>
        <v>1.1200000000000001</v>
      </c>
      <c r="I29" s="49">
        <v>1438750000</v>
      </c>
      <c r="J29" s="49">
        <v>1438750000</v>
      </c>
      <c r="K29" s="49">
        <f t="shared" si="1"/>
        <v>0</v>
      </c>
      <c r="L29" s="49">
        <v>0</v>
      </c>
      <c r="M29" s="49">
        <f>J29*P24</f>
        <v>2044562349.6503496</v>
      </c>
      <c r="N29" s="49">
        <f t="shared" si="2"/>
        <v>0.4210685314685314</v>
      </c>
      <c r="O29" s="49">
        <f t="shared" si="4"/>
        <v>2044562349.6503496</v>
      </c>
      <c r="P29" s="49">
        <f t="shared" si="3"/>
        <v>1.4210685314685314</v>
      </c>
      <c r="Q29" s="49"/>
      <c r="R29" s="50"/>
    </row>
    <row r="30" spans="1:18" ht="51" customHeight="1">
      <c r="A30" s="40" t="s">
        <v>1274</v>
      </c>
      <c r="B30" s="41" t="s">
        <v>1275</v>
      </c>
      <c r="C30" s="42" t="s">
        <v>881</v>
      </c>
      <c r="D30" s="43" t="s">
        <v>1222</v>
      </c>
      <c r="E30" s="43" t="s">
        <v>1222</v>
      </c>
      <c r="F30" s="43" t="s">
        <v>1222</v>
      </c>
      <c r="G30" s="43">
        <f t="shared" si="5"/>
        <v>2518701865.1748257</v>
      </c>
      <c r="H30" s="43">
        <f t="shared" si="0"/>
        <v>1.1200000000000001</v>
      </c>
      <c r="I30" s="43">
        <v>1582500000</v>
      </c>
      <c r="J30" s="43">
        <v>1582500000</v>
      </c>
      <c r="K30" s="43">
        <f t="shared" si="1"/>
        <v>0</v>
      </c>
      <c r="L30" s="43">
        <v>0</v>
      </c>
      <c r="M30" s="43">
        <f>J30*P24</f>
        <v>2248840951.0489511</v>
      </c>
      <c r="N30" s="43">
        <f t="shared" si="2"/>
        <v>0.42106853146853163</v>
      </c>
      <c r="O30" s="43">
        <f t="shared" si="4"/>
        <v>2248840951.0489511</v>
      </c>
      <c r="P30" s="43">
        <f t="shared" si="3"/>
        <v>1.4210685314685316</v>
      </c>
      <c r="Q30" s="43"/>
      <c r="R30" s="44"/>
    </row>
    <row r="31" spans="1:18" ht="51" customHeight="1">
      <c r="A31" s="46" t="s">
        <v>1276</v>
      </c>
      <c r="B31" s="47" t="s">
        <v>1277</v>
      </c>
      <c r="C31" s="48" t="s">
        <v>881</v>
      </c>
      <c r="D31" s="49" t="s">
        <v>1222</v>
      </c>
      <c r="E31" s="49" t="s">
        <v>1222</v>
      </c>
      <c r="F31" s="49" t="s">
        <v>1222</v>
      </c>
      <c r="G31" s="49">
        <f t="shared" si="5"/>
        <v>795798377.62237775</v>
      </c>
      <c r="H31" s="49">
        <f t="shared" si="0"/>
        <v>1.1200000000000001</v>
      </c>
      <c r="I31" s="49">
        <v>500000000</v>
      </c>
      <c r="J31" s="49">
        <v>500000000</v>
      </c>
      <c r="K31" s="49">
        <f t="shared" si="1"/>
        <v>0</v>
      </c>
      <c r="L31" s="49">
        <v>0</v>
      </c>
      <c r="M31" s="49">
        <f>J31*P30</f>
        <v>710534265.7342658</v>
      </c>
      <c r="N31" s="49">
        <f t="shared" si="2"/>
        <v>0.42106853146853163</v>
      </c>
      <c r="O31" s="49">
        <f t="shared" si="4"/>
        <v>710534265.7342658</v>
      </c>
      <c r="P31" s="49">
        <f t="shared" si="3"/>
        <v>1.4210685314685316</v>
      </c>
      <c r="Q31" s="49"/>
      <c r="R31" s="50"/>
    </row>
    <row r="32" spans="1:18" ht="51" customHeight="1">
      <c r="A32" s="40" t="s">
        <v>1278</v>
      </c>
      <c r="B32" s="41" t="s">
        <v>1279</v>
      </c>
      <c r="C32" s="42" t="s">
        <v>881</v>
      </c>
      <c r="D32" s="43" t="s">
        <v>1222</v>
      </c>
      <c r="E32" s="43" t="s">
        <v>1222</v>
      </c>
      <c r="F32" s="43" t="s">
        <v>1222</v>
      </c>
      <c r="G32" s="43">
        <f t="shared" si="5"/>
        <v>855483255.94405615</v>
      </c>
      <c r="H32" s="43">
        <f t="shared" si="0"/>
        <v>1.1200000000000001</v>
      </c>
      <c r="I32" s="43">
        <v>537500000</v>
      </c>
      <c r="J32" s="43">
        <v>537500000</v>
      </c>
      <c r="K32" s="43">
        <f t="shared" si="1"/>
        <v>0</v>
      </c>
      <c r="L32" s="43">
        <v>0</v>
      </c>
      <c r="M32" s="43">
        <f>J32*P30</f>
        <v>763824335.66433573</v>
      </c>
      <c r="N32" s="43">
        <f t="shared" si="2"/>
        <v>0.42106853146853163</v>
      </c>
      <c r="O32" s="43">
        <f t="shared" si="4"/>
        <v>763824335.66433573</v>
      </c>
      <c r="P32" s="43">
        <f t="shared" si="3"/>
        <v>1.4210685314685316</v>
      </c>
      <c r="Q32" s="43"/>
      <c r="R32" s="44"/>
    </row>
    <row r="33" spans="1:18" ht="51" customHeight="1">
      <c r="A33" s="46" t="s">
        <v>1280</v>
      </c>
      <c r="B33" s="47" t="s">
        <v>1281</v>
      </c>
      <c r="C33" s="48" t="s">
        <v>881</v>
      </c>
      <c r="D33" s="49" t="s">
        <v>1222</v>
      </c>
      <c r="E33" s="49" t="s">
        <v>1222</v>
      </c>
      <c r="F33" s="49" t="s">
        <v>1222</v>
      </c>
      <c r="G33" s="49">
        <f t="shared" si="5"/>
        <v>895273174.82517505</v>
      </c>
      <c r="H33" s="49">
        <f t="shared" si="0"/>
        <v>1.1200000000000001</v>
      </c>
      <c r="I33" s="49">
        <v>562500000</v>
      </c>
      <c r="J33" s="49">
        <v>562500000</v>
      </c>
      <c r="K33" s="49">
        <f t="shared" si="1"/>
        <v>0</v>
      </c>
      <c r="L33" s="49">
        <v>0</v>
      </c>
      <c r="M33" s="49">
        <f>J33*P30</f>
        <v>799351048.95104909</v>
      </c>
      <c r="N33" s="49">
        <f t="shared" si="2"/>
        <v>0.42106853146853163</v>
      </c>
      <c r="O33" s="49">
        <f t="shared" si="4"/>
        <v>799351048.95104909</v>
      </c>
      <c r="P33" s="49">
        <f t="shared" si="3"/>
        <v>1.4210685314685316</v>
      </c>
      <c r="Q33" s="49"/>
      <c r="R33" s="50"/>
    </row>
    <row r="34" spans="1:18" ht="51" customHeight="1">
      <c r="A34" s="40" t="s">
        <v>1282</v>
      </c>
      <c r="B34" s="41" t="s">
        <v>1283</v>
      </c>
      <c r="C34" s="42" t="s">
        <v>881</v>
      </c>
      <c r="D34" s="43" t="s">
        <v>1222</v>
      </c>
      <c r="E34" s="43" t="s">
        <v>1222</v>
      </c>
      <c r="F34" s="43" t="s">
        <v>1222</v>
      </c>
      <c r="G34" s="43">
        <f t="shared" si="5"/>
        <v>1016064000.0000001</v>
      </c>
      <c r="H34" s="43">
        <f t="shared" si="0"/>
        <v>1.1200000000000001</v>
      </c>
      <c r="I34" s="43">
        <v>600000000</v>
      </c>
      <c r="J34" s="43">
        <v>609000000</v>
      </c>
      <c r="K34" s="43">
        <f t="shared" si="1"/>
        <v>1.4999999999999902E-2</v>
      </c>
      <c r="L34" s="43">
        <v>805707000</v>
      </c>
      <c r="M34" s="43">
        <v>920808000</v>
      </c>
      <c r="N34" s="43">
        <f t="shared" si="2"/>
        <v>0.51200000000000001</v>
      </c>
      <c r="O34" s="43">
        <f>I34*1.512</f>
        <v>907200000</v>
      </c>
      <c r="P34" s="43">
        <f t="shared" si="3"/>
        <v>1.512</v>
      </c>
      <c r="Q34" s="43"/>
      <c r="R34" s="44"/>
    </row>
    <row r="35" spans="1:18" ht="51" customHeight="1">
      <c r="A35" s="46" t="s">
        <v>1284</v>
      </c>
      <c r="B35" s="47" t="s">
        <v>1285</v>
      </c>
      <c r="C35" s="48" t="s">
        <v>881</v>
      </c>
      <c r="D35" s="49">
        <v>920808000</v>
      </c>
      <c r="E35" s="49">
        <v>1015350000</v>
      </c>
      <c r="F35" s="49">
        <v>1116885000</v>
      </c>
      <c r="G35" s="49">
        <f>F35/D35</f>
        <v>1.2129401569056741</v>
      </c>
      <c r="H35" s="49">
        <f t="shared" si="0"/>
        <v>1.2583672133060215E-9</v>
      </c>
      <c r="I35" s="49">
        <v>637500000</v>
      </c>
      <c r="J35" s="49">
        <v>651000000</v>
      </c>
      <c r="K35" s="49">
        <f t="shared" si="1"/>
        <v>2.1176470588235352E-2</v>
      </c>
      <c r="L35" s="49">
        <v>861273000</v>
      </c>
      <c r="M35" s="49">
        <v>984312000</v>
      </c>
      <c r="N35" s="49">
        <f t="shared" si="2"/>
        <v>0.51200000000000001</v>
      </c>
      <c r="O35" s="49">
        <f>I35*1.512</f>
        <v>963900000</v>
      </c>
      <c r="P35" s="49">
        <f t="shared" si="3"/>
        <v>1.512</v>
      </c>
      <c r="Q35" s="49">
        <f>F35/O35</f>
        <v>1.1587145969498911</v>
      </c>
      <c r="R35" s="50"/>
    </row>
    <row r="36" spans="1:18" ht="51" customHeight="1">
      <c r="A36" s="40" t="s">
        <v>1286</v>
      </c>
      <c r="B36" s="41" t="s">
        <v>1287</v>
      </c>
      <c r="C36" s="42" t="s">
        <v>881</v>
      </c>
      <c r="D36" s="43">
        <v>984312000</v>
      </c>
      <c r="E36" s="43">
        <v>1086750000</v>
      </c>
      <c r="F36" s="43">
        <v>1195425000</v>
      </c>
      <c r="G36" s="43">
        <f>F36/D36</f>
        <v>1.2144777265745008</v>
      </c>
      <c r="H36" s="43">
        <f t="shared" si="0"/>
        <v>1.168328741293411E-9</v>
      </c>
      <c r="I36" s="43">
        <v>687500000</v>
      </c>
      <c r="J36" s="43">
        <v>693000000</v>
      </c>
      <c r="K36" s="43">
        <f t="shared" si="1"/>
        <v>8.0000000000000071E-3</v>
      </c>
      <c r="L36" s="43">
        <v>916839000</v>
      </c>
      <c r="M36" s="43">
        <v>1047816000</v>
      </c>
      <c r="N36" s="43">
        <f t="shared" si="2"/>
        <v>0.51200000000000001</v>
      </c>
      <c r="O36" s="43">
        <f>I36*1.512</f>
        <v>1039500000</v>
      </c>
      <c r="P36" s="43">
        <f t="shared" si="3"/>
        <v>1.512</v>
      </c>
      <c r="Q36" s="43">
        <f>F36/O36</f>
        <v>1.1499999999999999</v>
      </c>
      <c r="R36" s="44"/>
    </row>
    <row r="37" spans="1:18" ht="51" customHeight="1">
      <c r="A37" s="46" t="s">
        <v>1288</v>
      </c>
      <c r="B37" s="47" t="s">
        <v>1289</v>
      </c>
      <c r="C37" s="48" t="s">
        <v>881</v>
      </c>
      <c r="D37" s="49">
        <v>1047816000</v>
      </c>
      <c r="E37" s="49">
        <v>1260000000</v>
      </c>
      <c r="F37" s="49">
        <v>1386000000</v>
      </c>
      <c r="G37" s="49">
        <f>F37/D37</f>
        <v>1.3227513227513228</v>
      </c>
      <c r="H37" s="49">
        <f t="shared" si="0"/>
        <v>1.0767206534402303E-9</v>
      </c>
      <c r="I37" s="49">
        <v>812500000</v>
      </c>
      <c r="J37" s="49">
        <v>819000000</v>
      </c>
      <c r="K37" s="49">
        <f t="shared" si="1"/>
        <v>8.0000000000000071E-3</v>
      </c>
      <c r="L37" s="49">
        <v>1083537000</v>
      </c>
      <c r="M37" s="49">
        <v>1238328000</v>
      </c>
      <c r="N37" s="49">
        <f t="shared" si="2"/>
        <v>0.51200000000000001</v>
      </c>
      <c r="O37" s="49">
        <f>I37*1.512</f>
        <v>1228500000</v>
      </c>
      <c r="P37" s="49">
        <f t="shared" si="3"/>
        <v>1.512</v>
      </c>
      <c r="Q37" s="49">
        <f>F37/O37</f>
        <v>1.1282051282051282</v>
      </c>
      <c r="R37" s="50"/>
    </row>
    <row r="38" spans="1:18" ht="51" customHeight="1">
      <c r="A38" s="40" t="s">
        <v>1290</v>
      </c>
      <c r="B38" s="41" t="s">
        <v>1291</v>
      </c>
      <c r="C38" s="42" t="s">
        <v>881</v>
      </c>
      <c r="D38" s="43">
        <v>1238328000</v>
      </c>
      <c r="E38" s="43">
        <v>1480500000</v>
      </c>
      <c r="F38" s="43">
        <v>1628550000</v>
      </c>
      <c r="G38" s="43">
        <v>1628550000</v>
      </c>
      <c r="H38" s="43">
        <f t="shared" si="0"/>
        <v>1.2051282051282051</v>
      </c>
      <c r="I38" s="43">
        <v>893750000</v>
      </c>
      <c r="J38" s="43">
        <v>893750000</v>
      </c>
      <c r="K38" s="43">
        <f t="shared" si="1"/>
        <v>0</v>
      </c>
      <c r="L38" s="43"/>
      <c r="M38" s="43">
        <f>I38*1.512</f>
        <v>1351350000</v>
      </c>
      <c r="N38" s="43">
        <f t="shared" si="2"/>
        <v>0.51200000000000001</v>
      </c>
      <c r="O38" s="43">
        <f>M38:M39</f>
        <v>1351350000</v>
      </c>
      <c r="P38" s="43">
        <f t="shared" si="3"/>
        <v>1.512</v>
      </c>
      <c r="Q38" s="43"/>
      <c r="R38" s="44"/>
    </row>
    <row r="39" spans="1:18" ht="51" customHeight="1">
      <c r="A39" s="46" t="s">
        <v>1292</v>
      </c>
      <c r="B39" s="47" t="s">
        <v>1293</v>
      </c>
      <c r="C39" s="48" t="s">
        <v>881</v>
      </c>
      <c r="D39" s="49" t="s">
        <v>1222</v>
      </c>
      <c r="E39" s="49">
        <v>1709000000</v>
      </c>
      <c r="F39" s="49">
        <v>1879900000</v>
      </c>
      <c r="G39" s="49">
        <f t="shared" ref="G39:G44" si="6">O39*1.12</f>
        <v>1664863200.0000002</v>
      </c>
      <c r="H39" s="49">
        <f t="shared" si="0"/>
        <v>1.1200000000000001</v>
      </c>
      <c r="I39" s="49">
        <v>983125000</v>
      </c>
      <c r="J39" s="49">
        <v>983125000</v>
      </c>
      <c r="K39" s="49">
        <f t="shared" si="1"/>
        <v>0</v>
      </c>
      <c r="L39" s="49">
        <v>0</v>
      </c>
      <c r="M39" s="49">
        <f>J39*P38</f>
        <v>1486485000</v>
      </c>
      <c r="N39" s="49">
        <f t="shared" si="2"/>
        <v>0.51200000000000001</v>
      </c>
      <c r="O39" s="49">
        <f t="shared" ref="O39:O44" si="7">M39</f>
        <v>1486485000</v>
      </c>
      <c r="P39" s="49">
        <f t="shared" si="3"/>
        <v>1.512</v>
      </c>
      <c r="Q39" s="49"/>
      <c r="R39" s="50"/>
    </row>
    <row r="40" spans="1:18" ht="51" customHeight="1">
      <c r="A40" s="40" t="s">
        <v>1294</v>
      </c>
      <c r="B40" s="41" t="s">
        <v>1295</v>
      </c>
      <c r="C40" s="42" t="s">
        <v>881</v>
      </c>
      <c r="D40" s="43" t="s">
        <v>1239</v>
      </c>
      <c r="E40" s="43" t="s">
        <v>1239</v>
      </c>
      <c r="F40" s="43" t="s">
        <v>1239</v>
      </c>
      <c r="G40" s="43">
        <f t="shared" si="6"/>
        <v>1831349520.0000002</v>
      </c>
      <c r="H40" s="43">
        <f t="shared" si="0"/>
        <v>1.1200000000000001</v>
      </c>
      <c r="I40" s="43">
        <v>1081437500</v>
      </c>
      <c r="J40" s="43">
        <v>1081437500</v>
      </c>
      <c r="K40" s="43">
        <f t="shared" si="1"/>
        <v>0</v>
      </c>
      <c r="L40" s="43">
        <v>0</v>
      </c>
      <c r="M40" s="43">
        <f>J40*P38</f>
        <v>1635133500</v>
      </c>
      <c r="N40" s="43">
        <f t="shared" si="2"/>
        <v>0.51200000000000001</v>
      </c>
      <c r="O40" s="43">
        <f t="shared" si="7"/>
        <v>1635133500</v>
      </c>
      <c r="P40" s="43">
        <f t="shared" si="3"/>
        <v>1.512</v>
      </c>
      <c r="Q40" s="43"/>
      <c r="R40" s="44"/>
    </row>
    <row r="41" spans="1:18" ht="51" customHeight="1">
      <c r="A41" s="46" t="s">
        <v>1296</v>
      </c>
      <c r="B41" s="47" t="s">
        <v>1297</v>
      </c>
      <c r="C41" s="48" t="s">
        <v>881</v>
      </c>
      <c r="D41" s="49" t="s">
        <v>1222</v>
      </c>
      <c r="E41" s="49" t="s">
        <v>1222</v>
      </c>
      <c r="F41" s="49" t="s">
        <v>1222</v>
      </c>
      <c r="G41" s="49">
        <f t="shared" si="6"/>
        <v>2014484472.0000002</v>
      </c>
      <c r="H41" s="49">
        <f t="shared" si="0"/>
        <v>1.1200000000000001</v>
      </c>
      <c r="I41" s="49">
        <v>1189581250</v>
      </c>
      <c r="J41" s="49">
        <v>1189581250</v>
      </c>
      <c r="K41" s="49">
        <f t="shared" si="1"/>
        <v>0</v>
      </c>
      <c r="L41" s="49">
        <v>0</v>
      </c>
      <c r="M41" s="49">
        <f>J41*P38</f>
        <v>1798646850</v>
      </c>
      <c r="N41" s="49">
        <f t="shared" si="2"/>
        <v>0.51200000000000001</v>
      </c>
      <c r="O41" s="49">
        <f t="shared" si="7"/>
        <v>1798646850</v>
      </c>
      <c r="P41" s="49">
        <f t="shared" si="3"/>
        <v>1.512</v>
      </c>
      <c r="Q41" s="49"/>
      <c r="R41" s="50"/>
    </row>
    <row r="42" spans="1:18" ht="51" customHeight="1">
      <c r="A42" s="40" t="s">
        <v>1298</v>
      </c>
      <c r="B42" s="41" t="s">
        <v>1299</v>
      </c>
      <c r="C42" s="42" t="s">
        <v>881</v>
      </c>
      <c r="D42" s="43" t="s">
        <v>1222</v>
      </c>
      <c r="E42" s="43" t="s">
        <v>1222</v>
      </c>
      <c r="F42" s="43" t="s">
        <v>1222</v>
      </c>
      <c r="G42" s="43">
        <f t="shared" si="6"/>
        <v>2214172800</v>
      </c>
      <c r="H42" s="43">
        <f t="shared" si="0"/>
        <v>1.1200000000000001</v>
      </c>
      <c r="I42" s="43">
        <v>1307500000</v>
      </c>
      <c r="J42" s="43">
        <v>1307500000</v>
      </c>
      <c r="K42" s="43">
        <f t="shared" si="1"/>
        <v>0</v>
      </c>
      <c r="L42" s="43">
        <v>0</v>
      </c>
      <c r="M42" s="43">
        <f>J42*P38</f>
        <v>1976940000</v>
      </c>
      <c r="N42" s="43">
        <f t="shared" si="2"/>
        <v>0.51200000000000001</v>
      </c>
      <c r="O42" s="43">
        <f t="shared" si="7"/>
        <v>1976940000</v>
      </c>
      <c r="P42" s="43">
        <f t="shared" si="3"/>
        <v>1.512</v>
      </c>
      <c r="Q42" s="43"/>
      <c r="R42" s="44"/>
    </row>
    <row r="43" spans="1:18" ht="51" customHeight="1">
      <c r="A43" s="46" t="s">
        <v>1300</v>
      </c>
      <c r="B43" s="47" t="s">
        <v>1301</v>
      </c>
      <c r="C43" s="48" t="s">
        <v>881</v>
      </c>
      <c r="D43" s="49" t="s">
        <v>1222</v>
      </c>
      <c r="E43" s="49" t="s">
        <v>1222</v>
      </c>
      <c r="F43" s="49" t="s">
        <v>1222</v>
      </c>
      <c r="G43" s="49">
        <f t="shared" si="6"/>
        <v>2436436800</v>
      </c>
      <c r="H43" s="49">
        <f t="shared" si="0"/>
        <v>1.1200000000000001</v>
      </c>
      <c r="I43" s="49">
        <v>1438750000</v>
      </c>
      <c r="J43" s="49">
        <v>1438750000</v>
      </c>
      <c r="K43" s="49">
        <f t="shared" si="1"/>
        <v>0</v>
      </c>
      <c r="L43" s="49">
        <v>0</v>
      </c>
      <c r="M43" s="49">
        <f>J43*P38</f>
        <v>2175390000</v>
      </c>
      <c r="N43" s="49">
        <f t="shared" si="2"/>
        <v>0.51200000000000001</v>
      </c>
      <c r="O43" s="49">
        <f t="shared" si="7"/>
        <v>2175390000</v>
      </c>
      <c r="P43" s="49">
        <f t="shared" si="3"/>
        <v>1.512</v>
      </c>
      <c r="Q43" s="49"/>
      <c r="R43" s="50"/>
    </row>
    <row r="44" spans="1:18" ht="51" customHeight="1">
      <c r="A44" s="40" t="s">
        <v>1302</v>
      </c>
      <c r="B44" s="41" t="s">
        <v>1303</v>
      </c>
      <c r="C44" s="42" t="s">
        <v>881</v>
      </c>
      <c r="D44" s="43" t="s">
        <v>1222</v>
      </c>
      <c r="E44" s="43" t="s">
        <v>1222</v>
      </c>
      <c r="F44" s="43" t="s">
        <v>1222</v>
      </c>
      <c r="G44" s="43">
        <f t="shared" si="6"/>
        <v>2679868800.0000005</v>
      </c>
      <c r="H44" s="43">
        <f t="shared" si="0"/>
        <v>1.1200000000000001</v>
      </c>
      <c r="I44" s="43">
        <v>1582500000</v>
      </c>
      <c r="J44" s="43">
        <v>1582500000</v>
      </c>
      <c r="K44" s="43">
        <f t="shared" si="1"/>
        <v>0</v>
      </c>
      <c r="L44" s="43">
        <v>0</v>
      </c>
      <c r="M44" s="43">
        <f>J44*P38</f>
        <v>2392740000</v>
      </c>
      <c r="N44" s="43">
        <f t="shared" si="2"/>
        <v>0.51200000000000001</v>
      </c>
      <c r="O44" s="43">
        <f t="shared" si="7"/>
        <v>2392740000</v>
      </c>
      <c r="P44" s="43">
        <f t="shared" si="3"/>
        <v>1.512</v>
      </c>
      <c r="Q44" s="43"/>
      <c r="R44" s="44"/>
    </row>
    <row r="45" spans="1:18" ht="27">
      <c r="A45" s="46" t="s">
        <v>1304</v>
      </c>
      <c r="B45" s="47" t="s">
        <v>1305</v>
      </c>
      <c r="C45" s="48" t="s">
        <v>881</v>
      </c>
      <c r="D45" s="49" t="s">
        <v>1222</v>
      </c>
      <c r="E45" s="49" t="s">
        <v>1222</v>
      </c>
      <c r="F45" s="49" t="s">
        <v>1222</v>
      </c>
      <c r="G45" s="49"/>
      <c r="H45" s="49" t="e">
        <f t="shared" si="0"/>
        <v>#DIV/0!</v>
      </c>
      <c r="I45" s="49"/>
      <c r="J45" s="49"/>
      <c r="K45" s="49"/>
      <c r="L45" s="49"/>
      <c r="M45" s="49"/>
      <c r="N45" s="49"/>
      <c r="O45" s="49"/>
      <c r="P45" s="49"/>
      <c r="Q45" s="49"/>
      <c r="R45" s="50"/>
    </row>
    <row r="46" spans="1:18" ht="25.5" customHeight="1">
      <c r="A46" s="40" t="s">
        <v>1306</v>
      </c>
      <c r="B46" s="41" t="s">
        <v>1307</v>
      </c>
      <c r="C46" s="42" t="s">
        <v>881</v>
      </c>
      <c r="D46" s="43"/>
      <c r="E46" s="43"/>
      <c r="F46" s="43"/>
      <c r="G46" s="43"/>
      <c r="H46" s="43" t="e">
        <f t="shared" si="0"/>
        <v>#DIV/0!</v>
      </c>
      <c r="I46" s="43"/>
      <c r="J46" s="43"/>
      <c r="K46" s="43"/>
      <c r="L46" s="43"/>
      <c r="M46" s="43"/>
      <c r="N46" s="43"/>
      <c r="O46" s="43"/>
      <c r="P46" s="43"/>
      <c r="Q46" s="43"/>
      <c r="R46" s="44"/>
    </row>
    <row r="47" spans="1:18" ht="25.5" customHeight="1">
      <c r="A47" s="46" t="s">
        <v>1308</v>
      </c>
      <c r="B47" s="47" t="s">
        <v>1309</v>
      </c>
      <c r="C47" s="48" t="s">
        <v>881</v>
      </c>
      <c r="D47" s="49"/>
      <c r="E47" s="49"/>
      <c r="F47" s="49"/>
      <c r="G47" s="49"/>
      <c r="H47" s="49" t="e">
        <f t="shared" si="0"/>
        <v>#DIV/0!</v>
      </c>
      <c r="I47" s="49"/>
      <c r="J47" s="49"/>
      <c r="K47" s="49"/>
      <c r="L47" s="49"/>
      <c r="M47" s="49"/>
      <c r="N47" s="49"/>
      <c r="O47" s="49"/>
      <c r="P47" s="49"/>
      <c r="Q47" s="49"/>
      <c r="R47" s="50"/>
    </row>
    <row r="48" spans="1:18" ht="25.5" customHeight="1">
      <c r="A48" s="40" t="s">
        <v>1310</v>
      </c>
      <c r="B48" s="41" t="s">
        <v>1311</v>
      </c>
      <c r="C48" s="42" t="s">
        <v>881</v>
      </c>
      <c r="D48" s="43"/>
      <c r="E48" s="43"/>
      <c r="F48" s="43"/>
      <c r="G48" s="43"/>
      <c r="H48" s="43" t="e">
        <f t="shared" si="0"/>
        <v>#DIV/0!</v>
      </c>
      <c r="I48" s="43"/>
      <c r="J48" s="43"/>
      <c r="K48" s="43"/>
      <c r="L48" s="43"/>
      <c r="M48" s="43"/>
      <c r="N48" s="43"/>
      <c r="O48" s="43"/>
      <c r="P48" s="43"/>
      <c r="Q48" s="43"/>
      <c r="R48" s="44"/>
    </row>
    <row r="49" spans="1:18" ht="25.5" customHeight="1">
      <c r="A49" s="46" t="s">
        <v>1312</v>
      </c>
      <c r="B49" s="47" t="s">
        <v>1313</v>
      </c>
      <c r="C49" s="48" t="s">
        <v>881</v>
      </c>
      <c r="D49" s="49"/>
      <c r="E49" s="49"/>
      <c r="F49" s="49"/>
      <c r="G49" s="49"/>
      <c r="H49" s="49" t="e">
        <f t="shared" si="0"/>
        <v>#DIV/0!</v>
      </c>
      <c r="I49" s="49"/>
      <c r="J49" s="49"/>
      <c r="K49" s="49"/>
      <c r="L49" s="49"/>
      <c r="M49" s="49"/>
      <c r="N49" s="49"/>
      <c r="O49" s="49"/>
      <c r="P49" s="49"/>
      <c r="Q49" s="49"/>
      <c r="R49" s="50"/>
    </row>
    <row r="50" spans="1:18" ht="25.5" customHeight="1">
      <c r="A50" s="40" t="s">
        <v>1314</v>
      </c>
      <c r="B50" s="41" t="s">
        <v>1315</v>
      </c>
      <c r="C50" s="42" t="s">
        <v>881</v>
      </c>
      <c r="D50" s="43"/>
      <c r="E50" s="43"/>
      <c r="F50" s="43"/>
      <c r="G50" s="43"/>
      <c r="H50" s="43" t="e">
        <f t="shared" si="0"/>
        <v>#DIV/0!</v>
      </c>
      <c r="I50" s="43"/>
      <c r="J50" s="43"/>
      <c r="K50" s="43"/>
      <c r="L50" s="43"/>
      <c r="M50" s="43"/>
      <c r="N50" s="43"/>
      <c r="O50" s="43"/>
      <c r="P50" s="43"/>
      <c r="Q50" s="43"/>
      <c r="R50" s="44"/>
    </row>
    <row r="51" spans="1:18" ht="25.9" customHeight="1">
      <c r="A51" s="61" t="s">
        <v>1316</v>
      </c>
      <c r="B51" s="77" t="s">
        <v>1317</v>
      </c>
      <c r="C51" s="78" t="s">
        <v>881</v>
      </c>
      <c r="D51" s="64"/>
      <c r="E51" s="64"/>
      <c r="F51" s="64"/>
      <c r="G51" s="64"/>
      <c r="H51" s="64" t="e">
        <f t="shared" si="0"/>
        <v>#DIV/0!</v>
      </c>
      <c r="I51" s="64"/>
      <c r="J51" s="64"/>
      <c r="K51" s="64"/>
      <c r="L51" s="64"/>
      <c r="M51" s="64"/>
      <c r="N51" s="64"/>
      <c r="O51" s="64"/>
      <c r="P51" s="64"/>
      <c r="Q51" s="64"/>
      <c r="R51" s="65"/>
    </row>
  </sheetData>
  <mergeCells count="3">
    <mergeCell ref="J2:K2"/>
    <mergeCell ref="J1:M1"/>
    <mergeCell ref="I2:I3"/>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9" tint="-0.249977111117893"/>
  </sheetPr>
  <dimension ref="A2:B4"/>
  <sheetViews>
    <sheetView rightToLeft="1" workbookViewId="0"/>
  </sheetViews>
  <sheetFormatPr defaultRowHeight="13.5"/>
  <sheetData>
    <row r="2" spans="1:2" ht="15" customHeight="1">
      <c r="A2" s="79" t="s">
        <v>1284</v>
      </c>
      <c r="B2" s="80">
        <v>1116885000</v>
      </c>
    </row>
    <row r="3" spans="1:2" ht="15" customHeight="1">
      <c r="A3" s="79" t="s">
        <v>1286</v>
      </c>
      <c r="B3" s="80">
        <v>1195425000</v>
      </c>
    </row>
    <row r="4" spans="1:2" ht="15" customHeight="1">
      <c r="A4" s="79" t="s">
        <v>1288</v>
      </c>
      <c r="B4" s="80">
        <v>1386000000</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9" tint="-0.249977111117893"/>
  </sheetPr>
  <dimension ref="A1:S123"/>
  <sheetViews>
    <sheetView rightToLeft="1" workbookViewId="0">
      <pane ySplit="99" topLeftCell="A100" activePane="bottomLeft" state="frozen"/>
      <selection pane="bottomLeft"/>
    </sheetView>
  </sheetViews>
  <sheetFormatPr defaultRowHeight="13.5"/>
  <cols>
    <col min="1" max="1" width="14.1875" customWidth="1"/>
    <col min="2" max="2" width="46.6875" customWidth="1"/>
    <col min="3" max="3" width="10.8125" customWidth="1"/>
    <col min="4" max="4" width="18.3125" customWidth="1"/>
    <col min="6" max="11" width="18.3125" customWidth="1"/>
    <col min="13" max="14" width="18.3125" customWidth="1"/>
  </cols>
  <sheetData>
    <row r="1" spans="1:19" ht="32" customHeight="1">
      <c r="A1" s="27"/>
      <c r="B1" s="28"/>
      <c r="C1" s="28"/>
      <c r="D1" s="28"/>
      <c r="E1" s="28"/>
      <c r="F1" s="81"/>
      <c r="G1" s="28"/>
      <c r="H1" s="81"/>
      <c r="I1" s="28" t="s">
        <v>1213</v>
      </c>
      <c r="J1" s="28"/>
      <c r="K1" s="28"/>
      <c r="L1" s="28"/>
      <c r="M1" s="82"/>
      <c r="N1" s="28"/>
      <c r="O1" s="28"/>
      <c r="P1" s="28"/>
      <c r="Q1" s="28"/>
      <c r="R1" s="28"/>
      <c r="S1" s="72"/>
    </row>
    <row r="2" spans="1:19" ht="28.05" customHeight="1">
      <c r="A2" s="73" t="s">
        <v>868</v>
      </c>
      <c r="B2" s="31" t="s">
        <v>869</v>
      </c>
      <c r="C2" s="31" t="s">
        <v>1215</v>
      </c>
      <c r="D2" s="31" t="s">
        <v>871</v>
      </c>
      <c r="E2" s="31" t="s">
        <v>872</v>
      </c>
      <c r="F2" s="32" t="s">
        <v>873</v>
      </c>
      <c r="G2" s="31" t="s">
        <v>1318</v>
      </c>
      <c r="H2" s="32" t="s">
        <v>875</v>
      </c>
      <c r="I2" s="31" t="s">
        <v>875</v>
      </c>
      <c r="J2" s="31" t="s">
        <v>1318</v>
      </c>
      <c r="K2" s="31" t="s">
        <v>876</v>
      </c>
      <c r="L2" s="31" t="s">
        <v>877</v>
      </c>
      <c r="M2" s="83" t="s">
        <v>878</v>
      </c>
      <c r="N2" s="31" t="s">
        <v>1319</v>
      </c>
      <c r="O2" s="31" t="s">
        <v>878</v>
      </c>
      <c r="P2" s="31"/>
      <c r="Q2" s="31"/>
      <c r="R2" s="31"/>
      <c r="S2" s="74"/>
    </row>
    <row r="3" spans="1:19" ht="76.5" customHeight="1">
      <c r="A3" s="34" t="s">
        <v>1320</v>
      </c>
      <c r="B3" s="35" t="s">
        <v>1321</v>
      </c>
      <c r="C3" s="36" t="s">
        <v>881</v>
      </c>
      <c r="D3" s="37">
        <v>6583500000</v>
      </c>
      <c r="E3" s="37">
        <v>7886000000</v>
      </c>
      <c r="F3" s="37">
        <v>8674600000</v>
      </c>
      <c r="G3" s="37">
        <f t="shared" ref="G3:G34" si="0">F3/D3</f>
        <v>1.3176274018379281</v>
      </c>
      <c r="H3" s="37">
        <v>3600000000</v>
      </c>
      <c r="I3" s="37">
        <v>3800000000</v>
      </c>
      <c r="J3" s="37">
        <f t="shared" ref="J3:J34" si="1">I3/H3-1</f>
        <v>5.555555555555558E-2</v>
      </c>
      <c r="K3" s="37">
        <v>5635476000</v>
      </c>
      <c r="L3" s="37">
        <v>6583500000</v>
      </c>
      <c r="M3" s="37">
        <f t="shared" ref="M3:M34" si="2">L3/I3-1</f>
        <v>0.73249999999999993</v>
      </c>
      <c r="N3" s="37">
        <f t="shared" ref="N3:N34" si="3">H3*1.55</f>
        <v>5580000000</v>
      </c>
      <c r="O3" s="37">
        <f t="shared" ref="O3:O34" si="4">N3/H3</f>
        <v>1.55</v>
      </c>
      <c r="P3" s="37"/>
      <c r="Q3" s="37"/>
      <c r="R3" s="37"/>
      <c r="S3" s="38"/>
    </row>
    <row r="4" spans="1:19" ht="76.5" customHeight="1">
      <c r="A4" s="40" t="s">
        <v>1322</v>
      </c>
      <c r="B4" s="41" t="s">
        <v>1323</v>
      </c>
      <c r="C4" s="42" t="s">
        <v>881</v>
      </c>
      <c r="D4" s="43">
        <v>7103250000</v>
      </c>
      <c r="E4" s="43">
        <v>8505000000</v>
      </c>
      <c r="F4" s="43">
        <v>9355500000</v>
      </c>
      <c r="G4" s="43">
        <f t="shared" si="0"/>
        <v>1.3170731707317074</v>
      </c>
      <c r="H4" s="43">
        <v>3825000000</v>
      </c>
      <c r="I4" s="43">
        <v>4100000000</v>
      </c>
      <c r="J4" s="43">
        <f t="shared" si="1"/>
        <v>7.1895424836601274E-2</v>
      </c>
      <c r="K4" s="43">
        <v>6080382000</v>
      </c>
      <c r="L4" s="43">
        <v>7103250000</v>
      </c>
      <c r="M4" s="43">
        <f t="shared" si="2"/>
        <v>0.73249999999999993</v>
      </c>
      <c r="N4" s="43">
        <f t="shared" si="3"/>
        <v>5928750000</v>
      </c>
      <c r="O4" s="43">
        <f t="shared" si="4"/>
        <v>1.55</v>
      </c>
      <c r="P4" s="43"/>
      <c r="Q4" s="43"/>
      <c r="R4" s="43"/>
      <c r="S4" s="44"/>
    </row>
    <row r="5" spans="1:19" ht="89.25" customHeight="1">
      <c r="A5" s="46" t="s">
        <v>1324</v>
      </c>
      <c r="B5" s="47" t="s">
        <v>1325</v>
      </c>
      <c r="C5" s="48" t="s">
        <v>881</v>
      </c>
      <c r="D5" s="49">
        <v>7623000000</v>
      </c>
      <c r="E5" s="49">
        <v>9124500000</v>
      </c>
      <c r="F5" s="49">
        <v>10036950000</v>
      </c>
      <c r="G5" s="49">
        <f t="shared" si="0"/>
        <v>1.3166666666666667</v>
      </c>
      <c r="H5" s="49">
        <v>4050000000</v>
      </c>
      <c r="I5" s="49">
        <v>4400000000</v>
      </c>
      <c r="J5" s="49">
        <f t="shared" si="1"/>
        <v>8.6419753086419693E-2</v>
      </c>
      <c r="K5" s="49">
        <v>6525288000</v>
      </c>
      <c r="L5" s="49">
        <v>7623000000</v>
      </c>
      <c r="M5" s="49">
        <f t="shared" si="2"/>
        <v>0.73249999999999993</v>
      </c>
      <c r="N5" s="49">
        <f t="shared" si="3"/>
        <v>6277500000</v>
      </c>
      <c r="O5" s="49">
        <f t="shared" si="4"/>
        <v>1.55</v>
      </c>
      <c r="P5" s="49"/>
      <c r="Q5" s="49"/>
      <c r="R5" s="49"/>
      <c r="S5" s="50"/>
    </row>
    <row r="6" spans="1:19" ht="89.25" customHeight="1">
      <c r="A6" s="40" t="s">
        <v>1326</v>
      </c>
      <c r="B6" s="41" t="s">
        <v>1327</v>
      </c>
      <c r="C6" s="42" t="s">
        <v>881</v>
      </c>
      <c r="D6" s="43">
        <v>8194725000</v>
      </c>
      <c r="E6" s="43">
        <v>9807000000</v>
      </c>
      <c r="F6" s="43">
        <v>10787700000</v>
      </c>
      <c r="G6" s="43">
        <f t="shared" si="0"/>
        <v>1.3164200140944327</v>
      </c>
      <c r="H6" s="43">
        <v>4350000000</v>
      </c>
      <c r="I6" s="43">
        <v>4730000000</v>
      </c>
      <c r="J6" s="43">
        <f t="shared" si="1"/>
        <v>8.7356321839080486E-2</v>
      </c>
      <c r="K6" s="43">
        <v>7014684600</v>
      </c>
      <c r="L6" s="43">
        <v>8194725000</v>
      </c>
      <c r="M6" s="43">
        <f t="shared" si="2"/>
        <v>0.73249999999999993</v>
      </c>
      <c r="N6" s="43">
        <f t="shared" si="3"/>
        <v>6742500000</v>
      </c>
      <c r="O6" s="43">
        <f t="shared" si="4"/>
        <v>1.55</v>
      </c>
      <c r="P6" s="43"/>
      <c r="Q6" s="43"/>
      <c r="R6" s="43"/>
      <c r="S6" s="44"/>
    </row>
    <row r="7" spans="1:19" ht="76.5" customHeight="1">
      <c r="A7" s="46" t="s">
        <v>1328</v>
      </c>
      <c r="B7" s="47" t="s">
        <v>1329</v>
      </c>
      <c r="C7" s="48" t="s">
        <v>881</v>
      </c>
      <c r="D7" s="49">
        <v>8662500000</v>
      </c>
      <c r="E7" s="49">
        <v>10374000000</v>
      </c>
      <c r="F7" s="49">
        <v>11411400000</v>
      </c>
      <c r="G7" s="49">
        <f t="shared" si="0"/>
        <v>1.3173333333333332</v>
      </c>
      <c r="H7" s="49">
        <v>4650000000</v>
      </c>
      <c r="I7" s="49">
        <v>5000000000</v>
      </c>
      <c r="J7" s="49">
        <f t="shared" si="1"/>
        <v>7.5268817204301008E-2</v>
      </c>
      <c r="K7" s="49">
        <v>7415100000</v>
      </c>
      <c r="L7" s="49">
        <v>86625000000</v>
      </c>
      <c r="M7" s="49">
        <f t="shared" si="2"/>
        <v>16.324999999999999</v>
      </c>
      <c r="N7" s="49">
        <f t="shared" si="3"/>
        <v>7207500000</v>
      </c>
      <c r="O7" s="49">
        <f t="shared" si="4"/>
        <v>1.55</v>
      </c>
      <c r="P7" s="49"/>
      <c r="Q7" s="49"/>
      <c r="R7" s="49"/>
      <c r="S7" s="50">
        <v>13462680000</v>
      </c>
    </row>
    <row r="8" spans="1:19" ht="102" customHeight="1">
      <c r="A8" s="40" t="s">
        <v>1330</v>
      </c>
      <c r="B8" s="41" t="s">
        <v>1331</v>
      </c>
      <c r="C8" s="42" t="s">
        <v>881</v>
      </c>
      <c r="D8" s="43">
        <v>9338175000</v>
      </c>
      <c r="E8" s="43">
        <v>11182500000</v>
      </c>
      <c r="F8" s="43">
        <v>12300750000</v>
      </c>
      <c r="G8" s="43">
        <f t="shared" si="0"/>
        <v>1.3172541743970316</v>
      </c>
      <c r="H8" s="43">
        <v>4950000000</v>
      </c>
      <c r="I8" s="43">
        <v>5390000000</v>
      </c>
      <c r="J8" s="43">
        <f t="shared" si="1"/>
        <v>8.8888888888888795E-2</v>
      </c>
      <c r="K8" s="43">
        <v>7993477800</v>
      </c>
      <c r="L8" s="43">
        <v>9338175000</v>
      </c>
      <c r="M8" s="43">
        <f t="shared" si="2"/>
        <v>0.73249999999999993</v>
      </c>
      <c r="N8" s="43">
        <f t="shared" si="3"/>
        <v>7672500000</v>
      </c>
      <c r="O8" s="43">
        <f t="shared" si="4"/>
        <v>1.55</v>
      </c>
      <c r="P8" s="43"/>
      <c r="Q8" s="43"/>
      <c r="R8" s="43"/>
      <c r="S8" s="44"/>
    </row>
    <row r="9" spans="1:19" ht="102" customHeight="1">
      <c r="A9" s="46" t="s">
        <v>1332</v>
      </c>
      <c r="B9" s="47" t="s">
        <v>1333</v>
      </c>
      <c r="C9" s="48" t="s">
        <v>881</v>
      </c>
      <c r="D9" s="49">
        <v>10100475000</v>
      </c>
      <c r="E9" s="49">
        <v>12075000000</v>
      </c>
      <c r="F9" s="49">
        <v>13282500000</v>
      </c>
      <c r="G9" s="49">
        <f t="shared" si="0"/>
        <v>1.3150371640937679</v>
      </c>
      <c r="H9" s="49">
        <v>5325000000</v>
      </c>
      <c r="I9" s="49">
        <v>5830000000</v>
      </c>
      <c r="J9" s="49">
        <f t="shared" si="1"/>
        <v>9.4835680751173657E-2</v>
      </c>
      <c r="K9" s="49">
        <v>8646006600</v>
      </c>
      <c r="L9" s="49">
        <v>10100475000</v>
      </c>
      <c r="M9" s="49">
        <f t="shared" si="2"/>
        <v>0.73249999999999993</v>
      </c>
      <c r="N9" s="49">
        <f t="shared" si="3"/>
        <v>8253750000</v>
      </c>
      <c r="O9" s="49">
        <f t="shared" si="4"/>
        <v>1.55</v>
      </c>
      <c r="P9" s="49"/>
      <c r="Q9" s="49"/>
      <c r="R9" s="49"/>
      <c r="S9" s="50"/>
    </row>
    <row r="10" spans="1:19" ht="102" customHeight="1">
      <c r="A10" s="40" t="s">
        <v>1334</v>
      </c>
      <c r="B10" s="41" t="s">
        <v>1335</v>
      </c>
      <c r="C10" s="42" t="s">
        <v>881</v>
      </c>
      <c r="D10" s="43">
        <v>10776150000</v>
      </c>
      <c r="E10" s="43">
        <v>12915000000</v>
      </c>
      <c r="F10" s="43">
        <v>14206500000</v>
      </c>
      <c r="G10" s="43">
        <f t="shared" si="0"/>
        <v>1.3183279742765273</v>
      </c>
      <c r="H10" s="43">
        <v>5700000000</v>
      </c>
      <c r="I10" s="43">
        <v>6220000000</v>
      </c>
      <c r="J10" s="43">
        <f t="shared" si="1"/>
        <v>9.1228070175438658E-2</v>
      </c>
      <c r="K10" s="43">
        <v>9224384400</v>
      </c>
      <c r="L10" s="43">
        <v>10776150000</v>
      </c>
      <c r="M10" s="43">
        <f t="shared" si="2"/>
        <v>0.73249999999999993</v>
      </c>
      <c r="N10" s="43">
        <f t="shared" si="3"/>
        <v>8835000000</v>
      </c>
      <c r="O10" s="43">
        <f t="shared" si="4"/>
        <v>1.55</v>
      </c>
      <c r="P10" s="43"/>
      <c r="Q10" s="43"/>
      <c r="R10" s="43"/>
      <c r="S10" s="44"/>
    </row>
    <row r="11" spans="1:19" ht="102" customHeight="1">
      <c r="A11" s="46" t="s">
        <v>1336</v>
      </c>
      <c r="B11" s="47" t="s">
        <v>1337</v>
      </c>
      <c r="C11" s="48" t="s">
        <v>881</v>
      </c>
      <c r="D11" s="49">
        <v>6860700000.000001</v>
      </c>
      <c r="E11" s="49">
        <v>8211000000</v>
      </c>
      <c r="F11" s="49">
        <v>9032100000</v>
      </c>
      <c r="G11" s="49">
        <f t="shared" si="0"/>
        <v>1.3164983164983164</v>
      </c>
      <c r="H11" s="49">
        <v>3750000000</v>
      </c>
      <c r="I11" s="49">
        <v>3960000000</v>
      </c>
      <c r="J11" s="49">
        <f t="shared" si="1"/>
        <v>5.600000000000005E-2</v>
      </c>
      <c r="K11" s="49">
        <v>5872759200</v>
      </c>
      <c r="L11" s="49">
        <v>6860700000</v>
      </c>
      <c r="M11" s="49">
        <f t="shared" si="2"/>
        <v>0.73249999999999993</v>
      </c>
      <c r="N11" s="49">
        <f t="shared" si="3"/>
        <v>5812500000</v>
      </c>
      <c r="O11" s="49">
        <f t="shared" si="4"/>
        <v>1.55</v>
      </c>
      <c r="P11" s="49"/>
      <c r="Q11" s="49"/>
      <c r="R11" s="49"/>
      <c r="S11" s="50"/>
    </row>
    <row r="12" spans="1:19" ht="102" customHeight="1">
      <c r="A12" s="40" t="s">
        <v>1338</v>
      </c>
      <c r="B12" s="41" t="s">
        <v>1339</v>
      </c>
      <c r="C12" s="42" t="s">
        <v>881</v>
      </c>
      <c r="D12" s="43">
        <v>7623000000</v>
      </c>
      <c r="E12" s="43">
        <v>9124500000</v>
      </c>
      <c r="F12" s="43">
        <v>10036950000</v>
      </c>
      <c r="G12" s="43">
        <f t="shared" si="0"/>
        <v>1.3166666666666667</v>
      </c>
      <c r="H12" s="43">
        <v>4200000000</v>
      </c>
      <c r="I12" s="43">
        <v>4400000000</v>
      </c>
      <c r="J12" s="43">
        <f t="shared" si="1"/>
        <v>4.7619047619047672E-2</v>
      </c>
      <c r="K12" s="43">
        <v>6525288000</v>
      </c>
      <c r="L12" s="43">
        <v>7623000000</v>
      </c>
      <c r="M12" s="43">
        <f t="shared" si="2"/>
        <v>0.73249999999999993</v>
      </c>
      <c r="N12" s="43">
        <f t="shared" si="3"/>
        <v>6510000000</v>
      </c>
      <c r="O12" s="43">
        <f t="shared" si="4"/>
        <v>1.55</v>
      </c>
      <c r="P12" s="43"/>
      <c r="Q12" s="43"/>
      <c r="R12" s="43"/>
      <c r="S12" s="44"/>
    </row>
    <row r="13" spans="1:19" ht="102" customHeight="1">
      <c r="A13" s="46" t="s">
        <v>1340</v>
      </c>
      <c r="B13" s="47" t="s">
        <v>1341</v>
      </c>
      <c r="C13" s="48" t="s">
        <v>881</v>
      </c>
      <c r="D13" s="49">
        <v>8489250000</v>
      </c>
      <c r="E13" s="49">
        <v>10160000000</v>
      </c>
      <c r="F13" s="49">
        <v>11176000000</v>
      </c>
      <c r="G13" s="49">
        <f t="shared" si="0"/>
        <v>1.3164885001619695</v>
      </c>
      <c r="H13" s="49">
        <v>4500000000</v>
      </c>
      <c r="I13" s="49">
        <v>4900000000</v>
      </c>
      <c r="J13" s="49">
        <f t="shared" si="1"/>
        <v>8.8888888888888795E-2</v>
      </c>
      <c r="K13" s="49">
        <v>7266798000</v>
      </c>
      <c r="L13" s="49">
        <v>8489250000</v>
      </c>
      <c r="M13" s="49">
        <f t="shared" si="2"/>
        <v>0.73249999999999993</v>
      </c>
      <c r="N13" s="49">
        <f t="shared" si="3"/>
        <v>6975000000</v>
      </c>
      <c r="O13" s="49">
        <f t="shared" si="4"/>
        <v>1.55</v>
      </c>
      <c r="P13" s="49"/>
      <c r="Q13" s="49"/>
      <c r="R13" s="49"/>
      <c r="S13" s="50"/>
    </row>
    <row r="14" spans="1:19" ht="102" customHeight="1">
      <c r="A14" s="40" t="s">
        <v>1342</v>
      </c>
      <c r="B14" s="41" t="s">
        <v>1343</v>
      </c>
      <c r="C14" s="42" t="s">
        <v>881</v>
      </c>
      <c r="D14" s="43">
        <v>9234225000</v>
      </c>
      <c r="E14" s="43">
        <v>11050000000</v>
      </c>
      <c r="F14" s="43">
        <v>12155000000</v>
      </c>
      <c r="G14" s="43">
        <f t="shared" si="0"/>
        <v>1.316298877274487</v>
      </c>
      <c r="H14" s="43">
        <v>4950000000</v>
      </c>
      <c r="I14" s="43">
        <v>5330000000</v>
      </c>
      <c r="J14" s="43">
        <f t="shared" si="1"/>
        <v>7.6767676767676818E-2</v>
      </c>
      <c r="K14" s="43">
        <v>7904496600</v>
      </c>
      <c r="L14" s="43">
        <v>9234225000</v>
      </c>
      <c r="M14" s="43">
        <f t="shared" si="2"/>
        <v>0.73249999999999993</v>
      </c>
      <c r="N14" s="43">
        <f t="shared" si="3"/>
        <v>7672500000</v>
      </c>
      <c r="O14" s="43">
        <f t="shared" si="4"/>
        <v>1.55</v>
      </c>
      <c r="P14" s="43"/>
      <c r="Q14" s="43"/>
      <c r="R14" s="43"/>
      <c r="S14" s="44"/>
    </row>
    <row r="15" spans="1:19" ht="102" customHeight="1">
      <c r="A15" s="46" t="s">
        <v>1344</v>
      </c>
      <c r="B15" s="47" t="s">
        <v>1345</v>
      </c>
      <c r="C15" s="48" t="s">
        <v>881</v>
      </c>
      <c r="D15" s="49">
        <v>10005187500</v>
      </c>
      <c r="E15" s="49">
        <v>11970000000</v>
      </c>
      <c r="F15" s="49">
        <v>13167000000</v>
      </c>
      <c r="G15" s="49">
        <f t="shared" si="0"/>
        <v>1.3160173160173161</v>
      </c>
      <c r="H15" s="49">
        <v>5400000000</v>
      </c>
      <c r="I15" s="49">
        <v>5775000000</v>
      </c>
      <c r="J15" s="49">
        <f t="shared" si="1"/>
        <v>6.944444444444442E-2</v>
      </c>
      <c r="K15" s="49">
        <v>8564440500</v>
      </c>
      <c r="L15" s="49">
        <v>10005187500</v>
      </c>
      <c r="M15" s="49">
        <f t="shared" si="2"/>
        <v>0.73249999999999993</v>
      </c>
      <c r="N15" s="49">
        <f t="shared" si="3"/>
        <v>8370000000</v>
      </c>
      <c r="O15" s="49">
        <f t="shared" si="4"/>
        <v>1.55</v>
      </c>
      <c r="P15" s="49"/>
      <c r="Q15" s="49"/>
      <c r="R15" s="49"/>
      <c r="S15" s="50"/>
    </row>
    <row r="16" spans="1:19" ht="102" customHeight="1">
      <c r="A16" s="40" t="s">
        <v>1346</v>
      </c>
      <c r="B16" s="41" t="s">
        <v>1347</v>
      </c>
      <c r="C16" s="42" t="s">
        <v>881</v>
      </c>
      <c r="D16" s="43">
        <v>11053350000</v>
      </c>
      <c r="E16" s="43">
        <v>13230000000</v>
      </c>
      <c r="F16" s="43">
        <v>14553000000</v>
      </c>
      <c r="G16" s="43">
        <f t="shared" si="0"/>
        <v>1.3166144200626959</v>
      </c>
      <c r="H16" s="43">
        <v>5850000000</v>
      </c>
      <c r="I16" s="43">
        <v>6380000000</v>
      </c>
      <c r="J16" s="43">
        <f t="shared" si="1"/>
        <v>9.0598290598290498E-2</v>
      </c>
      <c r="K16" s="43">
        <v>9461667600</v>
      </c>
      <c r="L16" s="43">
        <v>110533500000</v>
      </c>
      <c r="M16" s="43">
        <f t="shared" si="2"/>
        <v>16.324999999999999</v>
      </c>
      <c r="N16" s="43">
        <f t="shared" si="3"/>
        <v>9067500000</v>
      </c>
      <c r="O16" s="43">
        <f t="shared" si="4"/>
        <v>1.55</v>
      </c>
      <c r="P16" s="43"/>
      <c r="Q16" s="43"/>
      <c r="R16" s="43"/>
      <c r="S16" s="44"/>
    </row>
    <row r="17" spans="1:19" ht="102" customHeight="1">
      <c r="A17" s="46" t="s">
        <v>1348</v>
      </c>
      <c r="B17" s="47" t="s">
        <v>1349</v>
      </c>
      <c r="C17" s="48" t="s">
        <v>881</v>
      </c>
      <c r="D17" s="49">
        <v>12092850000</v>
      </c>
      <c r="E17" s="49">
        <v>14480000000</v>
      </c>
      <c r="F17" s="49">
        <v>15928000000</v>
      </c>
      <c r="G17" s="49">
        <f t="shared" si="0"/>
        <v>1.3171419475144404</v>
      </c>
      <c r="H17" s="49">
        <v>6450000000</v>
      </c>
      <c r="I17" s="49">
        <v>6980000000</v>
      </c>
      <c r="J17" s="49">
        <f t="shared" si="1"/>
        <v>8.2170542635658927E-2</v>
      </c>
      <c r="K17" s="49">
        <v>10351479600</v>
      </c>
      <c r="L17" s="49">
        <v>12092850000</v>
      </c>
      <c r="M17" s="49">
        <f t="shared" si="2"/>
        <v>0.73249999999999993</v>
      </c>
      <c r="N17" s="49">
        <f t="shared" si="3"/>
        <v>9997500000</v>
      </c>
      <c r="O17" s="49">
        <f t="shared" si="4"/>
        <v>1.55</v>
      </c>
      <c r="P17" s="49"/>
      <c r="Q17" s="49"/>
      <c r="R17" s="49"/>
      <c r="S17" s="50"/>
    </row>
    <row r="18" spans="1:19" ht="102" customHeight="1">
      <c r="A18" s="40" t="s">
        <v>1350</v>
      </c>
      <c r="B18" s="41" t="s">
        <v>1351</v>
      </c>
      <c r="C18" s="42" t="s">
        <v>881</v>
      </c>
      <c r="D18" s="43">
        <v>13340250000</v>
      </c>
      <c r="E18" s="43">
        <v>15970000000</v>
      </c>
      <c r="F18" s="43">
        <v>17567000000</v>
      </c>
      <c r="G18" s="43">
        <f t="shared" si="0"/>
        <v>1.3168418882704598</v>
      </c>
      <c r="H18" s="43">
        <v>6900000000</v>
      </c>
      <c r="I18" s="43">
        <v>7700000000</v>
      </c>
      <c r="J18" s="43">
        <f t="shared" si="1"/>
        <v>0.11594202898550732</v>
      </c>
      <c r="K18" s="43">
        <v>11419254000</v>
      </c>
      <c r="L18" s="43">
        <v>13340250000</v>
      </c>
      <c r="M18" s="43">
        <f t="shared" si="2"/>
        <v>0.73249999999999993</v>
      </c>
      <c r="N18" s="43">
        <f t="shared" si="3"/>
        <v>10695000000</v>
      </c>
      <c r="O18" s="43">
        <f t="shared" si="4"/>
        <v>1.55</v>
      </c>
      <c r="P18" s="43"/>
      <c r="Q18" s="43"/>
      <c r="R18" s="43"/>
      <c r="S18" s="44"/>
    </row>
    <row r="19" spans="1:19" ht="102" customHeight="1">
      <c r="A19" s="46" t="s">
        <v>1352</v>
      </c>
      <c r="B19" s="47" t="s">
        <v>1353</v>
      </c>
      <c r="C19" s="48" t="s">
        <v>881</v>
      </c>
      <c r="D19" s="49">
        <v>7051275000.000001</v>
      </c>
      <c r="E19" s="49">
        <v>8453000000</v>
      </c>
      <c r="F19" s="49">
        <v>9298300000</v>
      </c>
      <c r="G19" s="49">
        <f t="shared" si="0"/>
        <v>1.3186693186693186</v>
      </c>
      <c r="H19" s="49">
        <v>3900000000</v>
      </c>
      <c r="I19" s="49">
        <v>4070000000</v>
      </c>
      <c r="J19" s="49">
        <f t="shared" si="1"/>
        <v>4.3589743589743657E-2</v>
      </c>
      <c r="K19" s="49">
        <v>6035891400</v>
      </c>
      <c r="L19" s="49">
        <v>7051275000</v>
      </c>
      <c r="M19" s="49">
        <f t="shared" si="2"/>
        <v>0.73249999999999993</v>
      </c>
      <c r="N19" s="49">
        <f t="shared" si="3"/>
        <v>6045000000</v>
      </c>
      <c r="O19" s="49">
        <f t="shared" si="4"/>
        <v>1.55</v>
      </c>
      <c r="P19" s="49"/>
      <c r="Q19" s="49"/>
      <c r="R19" s="49"/>
      <c r="S19" s="50"/>
    </row>
    <row r="20" spans="1:19" ht="102" customHeight="1">
      <c r="A20" s="40" t="s">
        <v>1354</v>
      </c>
      <c r="B20" s="41" t="s">
        <v>1355</v>
      </c>
      <c r="C20" s="42" t="s">
        <v>881</v>
      </c>
      <c r="D20" s="43">
        <v>7900200000</v>
      </c>
      <c r="E20" s="43">
        <v>9450000000</v>
      </c>
      <c r="F20" s="43">
        <v>10395000000</v>
      </c>
      <c r="G20" s="43">
        <f t="shared" si="0"/>
        <v>1.3157894736842106</v>
      </c>
      <c r="H20" s="43">
        <v>4425000000</v>
      </c>
      <c r="I20" s="43">
        <v>4560000000</v>
      </c>
      <c r="J20" s="43">
        <f t="shared" si="1"/>
        <v>3.050847457627115E-2</v>
      </c>
      <c r="K20" s="43">
        <v>6762571200</v>
      </c>
      <c r="L20" s="43">
        <v>7900200000</v>
      </c>
      <c r="M20" s="43">
        <f t="shared" si="2"/>
        <v>0.73249999999999993</v>
      </c>
      <c r="N20" s="43">
        <f t="shared" si="3"/>
        <v>6858750000</v>
      </c>
      <c r="O20" s="43">
        <f t="shared" si="4"/>
        <v>1.55</v>
      </c>
      <c r="P20" s="43"/>
      <c r="Q20" s="43"/>
      <c r="R20" s="43"/>
      <c r="S20" s="44"/>
    </row>
    <row r="21" spans="1:19" ht="102" customHeight="1">
      <c r="A21" s="46" t="s">
        <v>1356</v>
      </c>
      <c r="B21" s="47" t="s">
        <v>1357</v>
      </c>
      <c r="C21" s="48" t="s">
        <v>881</v>
      </c>
      <c r="D21" s="49">
        <v>8662500000</v>
      </c>
      <c r="E21" s="49">
        <v>10374000000</v>
      </c>
      <c r="F21" s="49">
        <v>11411400000</v>
      </c>
      <c r="G21" s="49">
        <f t="shared" si="0"/>
        <v>1.3173333333333332</v>
      </c>
      <c r="H21" s="49">
        <v>4965000000</v>
      </c>
      <c r="I21" s="49">
        <v>5000000000</v>
      </c>
      <c r="J21" s="49">
        <f t="shared" si="1"/>
        <v>7.0493454179254567E-3</v>
      </c>
      <c r="K21" s="49">
        <v>7415100000</v>
      </c>
      <c r="L21" s="49">
        <v>8662500000</v>
      </c>
      <c r="M21" s="49">
        <f t="shared" si="2"/>
        <v>0.73249999999999993</v>
      </c>
      <c r="N21" s="49">
        <f t="shared" si="3"/>
        <v>7695750000</v>
      </c>
      <c r="O21" s="49">
        <f t="shared" si="4"/>
        <v>1.55</v>
      </c>
      <c r="P21" s="49"/>
      <c r="Q21" s="49"/>
      <c r="R21" s="49"/>
      <c r="S21" s="50"/>
    </row>
    <row r="22" spans="1:19" ht="102" customHeight="1">
      <c r="A22" s="40" t="s">
        <v>1358</v>
      </c>
      <c r="B22" s="41" t="s">
        <v>1359</v>
      </c>
      <c r="C22" s="42" t="s">
        <v>881</v>
      </c>
      <c r="D22" s="43">
        <v>9719325000</v>
      </c>
      <c r="E22" s="43">
        <v>11655000000</v>
      </c>
      <c r="F22" s="43">
        <v>12820500000</v>
      </c>
      <c r="G22" s="43">
        <f t="shared" si="0"/>
        <v>1.3190730837789661</v>
      </c>
      <c r="H22" s="43">
        <v>5100000000</v>
      </c>
      <c r="I22" s="43">
        <v>5610000000</v>
      </c>
      <c r="J22" s="43">
        <f t="shared" si="1"/>
        <v>0.10000000000000009</v>
      </c>
      <c r="K22" s="43">
        <v>8319742200</v>
      </c>
      <c r="L22" s="43">
        <v>9719325000</v>
      </c>
      <c r="M22" s="43">
        <f t="shared" si="2"/>
        <v>0.73249999999999993</v>
      </c>
      <c r="N22" s="43">
        <f t="shared" si="3"/>
        <v>7905000000</v>
      </c>
      <c r="O22" s="43">
        <f t="shared" si="4"/>
        <v>1.55</v>
      </c>
      <c r="P22" s="43"/>
      <c r="Q22" s="43"/>
      <c r="R22" s="43"/>
      <c r="S22" s="44"/>
    </row>
    <row r="23" spans="1:19" ht="102" customHeight="1">
      <c r="A23" s="46" t="s">
        <v>1360</v>
      </c>
      <c r="B23" s="47" t="s">
        <v>1361</v>
      </c>
      <c r="C23" s="48" t="s">
        <v>881</v>
      </c>
      <c r="D23" s="49">
        <v>10568250000</v>
      </c>
      <c r="E23" s="49">
        <v>12653000000</v>
      </c>
      <c r="F23" s="49">
        <v>13918300000</v>
      </c>
      <c r="G23" s="49">
        <f t="shared" si="0"/>
        <v>1.3169919333853759</v>
      </c>
      <c r="H23" s="49">
        <v>5550000000</v>
      </c>
      <c r="I23" s="49">
        <v>6100000000</v>
      </c>
      <c r="J23" s="49">
        <f t="shared" si="1"/>
        <v>9.9099099099099197E-2</v>
      </c>
      <c r="K23" s="49">
        <v>9046422000</v>
      </c>
      <c r="L23" s="49">
        <v>10568250000</v>
      </c>
      <c r="M23" s="49">
        <f t="shared" si="2"/>
        <v>0.73249999999999993</v>
      </c>
      <c r="N23" s="49">
        <f t="shared" si="3"/>
        <v>8602500000</v>
      </c>
      <c r="O23" s="49">
        <f t="shared" si="4"/>
        <v>1.55</v>
      </c>
      <c r="P23" s="49"/>
      <c r="Q23" s="49"/>
      <c r="R23" s="49"/>
      <c r="S23" s="50"/>
    </row>
    <row r="24" spans="1:19" ht="102" customHeight="1">
      <c r="A24" s="40" t="s">
        <v>1362</v>
      </c>
      <c r="B24" s="41" t="s">
        <v>1363</v>
      </c>
      <c r="C24" s="42" t="s">
        <v>881</v>
      </c>
      <c r="D24" s="43">
        <v>11781000000</v>
      </c>
      <c r="E24" s="43">
        <v>14100000000</v>
      </c>
      <c r="F24" s="43">
        <v>15510000000</v>
      </c>
      <c r="G24" s="43">
        <f t="shared" si="0"/>
        <v>1.3165266106442577</v>
      </c>
      <c r="H24" s="43">
        <v>6150000000</v>
      </c>
      <c r="I24" s="43">
        <v>6800000000</v>
      </c>
      <c r="J24" s="43">
        <f t="shared" si="1"/>
        <v>0.10569105691056913</v>
      </c>
      <c r="K24" s="43">
        <v>10084536000</v>
      </c>
      <c r="L24" s="43">
        <v>11781000000</v>
      </c>
      <c r="M24" s="43">
        <f t="shared" si="2"/>
        <v>0.73249999999999993</v>
      </c>
      <c r="N24" s="43">
        <f t="shared" si="3"/>
        <v>9532500000</v>
      </c>
      <c r="O24" s="43">
        <f t="shared" si="4"/>
        <v>1.55</v>
      </c>
      <c r="P24" s="43"/>
      <c r="Q24" s="43"/>
      <c r="R24" s="43"/>
      <c r="S24" s="44"/>
    </row>
    <row r="25" spans="1:19" ht="102" customHeight="1">
      <c r="A25" s="46" t="s">
        <v>1364</v>
      </c>
      <c r="B25" s="47" t="s">
        <v>1365</v>
      </c>
      <c r="C25" s="48" t="s">
        <v>881</v>
      </c>
      <c r="D25" s="49">
        <v>12959100000</v>
      </c>
      <c r="E25" s="49">
        <v>15510000000</v>
      </c>
      <c r="F25" s="49">
        <v>17061000000</v>
      </c>
      <c r="G25" s="49">
        <f t="shared" si="0"/>
        <v>1.3165266106442577</v>
      </c>
      <c r="H25" s="49">
        <v>6750000000</v>
      </c>
      <c r="I25" s="49">
        <v>7480000000</v>
      </c>
      <c r="J25" s="49">
        <f t="shared" si="1"/>
        <v>0.1081481481481481</v>
      </c>
      <c r="K25" s="49">
        <v>11092989600</v>
      </c>
      <c r="L25" s="49">
        <v>12959100000</v>
      </c>
      <c r="M25" s="49">
        <f t="shared" si="2"/>
        <v>0.73249999999999993</v>
      </c>
      <c r="N25" s="49">
        <f t="shared" si="3"/>
        <v>10462500000</v>
      </c>
      <c r="O25" s="49">
        <f t="shared" si="4"/>
        <v>1.55</v>
      </c>
      <c r="P25" s="49"/>
      <c r="Q25" s="49"/>
      <c r="R25" s="49"/>
      <c r="S25" s="50"/>
    </row>
    <row r="26" spans="1:19" ht="102" customHeight="1">
      <c r="A26" s="40" t="s">
        <v>1366</v>
      </c>
      <c r="B26" s="41" t="s">
        <v>1367</v>
      </c>
      <c r="C26" s="42" t="s">
        <v>881</v>
      </c>
      <c r="D26" s="43">
        <v>14379750000</v>
      </c>
      <c r="E26" s="43">
        <v>17220000000</v>
      </c>
      <c r="F26" s="43">
        <v>18942000000</v>
      </c>
      <c r="G26" s="43">
        <f t="shared" si="0"/>
        <v>1.3172690763052208</v>
      </c>
      <c r="H26" s="43">
        <v>7500000000</v>
      </c>
      <c r="I26" s="43">
        <v>8300000000</v>
      </c>
      <c r="J26" s="43">
        <f t="shared" si="1"/>
        <v>0.10666666666666669</v>
      </c>
      <c r="K26" s="43">
        <v>12309066000</v>
      </c>
      <c r="L26" s="43">
        <v>14379750000</v>
      </c>
      <c r="M26" s="43">
        <f t="shared" si="2"/>
        <v>0.73249999999999993</v>
      </c>
      <c r="N26" s="43">
        <f t="shared" si="3"/>
        <v>11625000000</v>
      </c>
      <c r="O26" s="43">
        <f t="shared" si="4"/>
        <v>1.55</v>
      </c>
      <c r="P26" s="43"/>
      <c r="Q26" s="43"/>
      <c r="R26" s="43"/>
      <c r="S26" s="44"/>
    </row>
    <row r="27" spans="1:19" ht="102" customHeight="1">
      <c r="A27" s="46" t="s">
        <v>1368</v>
      </c>
      <c r="B27" s="47" t="s">
        <v>1369</v>
      </c>
      <c r="C27" s="48" t="s">
        <v>881</v>
      </c>
      <c r="D27" s="49">
        <v>7241850000.000001</v>
      </c>
      <c r="E27" s="49">
        <v>7980000000</v>
      </c>
      <c r="F27" s="49">
        <v>8778000000</v>
      </c>
      <c r="G27" s="49">
        <f t="shared" si="0"/>
        <v>1.2121212121212119</v>
      </c>
      <c r="H27" s="49">
        <v>4044600000</v>
      </c>
      <c r="I27" s="49">
        <v>4180000000</v>
      </c>
      <c r="J27" s="49">
        <f t="shared" si="1"/>
        <v>3.3476734411313824E-2</v>
      </c>
      <c r="K27" s="49">
        <v>6199023600</v>
      </c>
      <c r="L27" s="49">
        <v>7241850000</v>
      </c>
      <c r="M27" s="49">
        <f t="shared" si="2"/>
        <v>0.73249999999999993</v>
      </c>
      <c r="N27" s="49">
        <f t="shared" si="3"/>
        <v>6269130000</v>
      </c>
      <c r="O27" s="49">
        <f t="shared" si="4"/>
        <v>1.55</v>
      </c>
      <c r="P27" s="49"/>
      <c r="Q27" s="49"/>
      <c r="R27" s="49"/>
      <c r="S27" s="50"/>
    </row>
    <row r="28" spans="1:19" ht="102" customHeight="1">
      <c r="A28" s="40" t="s">
        <v>1370</v>
      </c>
      <c r="B28" s="41" t="s">
        <v>1371</v>
      </c>
      <c r="C28" s="42" t="s">
        <v>881</v>
      </c>
      <c r="D28" s="43">
        <v>8194725000</v>
      </c>
      <c r="E28" s="43">
        <v>9035000000</v>
      </c>
      <c r="F28" s="43">
        <v>9938500000</v>
      </c>
      <c r="G28" s="43">
        <f t="shared" si="0"/>
        <v>1.2127923755830732</v>
      </c>
      <c r="H28" s="43">
        <v>4570500000</v>
      </c>
      <c r="I28" s="43">
        <v>4730000000</v>
      </c>
      <c r="J28" s="43">
        <f t="shared" si="1"/>
        <v>3.4897713598074587E-2</v>
      </c>
      <c r="K28" s="43">
        <v>7014684600</v>
      </c>
      <c r="L28" s="43">
        <v>8194725000</v>
      </c>
      <c r="M28" s="43">
        <f t="shared" si="2"/>
        <v>0.73249999999999993</v>
      </c>
      <c r="N28" s="43">
        <f t="shared" si="3"/>
        <v>7084275000</v>
      </c>
      <c r="O28" s="43">
        <f t="shared" si="4"/>
        <v>1.55</v>
      </c>
      <c r="P28" s="43"/>
      <c r="Q28" s="43"/>
      <c r="R28" s="43"/>
      <c r="S28" s="44"/>
    </row>
    <row r="29" spans="1:19" ht="102" customHeight="1">
      <c r="A29" s="46" t="s">
        <v>1372</v>
      </c>
      <c r="B29" s="47" t="s">
        <v>1373</v>
      </c>
      <c r="C29" s="48" t="s">
        <v>881</v>
      </c>
      <c r="D29" s="49">
        <v>9234225000</v>
      </c>
      <c r="E29" s="49">
        <v>10185000000</v>
      </c>
      <c r="F29" s="49">
        <v>11203500000</v>
      </c>
      <c r="G29" s="49">
        <f t="shared" si="0"/>
        <v>1.2132582864290182</v>
      </c>
      <c r="H29" s="49">
        <v>5215500000</v>
      </c>
      <c r="I29" s="49">
        <v>5330000000</v>
      </c>
      <c r="J29" s="49">
        <f t="shared" si="1"/>
        <v>2.1953791582782101E-2</v>
      </c>
      <c r="K29" s="49">
        <v>7904496600</v>
      </c>
      <c r="L29" s="49">
        <v>9234225000</v>
      </c>
      <c r="M29" s="49">
        <f t="shared" si="2"/>
        <v>0.73249999999999993</v>
      </c>
      <c r="N29" s="49">
        <f t="shared" si="3"/>
        <v>8084025000</v>
      </c>
      <c r="O29" s="49">
        <f t="shared" si="4"/>
        <v>1.55</v>
      </c>
      <c r="P29" s="49"/>
      <c r="Q29" s="49"/>
      <c r="R29" s="49"/>
      <c r="S29" s="50"/>
    </row>
    <row r="30" spans="1:19" ht="102" customHeight="1">
      <c r="A30" s="40" t="s">
        <v>1374</v>
      </c>
      <c r="B30" s="41" t="s">
        <v>1375</v>
      </c>
      <c r="C30" s="42" t="s">
        <v>881</v>
      </c>
      <c r="D30" s="43">
        <v>10187100000</v>
      </c>
      <c r="E30" s="43">
        <v>11235000000</v>
      </c>
      <c r="F30" s="43">
        <v>12358500000</v>
      </c>
      <c r="G30" s="43">
        <f t="shared" si="0"/>
        <v>1.2131519274376417</v>
      </c>
      <c r="H30" s="43">
        <v>5796000000</v>
      </c>
      <c r="I30" s="43">
        <v>5880000000</v>
      </c>
      <c r="J30" s="43">
        <f t="shared" si="1"/>
        <v>1.449275362318847E-2</v>
      </c>
      <c r="K30" s="43">
        <v>8720157600</v>
      </c>
      <c r="L30" s="43">
        <v>10187100000</v>
      </c>
      <c r="M30" s="43">
        <f t="shared" si="2"/>
        <v>0.73249999999999993</v>
      </c>
      <c r="N30" s="43">
        <f t="shared" si="3"/>
        <v>8983800000</v>
      </c>
      <c r="O30" s="43">
        <f t="shared" si="4"/>
        <v>1.55</v>
      </c>
      <c r="P30" s="43"/>
      <c r="Q30" s="43"/>
      <c r="R30" s="43"/>
      <c r="S30" s="44"/>
    </row>
    <row r="31" spans="1:19" ht="102" customHeight="1">
      <c r="A31" s="46" t="s">
        <v>1376</v>
      </c>
      <c r="B31" s="47" t="s">
        <v>1377</v>
      </c>
      <c r="C31" s="48" t="s">
        <v>881</v>
      </c>
      <c r="D31" s="49">
        <v>11139975000</v>
      </c>
      <c r="E31" s="49">
        <v>12285000000</v>
      </c>
      <c r="F31" s="49">
        <v>13513500000</v>
      </c>
      <c r="G31" s="49">
        <f t="shared" si="0"/>
        <v>1.213063763608087</v>
      </c>
      <c r="H31" s="49">
        <v>6037800000</v>
      </c>
      <c r="I31" s="49">
        <v>6430000000</v>
      </c>
      <c r="J31" s="49">
        <f t="shared" si="1"/>
        <v>6.4957434827255023E-2</v>
      </c>
      <c r="K31" s="49">
        <v>9535818600</v>
      </c>
      <c r="L31" s="49">
        <v>11139975000</v>
      </c>
      <c r="M31" s="49">
        <f t="shared" si="2"/>
        <v>0.73249999999999993</v>
      </c>
      <c r="N31" s="49">
        <f t="shared" si="3"/>
        <v>9358590000</v>
      </c>
      <c r="O31" s="49">
        <f t="shared" si="4"/>
        <v>1.55</v>
      </c>
      <c r="P31" s="49"/>
      <c r="Q31" s="49"/>
      <c r="R31" s="49"/>
      <c r="S31" s="50"/>
    </row>
    <row r="32" spans="1:19" ht="102" customHeight="1">
      <c r="A32" s="40" t="s">
        <v>1378</v>
      </c>
      <c r="B32" s="41" t="s">
        <v>1379</v>
      </c>
      <c r="C32" s="42" t="s">
        <v>881</v>
      </c>
      <c r="D32" s="43">
        <v>12577950000</v>
      </c>
      <c r="E32" s="43">
        <v>13860000000</v>
      </c>
      <c r="F32" s="43">
        <v>15246000000</v>
      </c>
      <c r="G32" s="43">
        <f t="shared" si="0"/>
        <v>1.2121212121212122</v>
      </c>
      <c r="H32" s="43">
        <v>6528600000</v>
      </c>
      <c r="I32" s="43">
        <v>7260000000</v>
      </c>
      <c r="J32" s="43">
        <f t="shared" si="1"/>
        <v>0.11203014428820879</v>
      </c>
      <c r="K32" s="43">
        <v>10766725200</v>
      </c>
      <c r="L32" s="43">
        <v>12577950000</v>
      </c>
      <c r="M32" s="43">
        <f t="shared" si="2"/>
        <v>0.73249999999999993</v>
      </c>
      <c r="N32" s="43">
        <f t="shared" si="3"/>
        <v>10119330000</v>
      </c>
      <c r="O32" s="43">
        <f t="shared" si="4"/>
        <v>1.55</v>
      </c>
      <c r="P32" s="43"/>
      <c r="Q32" s="43"/>
      <c r="R32" s="43"/>
      <c r="S32" s="44"/>
    </row>
    <row r="33" spans="1:19" ht="102" customHeight="1">
      <c r="A33" s="46" t="s">
        <v>1380</v>
      </c>
      <c r="B33" s="47" t="s">
        <v>1381</v>
      </c>
      <c r="C33" s="48" t="s">
        <v>881</v>
      </c>
      <c r="D33" s="49">
        <v>14102550000</v>
      </c>
      <c r="E33" s="49">
        <v>15540000000</v>
      </c>
      <c r="F33" s="49">
        <v>17094000000</v>
      </c>
      <c r="G33" s="49">
        <f t="shared" si="0"/>
        <v>1.2121212121212122</v>
      </c>
      <c r="H33" s="49">
        <v>7166250000</v>
      </c>
      <c r="I33" s="49">
        <v>8140000000</v>
      </c>
      <c r="J33" s="49">
        <f t="shared" si="1"/>
        <v>0.13587999302285025</v>
      </c>
      <c r="K33" s="49">
        <v>12071782800</v>
      </c>
      <c r="L33" s="49">
        <v>14102550000</v>
      </c>
      <c r="M33" s="49">
        <f t="shared" si="2"/>
        <v>0.73249999999999993</v>
      </c>
      <c r="N33" s="49">
        <f t="shared" si="3"/>
        <v>11107687500</v>
      </c>
      <c r="O33" s="49">
        <f t="shared" si="4"/>
        <v>1.55</v>
      </c>
      <c r="P33" s="49"/>
      <c r="Q33" s="49"/>
      <c r="R33" s="49"/>
      <c r="S33" s="50"/>
    </row>
    <row r="34" spans="1:19" ht="102" customHeight="1">
      <c r="A34" s="40" t="s">
        <v>1382</v>
      </c>
      <c r="B34" s="41" t="s">
        <v>1383</v>
      </c>
      <c r="C34" s="42" t="s">
        <v>881</v>
      </c>
      <c r="D34" s="43">
        <v>15817725000</v>
      </c>
      <c r="E34" s="43">
        <v>17440000000</v>
      </c>
      <c r="F34" s="43">
        <v>19184000000</v>
      </c>
      <c r="G34" s="43">
        <f t="shared" si="0"/>
        <v>1.2128166345033815</v>
      </c>
      <c r="H34" s="43">
        <v>7875000000</v>
      </c>
      <c r="I34" s="43">
        <v>9130000000</v>
      </c>
      <c r="J34" s="43">
        <f t="shared" si="1"/>
        <v>0.15936507936507938</v>
      </c>
      <c r="K34" s="43">
        <v>13439972600</v>
      </c>
      <c r="L34" s="43">
        <v>15817725000</v>
      </c>
      <c r="M34" s="43">
        <f t="shared" si="2"/>
        <v>0.73249999999999993</v>
      </c>
      <c r="N34" s="43">
        <f t="shared" si="3"/>
        <v>12206250000</v>
      </c>
      <c r="O34" s="43">
        <f t="shared" si="4"/>
        <v>1.55</v>
      </c>
      <c r="P34" s="43"/>
      <c r="Q34" s="43"/>
      <c r="R34" s="43"/>
      <c r="S34" s="44"/>
    </row>
    <row r="35" spans="1:19" ht="102" customHeight="1">
      <c r="A35" s="46" t="s">
        <v>1384</v>
      </c>
      <c r="B35" s="47" t="s">
        <v>1385</v>
      </c>
      <c r="C35" s="48" t="s">
        <v>881</v>
      </c>
      <c r="D35" s="49" t="s">
        <v>1239</v>
      </c>
      <c r="E35" s="49" t="s">
        <v>1239</v>
      </c>
      <c r="F35" s="49">
        <v>7827868125</v>
      </c>
      <c r="G35" s="49">
        <f t="shared" ref="G35:G66" si="5">F35/N35</f>
        <v>1.21</v>
      </c>
      <c r="H35" s="49">
        <v>4173750000</v>
      </c>
      <c r="I35" s="49">
        <v>0</v>
      </c>
      <c r="J35" s="49"/>
      <c r="K35" s="49"/>
      <c r="L35" s="49"/>
      <c r="M35" s="49" t="e">
        <f t="shared" ref="M35:M66" si="6">L35/I35-1</f>
        <v>#DIV/0!</v>
      </c>
      <c r="N35" s="49">
        <f t="shared" ref="N35:N66" si="7">H35*1.55</f>
        <v>6469312500</v>
      </c>
      <c r="O35" s="49">
        <f t="shared" ref="O35:O66" si="8">N35/H35</f>
        <v>1.55</v>
      </c>
      <c r="P35" s="49"/>
      <c r="Q35" s="49"/>
      <c r="R35" s="49"/>
      <c r="S35" s="50"/>
    </row>
    <row r="36" spans="1:19" ht="102" customHeight="1">
      <c r="A36" s="40" t="s">
        <v>1386</v>
      </c>
      <c r="B36" s="41" t="s">
        <v>1387</v>
      </c>
      <c r="C36" s="42" t="s">
        <v>881</v>
      </c>
      <c r="D36" s="43" t="s">
        <v>1239</v>
      </c>
      <c r="E36" s="43" t="s">
        <v>1239</v>
      </c>
      <c r="F36" s="43">
        <v>8923347675</v>
      </c>
      <c r="G36" s="43">
        <f t="shared" si="5"/>
        <v>1.21</v>
      </c>
      <c r="H36" s="43">
        <v>4757850000</v>
      </c>
      <c r="I36" s="43">
        <v>0</v>
      </c>
      <c r="J36" s="43"/>
      <c r="K36" s="43"/>
      <c r="L36" s="43"/>
      <c r="M36" s="43" t="e">
        <f t="shared" si="6"/>
        <v>#DIV/0!</v>
      </c>
      <c r="N36" s="43">
        <f t="shared" si="7"/>
        <v>7374667500</v>
      </c>
      <c r="O36" s="43">
        <f t="shared" si="8"/>
        <v>1.55</v>
      </c>
      <c r="P36" s="43"/>
      <c r="Q36" s="43"/>
      <c r="R36" s="43"/>
      <c r="S36" s="44"/>
    </row>
    <row r="37" spans="1:19" ht="102" customHeight="1">
      <c r="A37" s="46" t="s">
        <v>1388</v>
      </c>
      <c r="B37" s="47" t="s">
        <v>1389</v>
      </c>
      <c r="C37" s="48" t="s">
        <v>881</v>
      </c>
      <c r="D37" s="49" t="s">
        <v>1239</v>
      </c>
      <c r="E37" s="49" t="s">
        <v>1239</v>
      </c>
      <c r="F37" s="49">
        <v>10172712000</v>
      </c>
      <c r="G37" s="49">
        <f t="shared" si="5"/>
        <v>1.21</v>
      </c>
      <c r="H37" s="49">
        <v>5424000000</v>
      </c>
      <c r="I37" s="49">
        <v>0</v>
      </c>
      <c r="J37" s="49"/>
      <c r="K37" s="49"/>
      <c r="L37" s="49"/>
      <c r="M37" s="49" t="e">
        <f t="shared" si="6"/>
        <v>#DIV/0!</v>
      </c>
      <c r="N37" s="49">
        <f t="shared" si="7"/>
        <v>8407200000</v>
      </c>
      <c r="O37" s="49">
        <f t="shared" si="8"/>
        <v>1.55</v>
      </c>
      <c r="P37" s="49"/>
      <c r="Q37" s="49"/>
      <c r="R37" s="49"/>
      <c r="S37" s="50"/>
    </row>
    <row r="38" spans="1:19" ht="102" customHeight="1">
      <c r="A38" s="40" t="s">
        <v>1390</v>
      </c>
      <c r="B38" s="41" t="s">
        <v>1391</v>
      </c>
      <c r="C38" s="42" t="s">
        <v>881</v>
      </c>
      <c r="D38" s="43" t="s">
        <v>1239</v>
      </c>
      <c r="E38" s="43" t="s">
        <v>1239</v>
      </c>
      <c r="F38" s="43">
        <v>11410542000</v>
      </c>
      <c r="G38" s="43">
        <f t="shared" si="5"/>
        <v>1.21</v>
      </c>
      <c r="H38" s="43">
        <v>6084000000</v>
      </c>
      <c r="I38" s="43">
        <v>0</v>
      </c>
      <c r="J38" s="43"/>
      <c r="K38" s="43"/>
      <c r="L38" s="43"/>
      <c r="M38" s="43" t="e">
        <f t="shared" si="6"/>
        <v>#DIV/0!</v>
      </c>
      <c r="N38" s="43">
        <f t="shared" si="7"/>
        <v>9430200000</v>
      </c>
      <c r="O38" s="43">
        <f t="shared" si="8"/>
        <v>1.55</v>
      </c>
      <c r="P38" s="43"/>
      <c r="Q38" s="43"/>
      <c r="R38" s="43"/>
      <c r="S38" s="44"/>
    </row>
    <row r="39" spans="1:19" ht="102" customHeight="1">
      <c r="A39" s="46" t="s">
        <v>1392</v>
      </c>
      <c r="B39" s="47" t="s">
        <v>1393</v>
      </c>
      <c r="C39" s="48" t="s">
        <v>881</v>
      </c>
      <c r="D39" s="49" t="s">
        <v>1239</v>
      </c>
      <c r="E39" s="49" t="s">
        <v>1239</v>
      </c>
      <c r="F39" s="49">
        <v>12083471400</v>
      </c>
      <c r="G39" s="49">
        <f t="shared" si="5"/>
        <v>1.21</v>
      </c>
      <c r="H39" s="49">
        <v>6442800000</v>
      </c>
      <c r="I39" s="49">
        <v>0</v>
      </c>
      <c r="J39" s="49"/>
      <c r="K39" s="49"/>
      <c r="L39" s="49"/>
      <c r="M39" s="49" t="e">
        <f t="shared" si="6"/>
        <v>#DIV/0!</v>
      </c>
      <c r="N39" s="49">
        <f t="shared" si="7"/>
        <v>9986340000</v>
      </c>
      <c r="O39" s="49">
        <f t="shared" si="8"/>
        <v>1.55</v>
      </c>
      <c r="P39" s="49"/>
      <c r="Q39" s="49"/>
      <c r="R39" s="49"/>
      <c r="S39" s="50"/>
    </row>
    <row r="40" spans="1:19" ht="102" customHeight="1">
      <c r="A40" s="40" t="s">
        <v>1394</v>
      </c>
      <c r="B40" s="41" t="s">
        <v>1395</v>
      </c>
      <c r="C40" s="42" t="s">
        <v>881</v>
      </c>
      <c r="D40" s="43" t="s">
        <v>1239</v>
      </c>
      <c r="E40" s="43" t="s">
        <v>1239</v>
      </c>
      <c r="F40" s="43">
        <v>12649778625</v>
      </c>
      <c r="G40" s="43">
        <f t="shared" si="5"/>
        <v>1.21</v>
      </c>
      <c r="H40" s="43">
        <v>6744750000</v>
      </c>
      <c r="I40" s="43">
        <v>0</v>
      </c>
      <c r="J40" s="43"/>
      <c r="K40" s="43"/>
      <c r="L40" s="43"/>
      <c r="M40" s="43" t="e">
        <f t="shared" si="6"/>
        <v>#DIV/0!</v>
      </c>
      <c r="N40" s="43">
        <f t="shared" si="7"/>
        <v>10454362500</v>
      </c>
      <c r="O40" s="43">
        <f t="shared" si="8"/>
        <v>1.55</v>
      </c>
      <c r="P40" s="43"/>
      <c r="Q40" s="43"/>
      <c r="R40" s="43"/>
      <c r="S40" s="44"/>
    </row>
    <row r="41" spans="1:19" ht="102" customHeight="1">
      <c r="A41" s="46" t="s">
        <v>1396</v>
      </c>
      <c r="B41" s="47" t="s">
        <v>1397</v>
      </c>
      <c r="C41" s="48" t="s">
        <v>881</v>
      </c>
      <c r="D41" s="49" t="s">
        <v>1239</v>
      </c>
      <c r="E41" s="49" t="s">
        <v>1239</v>
      </c>
      <c r="F41" s="49">
        <v>13985228400</v>
      </c>
      <c r="G41" s="49">
        <f t="shared" si="5"/>
        <v>1.21</v>
      </c>
      <c r="H41" s="49">
        <v>7456800000</v>
      </c>
      <c r="I41" s="49">
        <v>0</v>
      </c>
      <c r="J41" s="49"/>
      <c r="K41" s="49"/>
      <c r="L41" s="49"/>
      <c r="M41" s="49" t="e">
        <f t="shared" si="6"/>
        <v>#DIV/0!</v>
      </c>
      <c r="N41" s="49">
        <f t="shared" si="7"/>
        <v>11558040000</v>
      </c>
      <c r="O41" s="49">
        <f t="shared" si="8"/>
        <v>1.55</v>
      </c>
      <c r="P41" s="49"/>
      <c r="Q41" s="49"/>
      <c r="R41" s="49"/>
      <c r="S41" s="50"/>
    </row>
    <row r="42" spans="1:19" ht="102" customHeight="1">
      <c r="A42" s="40" t="s">
        <v>1398</v>
      </c>
      <c r="B42" s="41" t="s">
        <v>1399</v>
      </c>
      <c r="C42" s="42" t="s">
        <v>881</v>
      </c>
      <c r="D42" s="43" t="s">
        <v>1239</v>
      </c>
      <c r="E42" s="43" t="s">
        <v>1239</v>
      </c>
      <c r="F42" s="43">
        <v>15888532687.5</v>
      </c>
      <c r="G42" s="43">
        <f t="shared" si="5"/>
        <v>1.21</v>
      </c>
      <c r="H42" s="43">
        <v>8471625000</v>
      </c>
      <c r="I42" s="43">
        <v>0</v>
      </c>
      <c r="J42" s="43"/>
      <c r="K42" s="43"/>
      <c r="L42" s="43"/>
      <c r="M42" s="43" t="e">
        <f t="shared" si="6"/>
        <v>#DIV/0!</v>
      </c>
      <c r="N42" s="43">
        <f t="shared" si="7"/>
        <v>13131018750</v>
      </c>
      <c r="O42" s="43">
        <f t="shared" si="8"/>
        <v>1.55</v>
      </c>
      <c r="P42" s="43"/>
      <c r="Q42" s="43"/>
      <c r="R42" s="43"/>
      <c r="S42" s="44"/>
    </row>
    <row r="43" spans="1:19" ht="89.25" customHeight="1">
      <c r="A43" s="46" t="s">
        <v>1400</v>
      </c>
      <c r="B43" s="47" t="s">
        <v>1401</v>
      </c>
      <c r="C43" s="48" t="s">
        <v>881</v>
      </c>
      <c r="D43" s="49"/>
      <c r="E43" s="49"/>
      <c r="F43" s="49">
        <v>8160675600</v>
      </c>
      <c r="G43" s="49">
        <f t="shared" si="5"/>
        <v>1.21</v>
      </c>
      <c r="H43" s="49">
        <v>4351200000</v>
      </c>
      <c r="I43" s="49">
        <v>0</v>
      </c>
      <c r="J43" s="49"/>
      <c r="K43" s="49"/>
      <c r="L43" s="49"/>
      <c r="M43" s="49" t="e">
        <f t="shared" si="6"/>
        <v>#DIV/0!</v>
      </c>
      <c r="N43" s="49">
        <f t="shared" si="7"/>
        <v>6744360000</v>
      </c>
      <c r="O43" s="49">
        <f t="shared" si="8"/>
        <v>1.55</v>
      </c>
      <c r="P43" s="49"/>
      <c r="Q43" s="49"/>
      <c r="R43" s="49"/>
      <c r="S43" s="50"/>
    </row>
    <row r="44" spans="1:19" ht="89.25" customHeight="1">
      <c r="A44" s="40" t="s">
        <v>1402</v>
      </c>
      <c r="B44" s="41" t="s">
        <v>1403</v>
      </c>
      <c r="C44" s="42" t="s">
        <v>881</v>
      </c>
      <c r="D44" s="43"/>
      <c r="E44" s="43"/>
      <c r="F44" s="43">
        <v>10059338025</v>
      </c>
      <c r="G44" s="43">
        <f t="shared" si="5"/>
        <v>1.21</v>
      </c>
      <c r="H44" s="43">
        <v>5363550000</v>
      </c>
      <c r="I44" s="43">
        <v>0</v>
      </c>
      <c r="J44" s="43"/>
      <c r="K44" s="43"/>
      <c r="L44" s="43"/>
      <c r="M44" s="43" t="e">
        <f t="shared" si="6"/>
        <v>#DIV/0!</v>
      </c>
      <c r="N44" s="43">
        <f t="shared" si="7"/>
        <v>8313502500</v>
      </c>
      <c r="O44" s="43">
        <f t="shared" si="8"/>
        <v>1.55</v>
      </c>
      <c r="P44" s="43"/>
      <c r="Q44" s="43"/>
      <c r="R44" s="43"/>
      <c r="S44" s="44"/>
    </row>
    <row r="45" spans="1:19" ht="63.75" customHeight="1">
      <c r="A45" s="46" t="s">
        <v>1404</v>
      </c>
      <c r="B45" s="47" t="s">
        <v>1405</v>
      </c>
      <c r="C45" s="48" t="s">
        <v>881</v>
      </c>
      <c r="D45" s="49"/>
      <c r="E45" s="49"/>
      <c r="F45" s="49">
        <v>11739129600</v>
      </c>
      <c r="G45" s="49">
        <f t="shared" si="5"/>
        <v>1.21</v>
      </c>
      <c r="H45" s="49">
        <v>6259200000</v>
      </c>
      <c r="I45" s="49">
        <v>0</v>
      </c>
      <c r="J45" s="49"/>
      <c r="K45" s="49"/>
      <c r="L45" s="49"/>
      <c r="M45" s="49" t="e">
        <f t="shared" si="6"/>
        <v>#DIV/0!</v>
      </c>
      <c r="N45" s="49">
        <f t="shared" si="7"/>
        <v>9701760000</v>
      </c>
      <c r="O45" s="49">
        <f t="shared" si="8"/>
        <v>1.55</v>
      </c>
      <c r="P45" s="49"/>
      <c r="Q45" s="49"/>
      <c r="R45" s="49"/>
      <c r="S45" s="50"/>
    </row>
    <row r="46" spans="1:19" ht="63.75" customHeight="1">
      <c r="A46" s="40" t="s">
        <v>1406</v>
      </c>
      <c r="B46" s="41" t="s">
        <v>1407</v>
      </c>
      <c r="C46" s="42" t="s">
        <v>881</v>
      </c>
      <c r="D46" s="43"/>
      <c r="E46" s="43"/>
      <c r="F46" s="43">
        <v>13674645600</v>
      </c>
      <c r="G46" s="43">
        <f t="shared" si="5"/>
        <v>1.21</v>
      </c>
      <c r="H46" s="43">
        <v>7291200000</v>
      </c>
      <c r="I46" s="43">
        <v>0</v>
      </c>
      <c r="J46" s="43"/>
      <c r="K46" s="43"/>
      <c r="L46" s="43"/>
      <c r="M46" s="43" t="e">
        <f t="shared" si="6"/>
        <v>#DIV/0!</v>
      </c>
      <c r="N46" s="43">
        <f t="shared" si="7"/>
        <v>11301360000</v>
      </c>
      <c r="O46" s="43">
        <f t="shared" si="8"/>
        <v>1.55</v>
      </c>
      <c r="P46" s="43"/>
      <c r="Q46" s="43"/>
      <c r="R46" s="43"/>
      <c r="S46" s="44"/>
    </row>
    <row r="47" spans="1:19" ht="89.25" customHeight="1">
      <c r="A47" s="46" t="s">
        <v>1408</v>
      </c>
      <c r="B47" s="47" t="s">
        <v>1409</v>
      </c>
      <c r="C47" s="48" t="s">
        <v>881</v>
      </c>
      <c r="D47" s="49"/>
      <c r="E47" s="49"/>
      <c r="F47" s="49">
        <f t="shared" ref="F47:F78" si="9">N47*1.21</f>
        <v>15556428525</v>
      </c>
      <c r="G47" s="49">
        <f t="shared" si="5"/>
        <v>1.21</v>
      </c>
      <c r="H47" s="49">
        <v>8294550000</v>
      </c>
      <c r="I47" s="49">
        <v>0</v>
      </c>
      <c r="J47" s="49"/>
      <c r="K47" s="49"/>
      <c r="L47" s="49"/>
      <c r="M47" s="49" t="e">
        <f t="shared" si="6"/>
        <v>#DIV/0!</v>
      </c>
      <c r="N47" s="49">
        <f t="shared" si="7"/>
        <v>12856552500</v>
      </c>
      <c r="O47" s="49">
        <f t="shared" si="8"/>
        <v>1.55</v>
      </c>
      <c r="P47" s="49"/>
      <c r="Q47" s="49"/>
      <c r="R47" s="49"/>
      <c r="S47" s="50"/>
    </row>
    <row r="48" spans="1:19" ht="89.25" customHeight="1">
      <c r="A48" s="40" t="s">
        <v>1410</v>
      </c>
      <c r="B48" s="41" t="s">
        <v>1411</v>
      </c>
      <c r="C48" s="42" t="s">
        <v>881</v>
      </c>
      <c r="D48" s="43"/>
      <c r="E48" s="43"/>
      <c r="F48" s="43">
        <f t="shared" si="9"/>
        <v>17328494700</v>
      </c>
      <c r="G48" s="43">
        <f t="shared" si="5"/>
        <v>1.21</v>
      </c>
      <c r="H48" s="43">
        <v>9239400000</v>
      </c>
      <c r="I48" s="43">
        <v>0</v>
      </c>
      <c r="J48" s="43"/>
      <c r="K48" s="43"/>
      <c r="L48" s="43"/>
      <c r="M48" s="43" t="e">
        <f t="shared" si="6"/>
        <v>#DIV/0!</v>
      </c>
      <c r="N48" s="43">
        <f t="shared" si="7"/>
        <v>14321070000</v>
      </c>
      <c r="O48" s="43">
        <f t="shared" si="8"/>
        <v>1.55</v>
      </c>
      <c r="P48" s="43"/>
      <c r="Q48" s="43"/>
      <c r="R48" s="43"/>
      <c r="S48" s="44"/>
    </row>
    <row r="49" spans="1:19" ht="89.25" customHeight="1">
      <c r="A49" s="46" t="s">
        <v>1412</v>
      </c>
      <c r="B49" s="47" t="s">
        <v>1413</v>
      </c>
      <c r="C49" s="48" t="s">
        <v>881</v>
      </c>
      <c r="D49" s="49"/>
      <c r="E49" s="49"/>
      <c r="F49" s="49">
        <f t="shared" si="9"/>
        <v>19155981900</v>
      </c>
      <c r="G49" s="49">
        <f t="shared" si="5"/>
        <v>1.21</v>
      </c>
      <c r="H49" s="49">
        <v>10213800000</v>
      </c>
      <c r="I49" s="49">
        <v>0</v>
      </c>
      <c r="J49" s="49"/>
      <c r="K49" s="49"/>
      <c r="L49" s="49"/>
      <c r="M49" s="49" t="e">
        <f t="shared" si="6"/>
        <v>#DIV/0!</v>
      </c>
      <c r="N49" s="49">
        <f t="shared" si="7"/>
        <v>15831390000</v>
      </c>
      <c r="O49" s="49">
        <f t="shared" si="8"/>
        <v>1.55</v>
      </c>
      <c r="P49" s="49"/>
      <c r="Q49" s="49"/>
      <c r="R49" s="49"/>
      <c r="S49" s="50"/>
    </row>
    <row r="50" spans="1:19" ht="89.25" customHeight="1">
      <c r="A50" s="40" t="s">
        <v>1414</v>
      </c>
      <c r="B50" s="41" t="s">
        <v>1415</v>
      </c>
      <c r="C50" s="42" t="s">
        <v>881</v>
      </c>
      <c r="D50" s="43"/>
      <c r="E50" s="43"/>
      <c r="F50" s="43">
        <f t="shared" si="9"/>
        <v>20320104750</v>
      </c>
      <c r="G50" s="43">
        <f t="shared" si="5"/>
        <v>1.21</v>
      </c>
      <c r="H50" s="43">
        <v>10834500000</v>
      </c>
      <c r="I50" s="43">
        <v>0</v>
      </c>
      <c r="J50" s="43"/>
      <c r="K50" s="43"/>
      <c r="L50" s="43"/>
      <c r="M50" s="43" t="e">
        <f t="shared" si="6"/>
        <v>#DIV/0!</v>
      </c>
      <c r="N50" s="43">
        <f t="shared" si="7"/>
        <v>16793475000</v>
      </c>
      <c r="O50" s="43">
        <f t="shared" si="8"/>
        <v>1.55</v>
      </c>
      <c r="P50" s="43"/>
      <c r="Q50" s="43"/>
      <c r="R50" s="43"/>
      <c r="S50" s="44"/>
    </row>
    <row r="51" spans="1:19" ht="89.25" customHeight="1">
      <c r="A51" s="46" t="s">
        <v>1416</v>
      </c>
      <c r="B51" s="47" t="s">
        <v>1417</v>
      </c>
      <c r="C51" s="48"/>
      <c r="D51" s="49"/>
      <c r="E51" s="49"/>
      <c r="F51" s="49">
        <f t="shared" si="9"/>
        <v>8737673175</v>
      </c>
      <c r="G51" s="49">
        <f t="shared" si="5"/>
        <v>1.21</v>
      </c>
      <c r="H51" s="49">
        <v>4658850000</v>
      </c>
      <c r="I51" s="49">
        <v>0</v>
      </c>
      <c r="J51" s="49"/>
      <c r="K51" s="49"/>
      <c r="L51" s="49"/>
      <c r="M51" s="49" t="e">
        <f t="shared" si="6"/>
        <v>#DIV/0!</v>
      </c>
      <c r="N51" s="49">
        <f t="shared" si="7"/>
        <v>7221217500</v>
      </c>
      <c r="O51" s="49">
        <f t="shared" si="8"/>
        <v>1.55</v>
      </c>
      <c r="P51" s="49"/>
      <c r="Q51" s="49"/>
      <c r="R51" s="49"/>
      <c r="S51" s="50"/>
    </row>
    <row r="52" spans="1:19" ht="89.25" customHeight="1">
      <c r="A52" s="40" t="s">
        <v>1418</v>
      </c>
      <c r="B52" s="41" t="s">
        <v>1419</v>
      </c>
      <c r="C52" s="42"/>
      <c r="D52" s="43"/>
      <c r="E52" s="43"/>
      <c r="F52" s="43">
        <f t="shared" si="9"/>
        <v>10867022100</v>
      </c>
      <c r="G52" s="43">
        <f t="shared" si="5"/>
        <v>1.21</v>
      </c>
      <c r="H52" s="43">
        <v>5794200000</v>
      </c>
      <c r="I52" s="43">
        <v>0</v>
      </c>
      <c r="J52" s="43"/>
      <c r="K52" s="43"/>
      <c r="L52" s="43"/>
      <c r="M52" s="43" t="e">
        <f t="shared" si="6"/>
        <v>#DIV/0!</v>
      </c>
      <c r="N52" s="43">
        <f t="shared" si="7"/>
        <v>8981010000</v>
      </c>
      <c r="O52" s="43">
        <f t="shared" si="8"/>
        <v>1.55</v>
      </c>
      <c r="P52" s="43"/>
      <c r="Q52" s="43"/>
      <c r="R52" s="43"/>
      <c r="S52" s="44"/>
    </row>
    <row r="53" spans="1:19" ht="89.25" customHeight="1">
      <c r="A53" s="46" t="s">
        <v>1420</v>
      </c>
      <c r="B53" s="47" t="s">
        <v>1421</v>
      </c>
      <c r="C53" s="48"/>
      <c r="D53" s="49"/>
      <c r="E53" s="49"/>
      <c r="F53" s="49">
        <f t="shared" si="9"/>
        <v>13155460312.5</v>
      </c>
      <c r="G53" s="49">
        <f t="shared" si="5"/>
        <v>1.21</v>
      </c>
      <c r="H53" s="49">
        <v>7014375000</v>
      </c>
      <c r="I53" s="49">
        <v>0</v>
      </c>
      <c r="J53" s="49"/>
      <c r="K53" s="49"/>
      <c r="L53" s="49"/>
      <c r="M53" s="49" t="e">
        <f t="shared" si="6"/>
        <v>#DIV/0!</v>
      </c>
      <c r="N53" s="49">
        <f t="shared" si="7"/>
        <v>10872281250</v>
      </c>
      <c r="O53" s="49">
        <f t="shared" si="8"/>
        <v>1.55</v>
      </c>
      <c r="P53" s="49"/>
      <c r="Q53" s="49"/>
      <c r="R53" s="49"/>
      <c r="S53" s="50"/>
    </row>
    <row r="54" spans="1:19" ht="89.25" customHeight="1">
      <c r="A54" s="40" t="s">
        <v>1422</v>
      </c>
      <c r="B54" s="41" t="s">
        <v>1423</v>
      </c>
      <c r="C54" s="42"/>
      <c r="D54" s="43"/>
      <c r="E54" s="43"/>
      <c r="F54" s="43">
        <f t="shared" si="9"/>
        <v>15419423250</v>
      </c>
      <c r="G54" s="43">
        <f t="shared" si="5"/>
        <v>1.21</v>
      </c>
      <c r="H54" s="43">
        <v>8221500000</v>
      </c>
      <c r="I54" s="43">
        <v>0</v>
      </c>
      <c r="J54" s="43"/>
      <c r="K54" s="43"/>
      <c r="L54" s="43"/>
      <c r="M54" s="43" t="e">
        <f t="shared" si="6"/>
        <v>#DIV/0!</v>
      </c>
      <c r="N54" s="43">
        <f t="shared" si="7"/>
        <v>12743325000</v>
      </c>
      <c r="O54" s="43">
        <f t="shared" si="8"/>
        <v>1.55</v>
      </c>
      <c r="P54" s="43"/>
      <c r="Q54" s="43"/>
      <c r="R54" s="43"/>
      <c r="S54" s="44"/>
    </row>
    <row r="55" spans="1:19" ht="89.25" customHeight="1">
      <c r="A55" s="46" t="s">
        <v>1424</v>
      </c>
      <c r="B55" s="47" t="s">
        <v>1425</v>
      </c>
      <c r="C55" s="48"/>
      <c r="D55" s="49"/>
      <c r="E55" s="49"/>
      <c r="F55" s="49">
        <f t="shared" si="9"/>
        <v>17732336737.5</v>
      </c>
      <c r="G55" s="49">
        <f t="shared" si="5"/>
        <v>1.21</v>
      </c>
      <c r="H55" s="49">
        <v>9454725000</v>
      </c>
      <c r="I55" s="49">
        <v>0</v>
      </c>
      <c r="J55" s="49"/>
      <c r="K55" s="49"/>
      <c r="L55" s="49"/>
      <c r="M55" s="49" t="e">
        <f t="shared" si="6"/>
        <v>#DIV/0!</v>
      </c>
      <c r="N55" s="49">
        <f t="shared" si="7"/>
        <v>14654823750</v>
      </c>
      <c r="O55" s="49">
        <f t="shared" si="8"/>
        <v>1.55</v>
      </c>
      <c r="P55" s="49"/>
      <c r="Q55" s="49"/>
      <c r="R55" s="49"/>
      <c r="S55" s="50"/>
    </row>
    <row r="56" spans="1:19" ht="89.25" customHeight="1">
      <c r="A56" s="40" t="s">
        <v>1426</v>
      </c>
      <c r="B56" s="41" t="s">
        <v>1427</v>
      </c>
      <c r="C56" s="42"/>
      <c r="D56" s="43"/>
      <c r="E56" s="43"/>
      <c r="F56" s="43">
        <f t="shared" si="9"/>
        <v>20030565060</v>
      </c>
      <c r="G56" s="43">
        <f t="shared" si="5"/>
        <v>1.21</v>
      </c>
      <c r="H56" s="43">
        <v>10680120000</v>
      </c>
      <c r="I56" s="43">
        <v>0</v>
      </c>
      <c r="J56" s="43"/>
      <c r="K56" s="43"/>
      <c r="L56" s="43"/>
      <c r="M56" s="43" t="e">
        <f t="shared" si="6"/>
        <v>#DIV/0!</v>
      </c>
      <c r="N56" s="43">
        <f t="shared" si="7"/>
        <v>16554186000</v>
      </c>
      <c r="O56" s="43">
        <f t="shared" si="8"/>
        <v>1.55</v>
      </c>
      <c r="P56" s="43"/>
      <c r="Q56" s="43"/>
      <c r="R56" s="43"/>
      <c r="S56" s="44"/>
    </row>
    <row r="57" spans="1:19" ht="89.25" customHeight="1">
      <c r="A57" s="46" t="s">
        <v>1428</v>
      </c>
      <c r="B57" s="47" t="s">
        <v>1429</v>
      </c>
      <c r="C57" s="48"/>
      <c r="D57" s="49"/>
      <c r="E57" s="49"/>
      <c r="F57" s="49">
        <f t="shared" si="9"/>
        <v>22468302450</v>
      </c>
      <c r="G57" s="49">
        <f t="shared" si="5"/>
        <v>1.21</v>
      </c>
      <c r="H57" s="49">
        <v>11979900000</v>
      </c>
      <c r="I57" s="49">
        <v>0</v>
      </c>
      <c r="J57" s="49"/>
      <c r="K57" s="49"/>
      <c r="L57" s="49"/>
      <c r="M57" s="49" t="e">
        <f t="shared" si="6"/>
        <v>#DIV/0!</v>
      </c>
      <c r="N57" s="49">
        <f t="shared" si="7"/>
        <v>18568845000</v>
      </c>
      <c r="O57" s="49">
        <f t="shared" si="8"/>
        <v>1.55</v>
      </c>
      <c r="P57" s="49"/>
      <c r="Q57" s="49"/>
      <c r="R57" s="49"/>
      <c r="S57" s="50"/>
    </row>
    <row r="58" spans="1:19" ht="89.25" customHeight="1">
      <c r="A58" s="40" t="s">
        <v>1430</v>
      </c>
      <c r="B58" s="41" t="s">
        <v>1431</v>
      </c>
      <c r="C58" s="42"/>
      <c r="D58" s="43"/>
      <c r="E58" s="43"/>
      <c r="F58" s="43">
        <f t="shared" si="9"/>
        <v>25209533250</v>
      </c>
      <c r="G58" s="43">
        <f t="shared" si="5"/>
        <v>1.21</v>
      </c>
      <c r="H58" s="43">
        <v>13441500000</v>
      </c>
      <c r="I58" s="43">
        <v>0</v>
      </c>
      <c r="J58" s="43"/>
      <c r="K58" s="43"/>
      <c r="L58" s="43"/>
      <c r="M58" s="43" t="e">
        <f t="shared" si="6"/>
        <v>#DIV/0!</v>
      </c>
      <c r="N58" s="43">
        <f t="shared" si="7"/>
        <v>20834325000</v>
      </c>
      <c r="O58" s="43">
        <f t="shared" si="8"/>
        <v>1.55</v>
      </c>
      <c r="P58" s="43"/>
      <c r="Q58" s="43"/>
      <c r="R58" s="43"/>
      <c r="S58" s="44"/>
    </row>
    <row r="59" spans="1:19" ht="89.25" customHeight="1">
      <c r="A59" s="46" t="s">
        <v>1432</v>
      </c>
      <c r="B59" s="47" t="s">
        <v>1433</v>
      </c>
      <c r="C59" s="48"/>
      <c r="D59" s="49"/>
      <c r="E59" s="49"/>
      <c r="F59" s="49">
        <f t="shared" si="9"/>
        <v>9245746125</v>
      </c>
      <c r="G59" s="49">
        <f t="shared" si="5"/>
        <v>1.21</v>
      </c>
      <c r="H59" s="49">
        <v>4929750000</v>
      </c>
      <c r="I59" s="49">
        <v>0</v>
      </c>
      <c r="J59" s="49"/>
      <c r="K59" s="49"/>
      <c r="L59" s="49"/>
      <c r="M59" s="49" t="e">
        <f t="shared" si="6"/>
        <v>#DIV/0!</v>
      </c>
      <c r="N59" s="49">
        <f t="shared" si="7"/>
        <v>7641112500</v>
      </c>
      <c r="O59" s="49">
        <f t="shared" si="8"/>
        <v>1.55</v>
      </c>
      <c r="P59" s="49"/>
      <c r="Q59" s="49"/>
      <c r="R59" s="49"/>
      <c r="S59" s="50"/>
    </row>
    <row r="60" spans="1:19" ht="89.25" customHeight="1">
      <c r="A60" s="40" t="s">
        <v>1434</v>
      </c>
      <c r="B60" s="41" t="s">
        <v>1435</v>
      </c>
      <c r="C60" s="42"/>
      <c r="D60" s="43"/>
      <c r="E60" s="43"/>
      <c r="F60" s="43">
        <f t="shared" si="9"/>
        <v>12229760400</v>
      </c>
      <c r="G60" s="43">
        <f t="shared" si="5"/>
        <v>1.21</v>
      </c>
      <c r="H60" s="43">
        <v>6520800000</v>
      </c>
      <c r="I60" s="43">
        <v>0</v>
      </c>
      <c r="J60" s="43"/>
      <c r="K60" s="43"/>
      <c r="L60" s="43"/>
      <c r="M60" s="43" t="e">
        <f t="shared" si="6"/>
        <v>#DIV/0!</v>
      </c>
      <c r="N60" s="43">
        <f t="shared" si="7"/>
        <v>10107240000</v>
      </c>
      <c r="O60" s="43">
        <f t="shared" si="8"/>
        <v>1.55</v>
      </c>
      <c r="P60" s="43"/>
      <c r="Q60" s="43"/>
      <c r="R60" s="43"/>
      <c r="S60" s="44"/>
    </row>
    <row r="61" spans="1:19" ht="89.25" customHeight="1">
      <c r="A61" s="46" t="s">
        <v>1436</v>
      </c>
      <c r="B61" s="47" t="s">
        <v>1437</v>
      </c>
      <c r="C61" s="48"/>
      <c r="D61" s="49"/>
      <c r="E61" s="49"/>
      <c r="F61" s="49">
        <f t="shared" si="9"/>
        <v>15125719950</v>
      </c>
      <c r="G61" s="49">
        <f t="shared" si="5"/>
        <v>1.21</v>
      </c>
      <c r="H61" s="49">
        <v>8064900000</v>
      </c>
      <c r="I61" s="49">
        <v>0</v>
      </c>
      <c r="J61" s="49"/>
      <c r="K61" s="49"/>
      <c r="L61" s="49"/>
      <c r="M61" s="49" t="e">
        <f t="shared" si="6"/>
        <v>#DIV/0!</v>
      </c>
      <c r="N61" s="49">
        <f t="shared" si="7"/>
        <v>12500595000</v>
      </c>
      <c r="O61" s="49">
        <f t="shared" si="8"/>
        <v>1.55</v>
      </c>
      <c r="P61" s="49"/>
      <c r="Q61" s="49"/>
      <c r="R61" s="49"/>
      <c r="S61" s="50"/>
    </row>
    <row r="62" spans="1:19" ht="89.25" customHeight="1">
      <c r="A62" s="40" t="s">
        <v>1438</v>
      </c>
      <c r="B62" s="41" t="s">
        <v>1439</v>
      </c>
      <c r="C62" s="42"/>
      <c r="D62" s="43"/>
      <c r="E62" s="43"/>
      <c r="F62" s="43">
        <f t="shared" si="9"/>
        <v>18044776282.5</v>
      </c>
      <c r="G62" s="43">
        <f t="shared" si="5"/>
        <v>1.21</v>
      </c>
      <c r="H62" s="43">
        <v>9621315000</v>
      </c>
      <c r="I62" s="43">
        <v>0</v>
      </c>
      <c r="J62" s="43"/>
      <c r="K62" s="43"/>
      <c r="L62" s="43"/>
      <c r="M62" s="43" t="e">
        <f t="shared" si="6"/>
        <v>#DIV/0!</v>
      </c>
      <c r="N62" s="43">
        <f t="shared" si="7"/>
        <v>14913038250</v>
      </c>
      <c r="O62" s="43">
        <f t="shared" si="8"/>
        <v>1.55</v>
      </c>
      <c r="P62" s="43"/>
      <c r="Q62" s="43"/>
      <c r="R62" s="43"/>
      <c r="S62" s="44"/>
    </row>
    <row r="63" spans="1:19" ht="89.25" customHeight="1">
      <c r="A63" s="46" t="s">
        <v>1440</v>
      </c>
      <c r="B63" s="47" t="s">
        <v>1441</v>
      </c>
      <c r="C63" s="48"/>
      <c r="D63" s="49"/>
      <c r="E63" s="49"/>
      <c r="F63" s="49">
        <f t="shared" si="9"/>
        <v>21181803225</v>
      </c>
      <c r="G63" s="49">
        <f t="shared" si="5"/>
        <v>1.21</v>
      </c>
      <c r="H63" s="49">
        <v>11293950000</v>
      </c>
      <c r="I63" s="49">
        <v>0</v>
      </c>
      <c r="J63" s="49"/>
      <c r="K63" s="49"/>
      <c r="L63" s="49"/>
      <c r="M63" s="49" t="e">
        <f t="shared" si="6"/>
        <v>#DIV/0!</v>
      </c>
      <c r="N63" s="49">
        <f t="shared" si="7"/>
        <v>17505622500</v>
      </c>
      <c r="O63" s="49">
        <f t="shared" si="8"/>
        <v>1.55</v>
      </c>
      <c r="P63" s="49"/>
      <c r="Q63" s="49"/>
      <c r="R63" s="49"/>
      <c r="S63" s="50"/>
    </row>
    <row r="64" spans="1:19" ht="89.25" customHeight="1">
      <c r="A64" s="40" t="s">
        <v>1442</v>
      </c>
      <c r="B64" s="41" t="s">
        <v>1443</v>
      </c>
      <c r="C64" s="42"/>
      <c r="D64" s="43"/>
      <c r="E64" s="43"/>
      <c r="F64" s="43">
        <f t="shared" si="9"/>
        <v>24359791087.5</v>
      </c>
      <c r="G64" s="43">
        <f t="shared" si="5"/>
        <v>1.21</v>
      </c>
      <c r="H64" s="43">
        <v>12988425000</v>
      </c>
      <c r="I64" s="43">
        <v>0</v>
      </c>
      <c r="J64" s="43"/>
      <c r="K64" s="43"/>
      <c r="L64" s="43"/>
      <c r="M64" s="43" t="e">
        <f t="shared" si="6"/>
        <v>#DIV/0!</v>
      </c>
      <c r="N64" s="43">
        <f t="shared" si="7"/>
        <v>20132058750</v>
      </c>
      <c r="O64" s="43">
        <f t="shared" si="8"/>
        <v>1.55</v>
      </c>
      <c r="P64" s="43"/>
      <c r="Q64" s="43"/>
      <c r="R64" s="43"/>
      <c r="S64" s="44"/>
    </row>
    <row r="65" spans="1:19" ht="89.25" customHeight="1">
      <c r="A65" s="46" t="s">
        <v>1444</v>
      </c>
      <c r="B65" s="47" t="s">
        <v>1445</v>
      </c>
      <c r="C65" s="48"/>
      <c r="D65" s="49"/>
      <c r="E65" s="49"/>
      <c r="F65" s="49">
        <f t="shared" si="9"/>
        <v>27502332000</v>
      </c>
      <c r="G65" s="49">
        <f t="shared" si="5"/>
        <v>1.21</v>
      </c>
      <c r="H65" s="49">
        <v>14664000000</v>
      </c>
      <c r="I65" s="49">
        <v>0</v>
      </c>
      <c r="J65" s="49"/>
      <c r="K65" s="49"/>
      <c r="L65" s="49"/>
      <c r="M65" s="49" t="e">
        <f t="shared" si="6"/>
        <v>#DIV/0!</v>
      </c>
      <c r="N65" s="49">
        <f t="shared" si="7"/>
        <v>22729200000</v>
      </c>
      <c r="O65" s="49">
        <f t="shared" si="8"/>
        <v>1.55</v>
      </c>
      <c r="P65" s="49"/>
      <c r="Q65" s="49"/>
      <c r="R65" s="49"/>
      <c r="S65" s="50"/>
    </row>
    <row r="66" spans="1:19" ht="89.25" customHeight="1">
      <c r="A66" s="40" t="s">
        <v>1446</v>
      </c>
      <c r="B66" s="41" t="s">
        <v>1447</v>
      </c>
      <c r="C66" s="42"/>
      <c r="D66" s="43"/>
      <c r="E66" s="43"/>
      <c r="F66" s="43">
        <f t="shared" si="9"/>
        <v>31719956400</v>
      </c>
      <c r="G66" s="43">
        <f t="shared" si="5"/>
        <v>1.21</v>
      </c>
      <c r="H66" s="43">
        <v>16912800000</v>
      </c>
      <c r="I66" s="43">
        <v>0</v>
      </c>
      <c r="J66" s="43"/>
      <c r="K66" s="43"/>
      <c r="L66" s="43"/>
      <c r="M66" s="43" t="e">
        <f t="shared" si="6"/>
        <v>#DIV/0!</v>
      </c>
      <c r="N66" s="43">
        <f t="shared" si="7"/>
        <v>26214840000</v>
      </c>
      <c r="O66" s="43">
        <f t="shared" si="8"/>
        <v>1.55</v>
      </c>
      <c r="P66" s="43"/>
      <c r="Q66" s="43"/>
      <c r="R66" s="43"/>
      <c r="S66" s="44"/>
    </row>
    <row r="67" spans="1:19" ht="89.25" customHeight="1">
      <c r="A67" s="46" t="s">
        <v>1448</v>
      </c>
      <c r="B67" s="47" t="s">
        <v>1449</v>
      </c>
      <c r="C67" s="48"/>
      <c r="D67" s="49"/>
      <c r="E67" s="49"/>
      <c r="F67" s="49">
        <f t="shared" si="9"/>
        <v>10127700000</v>
      </c>
      <c r="G67" s="49">
        <f t="shared" ref="G67:G98" si="10">F67/N67</f>
        <v>1.21</v>
      </c>
      <c r="H67" s="49">
        <v>5400000000</v>
      </c>
      <c r="I67" s="49">
        <v>0</v>
      </c>
      <c r="J67" s="49"/>
      <c r="K67" s="49"/>
      <c r="L67" s="49"/>
      <c r="M67" s="49" t="e">
        <f t="shared" ref="M67:M98" si="11">L67/I67-1</f>
        <v>#DIV/0!</v>
      </c>
      <c r="N67" s="49">
        <f t="shared" ref="N67:N98" si="12">H67*1.55</f>
        <v>8370000000</v>
      </c>
      <c r="O67" s="49">
        <f t="shared" ref="O67:O98" si="13">N67/H67</f>
        <v>1.55</v>
      </c>
      <c r="P67" s="49"/>
      <c r="Q67" s="49"/>
      <c r="R67" s="49"/>
      <c r="S67" s="50"/>
    </row>
    <row r="68" spans="1:19" ht="89.25" customHeight="1">
      <c r="A68" s="40" t="s">
        <v>1450</v>
      </c>
      <c r="B68" s="41" t="s">
        <v>1451</v>
      </c>
      <c r="C68" s="42"/>
      <c r="D68" s="43"/>
      <c r="E68" s="43"/>
      <c r="F68" s="43">
        <f t="shared" si="9"/>
        <v>13503600000</v>
      </c>
      <c r="G68" s="43">
        <f t="shared" si="10"/>
        <v>1.21</v>
      </c>
      <c r="H68" s="43">
        <v>7200000000</v>
      </c>
      <c r="I68" s="43">
        <v>0</v>
      </c>
      <c r="J68" s="43"/>
      <c r="K68" s="43"/>
      <c r="L68" s="43"/>
      <c r="M68" s="43" t="e">
        <f t="shared" si="11"/>
        <v>#DIV/0!</v>
      </c>
      <c r="N68" s="43">
        <f t="shared" si="12"/>
        <v>11160000000</v>
      </c>
      <c r="O68" s="43">
        <f t="shared" si="13"/>
        <v>1.55</v>
      </c>
      <c r="P68" s="43"/>
      <c r="Q68" s="43"/>
      <c r="R68" s="43"/>
      <c r="S68" s="44"/>
    </row>
    <row r="69" spans="1:19" ht="89.25" customHeight="1">
      <c r="A69" s="46" t="s">
        <v>1452</v>
      </c>
      <c r="B69" s="47" t="s">
        <v>1453</v>
      </c>
      <c r="C69" s="48"/>
      <c r="D69" s="49"/>
      <c r="E69" s="49"/>
      <c r="F69" s="49">
        <f t="shared" si="9"/>
        <v>16879500000</v>
      </c>
      <c r="G69" s="49">
        <f t="shared" si="10"/>
        <v>1.21</v>
      </c>
      <c r="H69" s="49">
        <v>9000000000</v>
      </c>
      <c r="I69" s="49">
        <v>0</v>
      </c>
      <c r="J69" s="49"/>
      <c r="K69" s="49"/>
      <c r="L69" s="49"/>
      <c r="M69" s="49" t="e">
        <f t="shared" si="11"/>
        <v>#DIV/0!</v>
      </c>
      <c r="N69" s="49">
        <f t="shared" si="12"/>
        <v>13950000000</v>
      </c>
      <c r="O69" s="49">
        <f t="shared" si="13"/>
        <v>1.55</v>
      </c>
      <c r="P69" s="49"/>
      <c r="Q69" s="49"/>
      <c r="R69" s="49"/>
      <c r="S69" s="50"/>
    </row>
    <row r="70" spans="1:19" ht="89.25" customHeight="1">
      <c r="A70" s="40" t="s">
        <v>1454</v>
      </c>
      <c r="B70" s="41" t="s">
        <v>1455</v>
      </c>
      <c r="C70" s="42"/>
      <c r="D70" s="43"/>
      <c r="E70" s="43"/>
      <c r="F70" s="43">
        <f t="shared" si="9"/>
        <v>20283532500</v>
      </c>
      <c r="G70" s="43">
        <f t="shared" si="10"/>
        <v>1.21</v>
      </c>
      <c r="H70" s="43">
        <v>10815000000</v>
      </c>
      <c r="I70" s="43">
        <v>0</v>
      </c>
      <c r="J70" s="43"/>
      <c r="K70" s="43"/>
      <c r="L70" s="43"/>
      <c r="M70" s="43" t="e">
        <f t="shared" si="11"/>
        <v>#DIV/0!</v>
      </c>
      <c r="N70" s="43">
        <f t="shared" si="12"/>
        <v>16763250000</v>
      </c>
      <c r="O70" s="43">
        <f t="shared" si="13"/>
        <v>1.55</v>
      </c>
      <c r="P70" s="43"/>
      <c r="Q70" s="43"/>
      <c r="R70" s="43"/>
      <c r="S70" s="44"/>
    </row>
    <row r="71" spans="1:19" ht="89.25" customHeight="1">
      <c r="A71" s="46" t="s">
        <v>1456</v>
      </c>
      <c r="B71" s="47" t="s">
        <v>1457</v>
      </c>
      <c r="C71" s="48"/>
      <c r="D71" s="49"/>
      <c r="E71" s="49"/>
      <c r="F71" s="49">
        <f t="shared" si="9"/>
        <v>23659432500</v>
      </c>
      <c r="G71" s="49">
        <f t="shared" si="10"/>
        <v>1.21</v>
      </c>
      <c r="H71" s="49">
        <v>12615000000</v>
      </c>
      <c r="I71" s="49">
        <v>0</v>
      </c>
      <c r="J71" s="49"/>
      <c r="K71" s="49"/>
      <c r="L71" s="49"/>
      <c r="M71" s="49" t="e">
        <f t="shared" si="11"/>
        <v>#DIV/0!</v>
      </c>
      <c r="N71" s="49">
        <f t="shared" si="12"/>
        <v>19553250000</v>
      </c>
      <c r="O71" s="49">
        <f t="shared" si="13"/>
        <v>1.55</v>
      </c>
      <c r="P71" s="49"/>
      <c r="Q71" s="49"/>
      <c r="R71" s="49"/>
      <c r="S71" s="50"/>
    </row>
    <row r="72" spans="1:19" ht="89.25" customHeight="1">
      <c r="A72" s="40" t="s">
        <v>1458</v>
      </c>
      <c r="B72" s="41" t="s">
        <v>1459</v>
      </c>
      <c r="C72" s="42"/>
      <c r="D72" s="43"/>
      <c r="E72" s="43"/>
      <c r="F72" s="43">
        <f t="shared" si="9"/>
        <v>27035332500</v>
      </c>
      <c r="G72" s="43">
        <f t="shared" si="10"/>
        <v>1.21</v>
      </c>
      <c r="H72" s="43">
        <v>14415000000</v>
      </c>
      <c r="I72" s="43">
        <v>0</v>
      </c>
      <c r="J72" s="43"/>
      <c r="K72" s="43"/>
      <c r="L72" s="43"/>
      <c r="M72" s="43" t="e">
        <f t="shared" si="11"/>
        <v>#DIV/0!</v>
      </c>
      <c r="N72" s="43">
        <f t="shared" si="12"/>
        <v>22343250000</v>
      </c>
      <c r="O72" s="43">
        <f t="shared" si="13"/>
        <v>1.55</v>
      </c>
      <c r="P72" s="43"/>
      <c r="Q72" s="43"/>
      <c r="R72" s="43"/>
      <c r="S72" s="44"/>
    </row>
    <row r="73" spans="1:19" ht="89.25" customHeight="1">
      <c r="A73" s="46" t="s">
        <v>1460</v>
      </c>
      <c r="B73" s="47" t="s">
        <v>1461</v>
      </c>
      <c r="C73" s="48"/>
      <c r="D73" s="49"/>
      <c r="E73" s="49"/>
      <c r="F73" s="49">
        <f t="shared" si="9"/>
        <v>30411232500</v>
      </c>
      <c r="G73" s="49">
        <f t="shared" si="10"/>
        <v>1.21</v>
      </c>
      <c r="H73" s="49">
        <v>16215000000</v>
      </c>
      <c r="I73" s="49">
        <v>0</v>
      </c>
      <c r="J73" s="49"/>
      <c r="K73" s="49"/>
      <c r="L73" s="49"/>
      <c r="M73" s="49" t="e">
        <f t="shared" si="11"/>
        <v>#DIV/0!</v>
      </c>
      <c r="N73" s="49">
        <f t="shared" si="12"/>
        <v>25133250000</v>
      </c>
      <c r="O73" s="49">
        <f t="shared" si="13"/>
        <v>1.55</v>
      </c>
      <c r="P73" s="49"/>
      <c r="Q73" s="49"/>
      <c r="R73" s="49"/>
      <c r="S73" s="50"/>
    </row>
    <row r="74" spans="1:19" ht="89.25" customHeight="1">
      <c r="A74" s="40" t="s">
        <v>1462</v>
      </c>
      <c r="B74" s="41" t="s">
        <v>1463</v>
      </c>
      <c r="C74" s="42"/>
      <c r="D74" s="43"/>
      <c r="E74" s="43"/>
      <c r="F74" s="43">
        <f t="shared" si="9"/>
        <v>33787132500</v>
      </c>
      <c r="G74" s="43">
        <f t="shared" si="10"/>
        <v>1.21</v>
      </c>
      <c r="H74" s="43">
        <v>18015000000</v>
      </c>
      <c r="I74" s="43">
        <v>0</v>
      </c>
      <c r="J74" s="43"/>
      <c r="K74" s="43"/>
      <c r="L74" s="43"/>
      <c r="M74" s="43" t="e">
        <f t="shared" si="11"/>
        <v>#DIV/0!</v>
      </c>
      <c r="N74" s="43">
        <f t="shared" si="12"/>
        <v>27923250000</v>
      </c>
      <c r="O74" s="43">
        <f t="shared" si="13"/>
        <v>1.55</v>
      </c>
      <c r="P74" s="43"/>
      <c r="Q74" s="43"/>
      <c r="R74" s="43"/>
      <c r="S74" s="44"/>
    </row>
    <row r="75" spans="1:19" ht="114.75" customHeight="1">
      <c r="A75" s="46" t="s">
        <v>1464</v>
      </c>
      <c r="B75" s="47" t="s">
        <v>1465</v>
      </c>
      <c r="C75" s="48"/>
      <c r="D75" s="49"/>
      <c r="E75" s="49"/>
      <c r="F75" s="49">
        <f t="shared" si="9"/>
        <v>7589848420</v>
      </c>
      <c r="G75" s="49">
        <f t="shared" si="10"/>
        <v>1.21</v>
      </c>
      <c r="H75" s="49">
        <v>4046840000</v>
      </c>
      <c r="I75" s="49">
        <v>0</v>
      </c>
      <c r="J75" s="49"/>
      <c r="K75" s="49"/>
      <c r="L75" s="49"/>
      <c r="M75" s="49" t="e">
        <f t="shared" si="11"/>
        <v>#DIV/0!</v>
      </c>
      <c r="N75" s="49">
        <f t="shared" si="12"/>
        <v>6272602000</v>
      </c>
      <c r="O75" s="49">
        <f t="shared" si="13"/>
        <v>1.55</v>
      </c>
      <c r="P75" s="49"/>
      <c r="Q75" s="49"/>
      <c r="R75" s="49"/>
      <c r="S75" s="50"/>
    </row>
    <row r="76" spans="1:19" ht="114.75" customHeight="1">
      <c r="A76" s="40" t="s">
        <v>1466</v>
      </c>
      <c r="B76" s="41" t="s">
        <v>1467</v>
      </c>
      <c r="C76" s="42"/>
      <c r="D76" s="43"/>
      <c r="E76" s="43"/>
      <c r="F76" s="43">
        <f t="shared" si="9"/>
        <v>9452782570</v>
      </c>
      <c r="G76" s="43">
        <f t="shared" si="10"/>
        <v>1.21</v>
      </c>
      <c r="H76" s="43">
        <v>5040140000</v>
      </c>
      <c r="I76" s="43">
        <v>0</v>
      </c>
      <c r="J76" s="43"/>
      <c r="K76" s="43"/>
      <c r="L76" s="43"/>
      <c r="M76" s="43" t="e">
        <f t="shared" si="11"/>
        <v>#DIV/0!</v>
      </c>
      <c r="N76" s="43">
        <f t="shared" si="12"/>
        <v>7812217000</v>
      </c>
      <c r="O76" s="43">
        <f t="shared" si="13"/>
        <v>1.55</v>
      </c>
      <c r="P76" s="43"/>
      <c r="Q76" s="43"/>
      <c r="R76" s="43"/>
      <c r="S76" s="44"/>
    </row>
    <row r="77" spans="1:19" ht="114.75" customHeight="1">
      <c r="A77" s="46" t="s">
        <v>1468</v>
      </c>
      <c r="B77" s="47" t="s">
        <v>1469</v>
      </c>
      <c r="C77" s="48"/>
      <c r="D77" s="49"/>
      <c r="E77" s="49"/>
      <c r="F77" s="49">
        <f t="shared" si="9"/>
        <v>11110124410</v>
      </c>
      <c r="G77" s="49">
        <f t="shared" si="10"/>
        <v>1.21</v>
      </c>
      <c r="H77" s="49">
        <v>5923820000</v>
      </c>
      <c r="I77" s="49">
        <v>0</v>
      </c>
      <c r="J77" s="49"/>
      <c r="K77" s="49"/>
      <c r="L77" s="49"/>
      <c r="M77" s="49" t="e">
        <f t="shared" si="11"/>
        <v>#DIV/0!</v>
      </c>
      <c r="N77" s="49">
        <f t="shared" si="12"/>
        <v>9181921000</v>
      </c>
      <c r="O77" s="49">
        <f t="shared" si="13"/>
        <v>1.55</v>
      </c>
      <c r="P77" s="49"/>
      <c r="Q77" s="49"/>
      <c r="R77" s="49"/>
      <c r="S77" s="50"/>
    </row>
    <row r="78" spans="1:19" ht="114.75" customHeight="1">
      <c r="A78" s="40" t="s">
        <v>1470</v>
      </c>
      <c r="B78" s="41" t="s">
        <v>1471</v>
      </c>
      <c r="C78" s="42"/>
      <c r="D78" s="43"/>
      <c r="E78" s="43"/>
      <c r="F78" s="43">
        <f t="shared" si="9"/>
        <v>12836522160</v>
      </c>
      <c r="G78" s="43">
        <f t="shared" si="10"/>
        <v>1.21</v>
      </c>
      <c r="H78" s="43">
        <v>6844320000</v>
      </c>
      <c r="I78" s="43">
        <v>0</v>
      </c>
      <c r="J78" s="43"/>
      <c r="K78" s="43"/>
      <c r="L78" s="43"/>
      <c r="M78" s="43" t="e">
        <f t="shared" si="11"/>
        <v>#DIV/0!</v>
      </c>
      <c r="N78" s="43">
        <f t="shared" si="12"/>
        <v>10608696000</v>
      </c>
      <c r="O78" s="43">
        <f t="shared" si="13"/>
        <v>1.55</v>
      </c>
      <c r="P78" s="43"/>
      <c r="Q78" s="43"/>
      <c r="R78" s="43"/>
      <c r="S78" s="44"/>
    </row>
    <row r="79" spans="1:19" ht="114.75" customHeight="1">
      <c r="A79" s="46" t="s">
        <v>1472</v>
      </c>
      <c r="B79" s="47" t="s">
        <v>1473</v>
      </c>
      <c r="C79" s="48"/>
      <c r="D79" s="49"/>
      <c r="E79" s="49"/>
      <c r="F79" s="49">
        <f t="shared" ref="F79:F114" si="14">N79*1.21</f>
        <v>14392249410</v>
      </c>
      <c r="G79" s="49">
        <f t="shared" si="10"/>
        <v>1.21</v>
      </c>
      <c r="H79" s="49">
        <v>7673820000</v>
      </c>
      <c r="I79" s="49">
        <v>0</v>
      </c>
      <c r="J79" s="49"/>
      <c r="K79" s="49"/>
      <c r="L79" s="49"/>
      <c r="M79" s="49" t="e">
        <f t="shared" si="11"/>
        <v>#DIV/0!</v>
      </c>
      <c r="N79" s="49">
        <f t="shared" si="12"/>
        <v>11894421000</v>
      </c>
      <c r="O79" s="49">
        <f t="shared" si="13"/>
        <v>1.55</v>
      </c>
      <c r="P79" s="49"/>
      <c r="Q79" s="49"/>
      <c r="R79" s="49"/>
      <c r="S79" s="50"/>
    </row>
    <row r="80" spans="1:19" ht="114.75" customHeight="1">
      <c r="A80" s="40" t="s">
        <v>1474</v>
      </c>
      <c r="B80" s="41" t="s">
        <v>1475</v>
      </c>
      <c r="C80" s="42"/>
      <c r="D80" s="43"/>
      <c r="E80" s="43"/>
      <c r="F80" s="43">
        <f t="shared" si="14"/>
        <v>16289842800</v>
      </c>
      <c r="G80" s="43">
        <f t="shared" si="10"/>
        <v>1.21</v>
      </c>
      <c r="H80" s="43">
        <v>8685600000</v>
      </c>
      <c r="I80" s="43">
        <v>0</v>
      </c>
      <c r="J80" s="43"/>
      <c r="K80" s="43"/>
      <c r="L80" s="43"/>
      <c r="M80" s="43" t="e">
        <f t="shared" si="11"/>
        <v>#DIV/0!</v>
      </c>
      <c r="N80" s="43">
        <f t="shared" si="12"/>
        <v>13462680000</v>
      </c>
      <c r="O80" s="43">
        <f t="shared" si="13"/>
        <v>1.55</v>
      </c>
      <c r="P80" s="43"/>
      <c r="Q80" s="43"/>
      <c r="R80" s="43"/>
      <c r="S80" s="44"/>
    </row>
    <row r="81" spans="1:19" ht="114.75" customHeight="1">
      <c r="A81" s="46" t="s">
        <v>1476</v>
      </c>
      <c r="B81" s="47" t="s">
        <v>1477</v>
      </c>
      <c r="C81" s="48"/>
      <c r="D81" s="49"/>
      <c r="E81" s="49"/>
      <c r="F81" s="49">
        <f t="shared" si="14"/>
        <v>17650217970</v>
      </c>
      <c r="G81" s="49">
        <f t="shared" si="10"/>
        <v>1.21</v>
      </c>
      <c r="H81" s="49">
        <v>9410940000</v>
      </c>
      <c r="I81" s="49">
        <v>0</v>
      </c>
      <c r="J81" s="49"/>
      <c r="K81" s="49"/>
      <c r="L81" s="49"/>
      <c r="M81" s="49" t="e">
        <f t="shared" si="11"/>
        <v>#DIV/0!</v>
      </c>
      <c r="N81" s="49">
        <f t="shared" si="12"/>
        <v>14586957000</v>
      </c>
      <c r="O81" s="49">
        <f t="shared" si="13"/>
        <v>1.55</v>
      </c>
      <c r="P81" s="49"/>
      <c r="Q81" s="49"/>
      <c r="R81" s="49"/>
      <c r="S81" s="50"/>
    </row>
    <row r="82" spans="1:19" ht="114.75" customHeight="1">
      <c r="A82" s="40" t="s">
        <v>1478</v>
      </c>
      <c r="B82" s="41" t="s">
        <v>1479</v>
      </c>
      <c r="C82" s="42"/>
      <c r="D82" s="43"/>
      <c r="E82" s="43"/>
      <c r="F82" s="43">
        <f t="shared" si="14"/>
        <v>19675945520</v>
      </c>
      <c r="G82" s="43">
        <f t="shared" si="10"/>
        <v>1.21</v>
      </c>
      <c r="H82" s="43">
        <v>10491040000</v>
      </c>
      <c r="I82" s="43">
        <v>0</v>
      </c>
      <c r="J82" s="43"/>
      <c r="K82" s="43"/>
      <c r="L82" s="43"/>
      <c r="M82" s="43" t="e">
        <f t="shared" si="11"/>
        <v>#DIV/0!</v>
      </c>
      <c r="N82" s="43">
        <f t="shared" si="12"/>
        <v>16261112000</v>
      </c>
      <c r="O82" s="43">
        <f t="shared" si="13"/>
        <v>1.55</v>
      </c>
      <c r="P82" s="43"/>
      <c r="Q82" s="43"/>
      <c r="R82" s="43"/>
      <c r="S82" s="44"/>
    </row>
    <row r="83" spans="1:19" ht="114.75" customHeight="1">
      <c r="A83" s="46" t="s">
        <v>1480</v>
      </c>
      <c r="B83" s="47" t="s">
        <v>1481</v>
      </c>
      <c r="C83" s="48"/>
      <c r="D83" s="49"/>
      <c r="E83" s="49"/>
      <c r="F83" s="49">
        <f t="shared" si="14"/>
        <v>8088206280</v>
      </c>
      <c r="G83" s="49">
        <f t="shared" si="10"/>
        <v>1.21</v>
      </c>
      <c r="H83" s="49">
        <v>4312560000</v>
      </c>
      <c r="I83" s="49">
        <v>0</v>
      </c>
      <c r="J83" s="49"/>
      <c r="K83" s="49"/>
      <c r="L83" s="49"/>
      <c r="M83" s="49" t="e">
        <f t="shared" si="11"/>
        <v>#DIV/0!</v>
      </c>
      <c r="N83" s="49">
        <f t="shared" si="12"/>
        <v>6684468000</v>
      </c>
      <c r="O83" s="49">
        <f t="shared" si="13"/>
        <v>1.55</v>
      </c>
      <c r="P83" s="49"/>
      <c r="Q83" s="49"/>
      <c r="R83" s="49"/>
      <c r="S83" s="50"/>
    </row>
    <row r="84" spans="1:19" ht="114.75" customHeight="1">
      <c r="A84" s="40" t="s">
        <v>1482</v>
      </c>
      <c r="B84" s="41" t="s">
        <v>1483</v>
      </c>
      <c r="C84" s="42"/>
      <c r="D84" s="43"/>
      <c r="E84" s="43"/>
      <c r="F84" s="43">
        <f t="shared" si="14"/>
        <v>9820118000</v>
      </c>
      <c r="G84" s="43">
        <f t="shared" si="10"/>
        <v>1.21</v>
      </c>
      <c r="H84" s="43">
        <v>5236000000</v>
      </c>
      <c r="I84" s="43">
        <v>0</v>
      </c>
      <c r="J84" s="43"/>
      <c r="K84" s="43"/>
      <c r="L84" s="43"/>
      <c r="M84" s="43" t="e">
        <f t="shared" si="11"/>
        <v>#DIV/0!</v>
      </c>
      <c r="N84" s="43">
        <f t="shared" si="12"/>
        <v>8115800000</v>
      </c>
      <c r="O84" s="43">
        <f t="shared" si="13"/>
        <v>1.55</v>
      </c>
      <c r="P84" s="43"/>
      <c r="Q84" s="43"/>
      <c r="R84" s="43"/>
      <c r="S84" s="44"/>
    </row>
    <row r="85" spans="1:19" ht="114.75" customHeight="1">
      <c r="A85" s="46" t="s">
        <v>1484</v>
      </c>
      <c r="B85" s="47" t="s">
        <v>1485</v>
      </c>
      <c r="C85" s="48"/>
      <c r="D85" s="49"/>
      <c r="E85" s="49"/>
      <c r="F85" s="49">
        <f t="shared" si="14"/>
        <v>11393437440</v>
      </c>
      <c r="G85" s="49">
        <f t="shared" si="10"/>
        <v>1.21</v>
      </c>
      <c r="H85" s="49">
        <v>6074880000</v>
      </c>
      <c r="I85" s="49">
        <v>0</v>
      </c>
      <c r="J85" s="49"/>
      <c r="K85" s="49"/>
      <c r="L85" s="49"/>
      <c r="M85" s="49" t="e">
        <f t="shared" si="11"/>
        <v>#DIV/0!</v>
      </c>
      <c r="N85" s="49">
        <f t="shared" si="12"/>
        <v>9416064000</v>
      </c>
      <c r="O85" s="49">
        <f t="shared" si="13"/>
        <v>1.55</v>
      </c>
      <c r="P85" s="49"/>
      <c r="Q85" s="49"/>
      <c r="R85" s="49"/>
      <c r="S85" s="50"/>
    </row>
    <row r="86" spans="1:19" ht="114.75" customHeight="1">
      <c r="A86" s="40" t="s">
        <v>1486</v>
      </c>
      <c r="B86" s="41" t="s">
        <v>1487</v>
      </c>
      <c r="C86" s="42"/>
      <c r="D86" s="43"/>
      <c r="E86" s="43"/>
      <c r="F86" s="43">
        <f t="shared" si="14"/>
        <v>13144516770</v>
      </c>
      <c r="G86" s="43">
        <f t="shared" si="10"/>
        <v>1.21</v>
      </c>
      <c r="H86" s="43">
        <v>7008540000</v>
      </c>
      <c r="I86" s="43">
        <v>0</v>
      </c>
      <c r="J86" s="43"/>
      <c r="K86" s="43"/>
      <c r="L86" s="43"/>
      <c r="M86" s="43" t="e">
        <f t="shared" si="11"/>
        <v>#DIV/0!</v>
      </c>
      <c r="N86" s="43">
        <f t="shared" si="12"/>
        <v>10863237000</v>
      </c>
      <c r="O86" s="43">
        <f t="shared" si="13"/>
        <v>1.55</v>
      </c>
      <c r="P86" s="43"/>
      <c r="Q86" s="43"/>
      <c r="R86" s="43"/>
      <c r="S86" s="44"/>
    </row>
    <row r="87" spans="1:19" ht="114.75" customHeight="1">
      <c r="A87" s="46" t="s">
        <v>1488</v>
      </c>
      <c r="B87" s="47" t="s">
        <v>1489</v>
      </c>
      <c r="C87" s="48"/>
      <c r="D87" s="49"/>
      <c r="E87" s="49"/>
      <c r="F87" s="49">
        <f t="shared" si="14"/>
        <v>14841769250</v>
      </c>
      <c r="G87" s="49">
        <f t="shared" si="10"/>
        <v>1.21</v>
      </c>
      <c r="H87" s="49">
        <v>7913500000</v>
      </c>
      <c r="I87" s="49">
        <v>0</v>
      </c>
      <c r="J87" s="49"/>
      <c r="K87" s="49"/>
      <c r="L87" s="49"/>
      <c r="M87" s="49" t="e">
        <f t="shared" si="11"/>
        <v>#DIV/0!</v>
      </c>
      <c r="N87" s="49">
        <f t="shared" si="12"/>
        <v>12265925000</v>
      </c>
      <c r="O87" s="49">
        <f t="shared" si="13"/>
        <v>1.55</v>
      </c>
      <c r="P87" s="49"/>
      <c r="Q87" s="49"/>
      <c r="R87" s="49"/>
      <c r="S87" s="50"/>
    </row>
    <row r="88" spans="1:19" ht="114.75" customHeight="1">
      <c r="A88" s="40" t="s">
        <v>1490</v>
      </c>
      <c r="B88" s="41" t="s">
        <v>1491</v>
      </c>
      <c r="C88" s="42"/>
      <c r="D88" s="43"/>
      <c r="E88" s="43"/>
      <c r="F88" s="43">
        <f t="shared" si="14"/>
        <v>16538759160</v>
      </c>
      <c r="G88" s="43">
        <f t="shared" si="10"/>
        <v>1.21</v>
      </c>
      <c r="H88" s="43">
        <v>8818320000</v>
      </c>
      <c r="I88" s="43">
        <v>0</v>
      </c>
      <c r="J88" s="43"/>
      <c r="K88" s="43"/>
      <c r="L88" s="43"/>
      <c r="M88" s="43" t="e">
        <f t="shared" si="11"/>
        <v>#DIV/0!</v>
      </c>
      <c r="N88" s="43">
        <f t="shared" si="12"/>
        <v>13668396000</v>
      </c>
      <c r="O88" s="43">
        <f t="shared" si="13"/>
        <v>1.55</v>
      </c>
      <c r="P88" s="43"/>
      <c r="Q88" s="43"/>
      <c r="R88" s="43"/>
      <c r="S88" s="44"/>
    </row>
    <row r="89" spans="1:19" ht="114.75" customHeight="1">
      <c r="A89" s="46" t="s">
        <v>1492</v>
      </c>
      <c r="B89" s="47" t="s">
        <v>1493</v>
      </c>
      <c r="C89" s="48"/>
      <c r="D89" s="49"/>
      <c r="E89" s="49"/>
      <c r="F89" s="49">
        <f t="shared" si="14"/>
        <v>18289050780</v>
      </c>
      <c r="G89" s="49">
        <f t="shared" si="10"/>
        <v>1.21</v>
      </c>
      <c r="H89" s="49">
        <v>9751560000</v>
      </c>
      <c r="I89" s="49">
        <v>0</v>
      </c>
      <c r="J89" s="49"/>
      <c r="K89" s="49"/>
      <c r="L89" s="49"/>
      <c r="M89" s="49" t="e">
        <f t="shared" si="11"/>
        <v>#DIV/0!</v>
      </c>
      <c r="N89" s="49">
        <f t="shared" si="12"/>
        <v>15114918000</v>
      </c>
      <c r="O89" s="49">
        <f t="shared" si="13"/>
        <v>1.55</v>
      </c>
      <c r="P89" s="49"/>
      <c r="Q89" s="49"/>
      <c r="R89" s="49"/>
      <c r="S89" s="50"/>
    </row>
    <row r="90" spans="1:19" ht="114.75" customHeight="1">
      <c r="A90" s="40" t="s">
        <v>1494</v>
      </c>
      <c r="B90" s="41" t="s">
        <v>1495</v>
      </c>
      <c r="C90" s="42"/>
      <c r="D90" s="43"/>
      <c r="E90" s="43"/>
      <c r="F90" s="43">
        <f t="shared" si="14"/>
        <v>19967923360</v>
      </c>
      <c r="G90" s="43">
        <f t="shared" si="10"/>
        <v>1.21</v>
      </c>
      <c r="H90" s="43">
        <v>10646720000</v>
      </c>
      <c r="I90" s="43">
        <v>0</v>
      </c>
      <c r="J90" s="43"/>
      <c r="K90" s="43"/>
      <c r="L90" s="43"/>
      <c r="M90" s="43" t="e">
        <f t="shared" si="11"/>
        <v>#DIV/0!</v>
      </c>
      <c r="N90" s="43">
        <f t="shared" si="12"/>
        <v>16502416000</v>
      </c>
      <c r="O90" s="43">
        <f t="shared" si="13"/>
        <v>1.55</v>
      </c>
      <c r="P90" s="43"/>
      <c r="Q90" s="43"/>
      <c r="R90" s="43"/>
      <c r="S90" s="44"/>
    </row>
    <row r="91" spans="1:19" ht="114.75" customHeight="1">
      <c r="A91" s="46" t="s">
        <v>1496</v>
      </c>
      <c r="B91" s="47" t="s">
        <v>1497</v>
      </c>
      <c r="C91" s="48"/>
      <c r="D91" s="49"/>
      <c r="E91" s="49"/>
      <c r="F91" s="49">
        <f t="shared" si="14"/>
        <v>8626212210</v>
      </c>
      <c r="G91" s="49">
        <f t="shared" si="10"/>
        <v>1.21</v>
      </c>
      <c r="H91" s="49">
        <v>4599420000</v>
      </c>
      <c r="I91" s="49">
        <v>0</v>
      </c>
      <c r="J91" s="49"/>
      <c r="K91" s="49"/>
      <c r="L91" s="49"/>
      <c r="M91" s="49" t="e">
        <f t="shared" si="11"/>
        <v>#DIV/0!</v>
      </c>
      <c r="N91" s="49">
        <f t="shared" si="12"/>
        <v>7129101000</v>
      </c>
      <c r="O91" s="49">
        <f t="shared" si="13"/>
        <v>1.55</v>
      </c>
      <c r="P91" s="49"/>
      <c r="Q91" s="49"/>
      <c r="R91" s="49"/>
      <c r="S91" s="50"/>
    </row>
    <row r="92" spans="1:19" ht="114.75" customHeight="1">
      <c r="A92" s="40" t="s">
        <v>1498</v>
      </c>
      <c r="B92" s="41" t="s">
        <v>1499</v>
      </c>
      <c r="C92" s="42"/>
      <c r="D92" s="43"/>
      <c r="E92" s="43"/>
      <c r="F92" s="43">
        <f t="shared" si="14"/>
        <v>10463939640</v>
      </c>
      <c r="G92" s="43">
        <f t="shared" si="10"/>
        <v>1.21</v>
      </c>
      <c r="H92" s="43">
        <v>5579280000</v>
      </c>
      <c r="I92" s="43">
        <v>0</v>
      </c>
      <c r="J92" s="43"/>
      <c r="K92" s="43"/>
      <c r="L92" s="43"/>
      <c r="M92" s="43" t="e">
        <f t="shared" si="11"/>
        <v>#DIV/0!</v>
      </c>
      <c r="N92" s="43">
        <f t="shared" si="12"/>
        <v>8647884000</v>
      </c>
      <c r="O92" s="43">
        <f t="shared" si="13"/>
        <v>1.55</v>
      </c>
      <c r="P92" s="43"/>
      <c r="Q92" s="43"/>
      <c r="R92" s="43"/>
      <c r="S92" s="44"/>
    </row>
    <row r="93" spans="1:19" ht="114.75" customHeight="1">
      <c r="A93" s="46" t="s">
        <v>1500</v>
      </c>
      <c r="B93" s="47" t="s">
        <v>1501</v>
      </c>
      <c r="C93" s="48"/>
      <c r="D93" s="49"/>
      <c r="E93" s="49"/>
      <c r="F93" s="49">
        <f t="shared" si="14"/>
        <v>12741471820</v>
      </c>
      <c r="G93" s="49">
        <f t="shared" si="10"/>
        <v>1.21</v>
      </c>
      <c r="H93" s="49">
        <v>6793640000</v>
      </c>
      <c r="I93" s="49"/>
      <c r="J93" s="49"/>
      <c r="K93" s="49"/>
      <c r="L93" s="49"/>
      <c r="M93" s="49" t="e">
        <f t="shared" si="11"/>
        <v>#DIV/0!</v>
      </c>
      <c r="N93" s="49">
        <f t="shared" si="12"/>
        <v>10530142000</v>
      </c>
      <c r="O93" s="49">
        <f t="shared" si="13"/>
        <v>1.55</v>
      </c>
      <c r="P93" s="49"/>
      <c r="Q93" s="49"/>
      <c r="R93" s="49"/>
      <c r="S93" s="50"/>
    </row>
    <row r="94" spans="1:19" ht="114.75" customHeight="1">
      <c r="A94" s="40" t="s">
        <v>1502</v>
      </c>
      <c r="B94" s="41" t="s">
        <v>1503</v>
      </c>
      <c r="C94" s="42"/>
      <c r="D94" s="43"/>
      <c r="E94" s="43"/>
      <c r="F94" s="43">
        <f t="shared" si="14"/>
        <v>14872489940</v>
      </c>
      <c r="G94" s="43">
        <f t="shared" si="10"/>
        <v>1.21</v>
      </c>
      <c r="H94" s="43">
        <v>7929880000</v>
      </c>
      <c r="I94" s="43">
        <v>0</v>
      </c>
      <c r="J94" s="43"/>
      <c r="K94" s="43"/>
      <c r="L94" s="43"/>
      <c r="M94" s="43" t="e">
        <f t="shared" si="11"/>
        <v>#DIV/0!</v>
      </c>
      <c r="N94" s="43">
        <f t="shared" si="12"/>
        <v>12291314000</v>
      </c>
      <c r="O94" s="43">
        <f t="shared" si="13"/>
        <v>1.55</v>
      </c>
      <c r="P94" s="43"/>
      <c r="Q94" s="43"/>
      <c r="R94" s="43"/>
      <c r="S94" s="44"/>
    </row>
    <row r="95" spans="1:19" ht="114.75" customHeight="1">
      <c r="A95" s="46" t="s">
        <v>1504</v>
      </c>
      <c r="B95" s="47" t="s">
        <v>1505</v>
      </c>
      <c r="C95" s="48"/>
      <c r="D95" s="49"/>
      <c r="E95" s="49"/>
      <c r="F95" s="49">
        <f t="shared" si="14"/>
        <v>16973575080</v>
      </c>
      <c r="G95" s="49">
        <f t="shared" si="10"/>
        <v>1.21</v>
      </c>
      <c r="H95" s="49">
        <v>9050160000</v>
      </c>
      <c r="I95" s="49">
        <v>0</v>
      </c>
      <c r="J95" s="49"/>
      <c r="K95" s="49"/>
      <c r="L95" s="49"/>
      <c r="M95" s="49" t="e">
        <f t="shared" si="11"/>
        <v>#DIV/0!</v>
      </c>
      <c r="N95" s="49">
        <f t="shared" si="12"/>
        <v>14027748000</v>
      </c>
      <c r="O95" s="49">
        <f t="shared" si="13"/>
        <v>1.55</v>
      </c>
      <c r="P95" s="49"/>
      <c r="Q95" s="49"/>
      <c r="R95" s="49"/>
      <c r="S95" s="50"/>
    </row>
    <row r="96" spans="1:19" ht="114.75" customHeight="1">
      <c r="A96" s="40" t="s">
        <v>1506</v>
      </c>
      <c r="B96" s="41" t="s">
        <v>1507</v>
      </c>
      <c r="C96" s="42"/>
      <c r="D96" s="43"/>
      <c r="E96" s="43"/>
      <c r="F96" s="43">
        <f t="shared" si="14"/>
        <v>18984336140</v>
      </c>
      <c r="G96" s="43">
        <f t="shared" si="10"/>
        <v>1.21</v>
      </c>
      <c r="H96" s="43">
        <v>10122280000</v>
      </c>
      <c r="I96" s="43">
        <v>0</v>
      </c>
      <c r="J96" s="43"/>
      <c r="K96" s="43"/>
      <c r="L96" s="43"/>
      <c r="M96" s="43" t="e">
        <f t="shared" si="11"/>
        <v>#DIV/0!</v>
      </c>
      <c r="N96" s="43">
        <f t="shared" si="12"/>
        <v>15689534000</v>
      </c>
      <c r="O96" s="43">
        <f t="shared" si="13"/>
        <v>1.55</v>
      </c>
      <c r="P96" s="43"/>
      <c r="Q96" s="43"/>
      <c r="R96" s="43"/>
      <c r="S96" s="44"/>
    </row>
    <row r="97" spans="1:19" ht="114.75" customHeight="1">
      <c r="A97" s="46" t="s">
        <v>1508</v>
      </c>
      <c r="B97" s="47" t="s">
        <v>1509</v>
      </c>
      <c r="C97" s="48"/>
      <c r="D97" s="49"/>
      <c r="E97" s="49"/>
      <c r="F97" s="49">
        <f t="shared" si="14"/>
        <v>21635768000</v>
      </c>
      <c r="G97" s="49">
        <f t="shared" si="10"/>
        <v>1.21</v>
      </c>
      <c r="H97" s="49">
        <v>11536000000</v>
      </c>
      <c r="I97" s="49">
        <v>0</v>
      </c>
      <c r="J97" s="49"/>
      <c r="K97" s="49"/>
      <c r="L97" s="49"/>
      <c r="M97" s="49" t="e">
        <f t="shared" si="11"/>
        <v>#DIV/0!</v>
      </c>
      <c r="N97" s="49">
        <f t="shared" si="12"/>
        <v>17880800000</v>
      </c>
      <c r="O97" s="49">
        <f t="shared" si="13"/>
        <v>1.55</v>
      </c>
      <c r="P97" s="49"/>
      <c r="Q97" s="49"/>
      <c r="R97" s="49"/>
      <c r="S97" s="50"/>
    </row>
    <row r="98" spans="1:19" ht="114.75" customHeight="1">
      <c r="A98" s="40" t="s">
        <v>1510</v>
      </c>
      <c r="B98" s="41" t="s">
        <v>1511</v>
      </c>
      <c r="C98" s="42"/>
      <c r="D98" s="43"/>
      <c r="E98" s="43"/>
      <c r="F98" s="43">
        <f t="shared" si="14"/>
        <v>24163398105</v>
      </c>
      <c r="G98" s="43">
        <f t="shared" si="10"/>
        <v>1.21</v>
      </c>
      <c r="H98" s="43">
        <v>12883710000</v>
      </c>
      <c r="I98" s="43">
        <v>0</v>
      </c>
      <c r="J98" s="43"/>
      <c r="K98" s="43"/>
      <c r="L98" s="43"/>
      <c r="M98" s="43" t="e">
        <f t="shared" si="11"/>
        <v>#DIV/0!</v>
      </c>
      <c r="N98" s="43">
        <f t="shared" si="12"/>
        <v>19969750500</v>
      </c>
      <c r="O98" s="43">
        <f t="shared" si="13"/>
        <v>1.55</v>
      </c>
      <c r="P98" s="43"/>
      <c r="Q98" s="43"/>
      <c r="R98" s="43"/>
      <c r="S98" s="44"/>
    </row>
    <row r="99" spans="1:19" ht="114.75" customHeight="1">
      <c r="A99" s="46" t="s">
        <v>1512</v>
      </c>
      <c r="B99" s="47" t="s">
        <v>1513</v>
      </c>
      <c r="C99" s="48"/>
      <c r="D99" s="49"/>
      <c r="E99" s="49"/>
      <c r="F99" s="49">
        <f t="shared" si="14"/>
        <v>9461972520</v>
      </c>
      <c r="G99" s="49">
        <f t="shared" ref="G99:G130" si="15">F99/N99</f>
        <v>1.21</v>
      </c>
      <c r="H99" s="49">
        <v>5045040000</v>
      </c>
      <c r="I99" s="49">
        <v>0</v>
      </c>
      <c r="J99" s="49"/>
      <c r="K99" s="49"/>
      <c r="L99" s="49"/>
      <c r="M99" s="49" t="e">
        <f t="shared" ref="M99:M130" si="16">L99/I99-1</f>
        <v>#DIV/0!</v>
      </c>
      <c r="N99" s="49">
        <f t="shared" ref="N99:N122" si="17">H99*1.55</f>
        <v>7819812000</v>
      </c>
      <c r="O99" s="49">
        <f t="shared" ref="O99:O130" si="18">N99/H99</f>
        <v>1.55</v>
      </c>
      <c r="P99" s="49"/>
      <c r="Q99" s="49"/>
      <c r="R99" s="49"/>
      <c r="S99" s="50"/>
    </row>
    <row r="100" spans="1:19" ht="114.75" customHeight="1">
      <c r="A100" s="40" t="s">
        <v>1514</v>
      </c>
      <c r="B100" s="41" t="s">
        <v>1515</v>
      </c>
      <c r="C100" s="42"/>
      <c r="D100" s="43"/>
      <c r="E100" s="43"/>
      <c r="F100" s="43">
        <f t="shared" si="14"/>
        <v>11611895680</v>
      </c>
      <c r="G100" s="43">
        <f t="shared" si="15"/>
        <v>1.21</v>
      </c>
      <c r="H100" s="43">
        <v>6191360000</v>
      </c>
      <c r="I100" s="43">
        <v>0</v>
      </c>
      <c r="J100" s="43"/>
      <c r="K100" s="43"/>
      <c r="L100" s="43"/>
      <c r="M100" s="43" t="e">
        <f t="shared" si="16"/>
        <v>#DIV/0!</v>
      </c>
      <c r="N100" s="43">
        <f t="shared" si="17"/>
        <v>9596608000</v>
      </c>
      <c r="O100" s="43">
        <f t="shared" si="18"/>
        <v>1.55</v>
      </c>
      <c r="P100" s="43"/>
      <c r="Q100" s="43"/>
      <c r="R100" s="43"/>
      <c r="S100" s="44"/>
    </row>
    <row r="101" spans="1:19" ht="114.75" customHeight="1">
      <c r="A101" s="46" t="s">
        <v>1516</v>
      </c>
      <c r="B101" s="47" t="s">
        <v>1517</v>
      </c>
      <c r="C101" s="48"/>
      <c r="D101" s="49"/>
      <c r="E101" s="49"/>
      <c r="F101" s="49">
        <f t="shared" si="14"/>
        <v>14338422560</v>
      </c>
      <c r="G101" s="49">
        <f t="shared" si="15"/>
        <v>1.21</v>
      </c>
      <c r="H101" s="49">
        <v>7645120000</v>
      </c>
      <c r="I101" s="49">
        <v>0</v>
      </c>
      <c r="J101" s="49"/>
      <c r="K101" s="49"/>
      <c r="L101" s="49"/>
      <c r="M101" s="49" t="e">
        <f t="shared" si="16"/>
        <v>#DIV/0!</v>
      </c>
      <c r="N101" s="49">
        <f t="shared" si="17"/>
        <v>11849936000</v>
      </c>
      <c r="O101" s="49">
        <f t="shared" si="18"/>
        <v>1.55</v>
      </c>
      <c r="P101" s="49"/>
      <c r="Q101" s="49"/>
      <c r="R101" s="49"/>
      <c r="S101" s="50"/>
    </row>
    <row r="102" spans="1:19" ht="114.75" customHeight="1">
      <c r="A102" s="40" t="s">
        <v>1518</v>
      </c>
      <c r="B102" s="41" t="s">
        <v>1519</v>
      </c>
      <c r="C102" s="42"/>
      <c r="D102" s="43"/>
      <c r="E102" s="43"/>
      <c r="F102" s="43">
        <f t="shared" si="14"/>
        <v>17213564060</v>
      </c>
      <c r="G102" s="43">
        <f t="shared" si="15"/>
        <v>1.21</v>
      </c>
      <c r="H102" s="43">
        <v>9178120000</v>
      </c>
      <c r="I102" s="43"/>
      <c r="J102" s="43"/>
      <c r="K102" s="43"/>
      <c r="L102" s="43"/>
      <c r="M102" s="43" t="e">
        <f t="shared" si="16"/>
        <v>#DIV/0!</v>
      </c>
      <c r="N102" s="43">
        <f t="shared" si="17"/>
        <v>14226086000</v>
      </c>
      <c r="O102" s="43">
        <f t="shared" si="18"/>
        <v>1.55</v>
      </c>
      <c r="P102" s="43"/>
      <c r="Q102" s="43"/>
      <c r="R102" s="43"/>
      <c r="S102" s="44"/>
    </row>
    <row r="103" spans="1:19" ht="114.75" customHeight="1">
      <c r="A103" s="46" t="s">
        <v>1520</v>
      </c>
      <c r="B103" s="47" t="s">
        <v>1521</v>
      </c>
      <c r="C103" s="48"/>
      <c r="D103" s="49"/>
      <c r="E103" s="49"/>
      <c r="F103" s="49">
        <f t="shared" si="14"/>
        <v>20350225280</v>
      </c>
      <c r="G103" s="49">
        <f t="shared" si="15"/>
        <v>1.21</v>
      </c>
      <c r="H103" s="49">
        <v>10850560000</v>
      </c>
      <c r="I103" s="49">
        <v>0</v>
      </c>
      <c r="J103" s="49"/>
      <c r="K103" s="49"/>
      <c r="L103" s="49"/>
      <c r="M103" s="49" t="e">
        <f t="shared" si="16"/>
        <v>#DIV/0!</v>
      </c>
      <c r="N103" s="49">
        <f t="shared" si="17"/>
        <v>16818368000</v>
      </c>
      <c r="O103" s="49">
        <f t="shared" si="18"/>
        <v>1.55</v>
      </c>
      <c r="P103" s="49"/>
      <c r="Q103" s="49"/>
      <c r="R103" s="49"/>
      <c r="S103" s="50"/>
    </row>
    <row r="104" spans="1:19" ht="114.75" customHeight="1">
      <c r="A104" s="40" t="s">
        <v>1522</v>
      </c>
      <c r="B104" s="41" t="s">
        <v>1523</v>
      </c>
      <c r="C104" s="42"/>
      <c r="D104" s="43"/>
      <c r="E104" s="43"/>
      <c r="F104" s="43">
        <f t="shared" si="14"/>
        <v>23106160000</v>
      </c>
      <c r="G104" s="43">
        <f t="shared" si="15"/>
        <v>1.21</v>
      </c>
      <c r="H104" s="43">
        <v>12320000000</v>
      </c>
      <c r="I104" s="43"/>
      <c r="J104" s="43"/>
      <c r="K104" s="43"/>
      <c r="L104" s="43"/>
      <c r="M104" s="43" t="e">
        <f t="shared" si="16"/>
        <v>#DIV/0!</v>
      </c>
      <c r="N104" s="43">
        <f t="shared" si="17"/>
        <v>19096000000</v>
      </c>
      <c r="O104" s="43">
        <f t="shared" si="18"/>
        <v>1.55</v>
      </c>
      <c r="P104" s="43"/>
      <c r="Q104" s="43"/>
      <c r="R104" s="43"/>
      <c r="S104" s="44"/>
    </row>
    <row r="105" spans="1:19" ht="114.75" customHeight="1">
      <c r="A105" s="46" t="s">
        <v>1524</v>
      </c>
      <c r="B105" s="47" t="s">
        <v>1525</v>
      </c>
      <c r="C105" s="48"/>
      <c r="D105" s="49"/>
      <c r="E105" s="49"/>
      <c r="F105" s="49">
        <f t="shared" si="14"/>
        <v>26782140000</v>
      </c>
      <c r="G105" s="49">
        <f t="shared" si="15"/>
        <v>1.21</v>
      </c>
      <c r="H105" s="49">
        <v>14280000000</v>
      </c>
      <c r="I105" s="49">
        <v>0</v>
      </c>
      <c r="J105" s="49"/>
      <c r="K105" s="49"/>
      <c r="L105" s="49"/>
      <c r="M105" s="49" t="e">
        <f t="shared" si="16"/>
        <v>#DIV/0!</v>
      </c>
      <c r="N105" s="49">
        <f t="shared" si="17"/>
        <v>22134000000</v>
      </c>
      <c r="O105" s="49">
        <f t="shared" si="18"/>
        <v>1.55</v>
      </c>
      <c r="P105" s="49"/>
      <c r="Q105" s="49"/>
      <c r="R105" s="49"/>
      <c r="S105" s="50"/>
    </row>
    <row r="106" spans="1:19" ht="114.75" customHeight="1">
      <c r="A106" s="40" t="s">
        <v>1526</v>
      </c>
      <c r="B106" s="41" t="s">
        <v>1527</v>
      </c>
      <c r="C106" s="42"/>
      <c r="D106" s="43"/>
      <c r="E106" s="43"/>
      <c r="F106" s="43">
        <f t="shared" si="14"/>
        <v>30983260000</v>
      </c>
      <c r="G106" s="43">
        <f t="shared" si="15"/>
        <v>1.21</v>
      </c>
      <c r="H106" s="43">
        <v>16520000000</v>
      </c>
      <c r="I106" s="43">
        <v>0</v>
      </c>
      <c r="J106" s="43"/>
      <c r="K106" s="43"/>
      <c r="L106" s="43"/>
      <c r="M106" s="43" t="e">
        <f t="shared" si="16"/>
        <v>#DIV/0!</v>
      </c>
      <c r="N106" s="43">
        <f t="shared" si="17"/>
        <v>25606000000</v>
      </c>
      <c r="O106" s="43">
        <f t="shared" si="18"/>
        <v>1.55</v>
      </c>
      <c r="P106" s="43"/>
      <c r="Q106" s="43"/>
      <c r="R106" s="43"/>
      <c r="S106" s="44"/>
    </row>
    <row r="107" spans="1:19" ht="114.75" customHeight="1">
      <c r="A107" s="46" t="s">
        <v>1528</v>
      </c>
      <c r="B107" s="47" t="s">
        <v>1529</v>
      </c>
      <c r="C107" s="48"/>
      <c r="D107" s="49"/>
      <c r="E107" s="49"/>
      <c r="F107" s="49">
        <f t="shared" si="14"/>
        <v>9813553750</v>
      </c>
      <c r="G107" s="49">
        <f t="shared" si="15"/>
        <v>1.21</v>
      </c>
      <c r="H107" s="49">
        <v>5232500000</v>
      </c>
      <c r="I107" s="49"/>
      <c r="J107" s="49"/>
      <c r="K107" s="49"/>
      <c r="L107" s="49"/>
      <c r="M107" s="49" t="e">
        <f t="shared" si="16"/>
        <v>#DIV/0!</v>
      </c>
      <c r="N107" s="49">
        <f t="shared" si="17"/>
        <v>8110375000</v>
      </c>
      <c r="O107" s="49">
        <f t="shared" si="18"/>
        <v>1.55</v>
      </c>
      <c r="P107" s="49"/>
      <c r="Q107" s="49"/>
      <c r="R107" s="49"/>
      <c r="S107" s="50"/>
    </row>
    <row r="108" spans="1:19" ht="114.75" customHeight="1">
      <c r="A108" s="40" t="s">
        <v>1530</v>
      </c>
      <c r="B108" s="41" t="s">
        <v>1531</v>
      </c>
      <c r="C108" s="42"/>
      <c r="D108" s="43"/>
      <c r="E108" s="43"/>
      <c r="F108" s="43">
        <f t="shared" si="14"/>
        <v>12865930000</v>
      </c>
      <c r="G108" s="43">
        <f t="shared" si="15"/>
        <v>1.21</v>
      </c>
      <c r="H108" s="43">
        <v>6860000000</v>
      </c>
      <c r="I108" s="43"/>
      <c r="J108" s="43"/>
      <c r="K108" s="43"/>
      <c r="L108" s="43"/>
      <c r="M108" s="43" t="e">
        <f t="shared" si="16"/>
        <v>#DIV/0!</v>
      </c>
      <c r="N108" s="43">
        <f t="shared" si="17"/>
        <v>10633000000</v>
      </c>
      <c r="O108" s="43">
        <f t="shared" si="18"/>
        <v>1.55</v>
      </c>
      <c r="P108" s="43"/>
      <c r="Q108" s="43"/>
      <c r="R108" s="43"/>
      <c r="S108" s="44"/>
    </row>
    <row r="109" spans="1:19" ht="114.75" customHeight="1">
      <c r="A109" s="46" t="s">
        <v>1532</v>
      </c>
      <c r="B109" s="47" t="s">
        <v>1533</v>
      </c>
      <c r="C109" s="48"/>
      <c r="D109" s="49"/>
      <c r="E109" s="49"/>
      <c r="F109" s="49">
        <f t="shared" si="14"/>
        <v>16016770000</v>
      </c>
      <c r="G109" s="49">
        <f t="shared" si="15"/>
        <v>1.21</v>
      </c>
      <c r="H109" s="49">
        <v>8540000000</v>
      </c>
      <c r="I109" s="49"/>
      <c r="J109" s="49"/>
      <c r="K109" s="49"/>
      <c r="L109" s="49"/>
      <c r="M109" s="49" t="e">
        <f t="shared" si="16"/>
        <v>#DIV/0!</v>
      </c>
      <c r="N109" s="49">
        <f t="shared" si="17"/>
        <v>13237000000</v>
      </c>
      <c r="O109" s="49">
        <f t="shared" si="18"/>
        <v>1.55</v>
      </c>
      <c r="P109" s="49"/>
      <c r="Q109" s="49"/>
      <c r="R109" s="49"/>
      <c r="S109" s="50"/>
    </row>
    <row r="110" spans="1:19" ht="114.75" customHeight="1">
      <c r="A110" s="40" t="s">
        <v>1534</v>
      </c>
      <c r="B110" s="41" t="s">
        <v>1535</v>
      </c>
      <c r="C110" s="42"/>
      <c r="D110" s="43"/>
      <c r="E110" s="43"/>
      <c r="F110" s="43">
        <f t="shared" si="14"/>
        <v>19273898336</v>
      </c>
      <c r="G110" s="43">
        <f t="shared" si="15"/>
        <v>1.21</v>
      </c>
      <c r="H110" s="43">
        <v>10276672000</v>
      </c>
      <c r="I110" s="43"/>
      <c r="J110" s="43"/>
      <c r="K110" s="43"/>
      <c r="L110" s="43"/>
      <c r="M110" s="43" t="e">
        <f t="shared" si="16"/>
        <v>#DIV/0!</v>
      </c>
      <c r="N110" s="43">
        <f t="shared" si="17"/>
        <v>15928841600</v>
      </c>
      <c r="O110" s="43">
        <f t="shared" si="18"/>
        <v>1.55</v>
      </c>
      <c r="P110" s="43"/>
      <c r="Q110" s="43"/>
      <c r="R110" s="43"/>
      <c r="S110" s="44"/>
    </row>
    <row r="111" spans="1:19" ht="102" customHeight="1">
      <c r="A111" s="46" t="s">
        <v>1536</v>
      </c>
      <c r="B111" s="47" t="s">
        <v>1537</v>
      </c>
      <c r="C111" s="48"/>
      <c r="D111" s="49"/>
      <c r="E111" s="49"/>
      <c r="F111" s="49">
        <f t="shared" si="14"/>
        <v>22562718871</v>
      </c>
      <c r="G111" s="49">
        <f t="shared" si="15"/>
        <v>1.21</v>
      </c>
      <c r="H111" s="49">
        <v>12030242000</v>
      </c>
      <c r="I111" s="49"/>
      <c r="J111" s="49"/>
      <c r="K111" s="49"/>
      <c r="L111" s="49"/>
      <c r="M111" s="49" t="e">
        <f t="shared" si="16"/>
        <v>#DIV/0!</v>
      </c>
      <c r="N111" s="49">
        <f t="shared" si="17"/>
        <v>18646875100</v>
      </c>
      <c r="O111" s="49">
        <f t="shared" si="18"/>
        <v>1.55</v>
      </c>
      <c r="P111" s="49"/>
      <c r="Q111" s="49"/>
      <c r="R111" s="49"/>
      <c r="S111" s="50"/>
    </row>
    <row r="112" spans="1:19" ht="114.75" customHeight="1">
      <c r="A112" s="40" t="s">
        <v>1538</v>
      </c>
      <c r="B112" s="41" t="s">
        <v>1539</v>
      </c>
      <c r="C112" s="42"/>
      <c r="D112" s="43"/>
      <c r="E112" s="43"/>
      <c r="F112" s="43">
        <f t="shared" si="14"/>
        <v>25747194088</v>
      </c>
      <c r="G112" s="43">
        <f t="shared" si="15"/>
        <v>1.21</v>
      </c>
      <c r="H112" s="43">
        <v>13728176000</v>
      </c>
      <c r="I112" s="43"/>
      <c r="J112" s="43"/>
      <c r="K112" s="43"/>
      <c r="L112" s="43"/>
      <c r="M112" s="43" t="e">
        <f t="shared" si="16"/>
        <v>#DIV/0!</v>
      </c>
      <c r="N112" s="43">
        <f t="shared" si="17"/>
        <v>21278672800</v>
      </c>
      <c r="O112" s="43">
        <f t="shared" si="18"/>
        <v>1.55</v>
      </c>
      <c r="P112" s="43"/>
      <c r="Q112" s="43"/>
      <c r="R112" s="43"/>
      <c r="S112" s="44"/>
    </row>
    <row r="113" spans="1:19" ht="114.75" customHeight="1">
      <c r="A113" s="46" t="s">
        <v>1540</v>
      </c>
      <c r="B113" s="47" t="s">
        <v>1541</v>
      </c>
      <c r="C113" s="48"/>
      <c r="D113" s="49"/>
      <c r="E113" s="49"/>
      <c r="F113" s="49">
        <f t="shared" si="14"/>
        <v>28857755850</v>
      </c>
      <c r="G113" s="49">
        <f t="shared" si="15"/>
        <v>1.21</v>
      </c>
      <c r="H113" s="49">
        <v>15386700000</v>
      </c>
      <c r="I113" s="49"/>
      <c r="J113" s="49"/>
      <c r="K113" s="49"/>
      <c r="L113" s="49"/>
      <c r="M113" s="49" t="e">
        <f t="shared" si="16"/>
        <v>#DIV/0!</v>
      </c>
      <c r="N113" s="49">
        <f t="shared" si="17"/>
        <v>23849385000</v>
      </c>
      <c r="O113" s="49">
        <f t="shared" si="18"/>
        <v>1.55</v>
      </c>
      <c r="P113" s="49"/>
      <c r="Q113" s="49"/>
      <c r="R113" s="49"/>
      <c r="S113" s="50"/>
    </row>
    <row r="114" spans="1:19" ht="114.75" customHeight="1">
      <c r="A114" s="40" t="s">
        <v>1542</v>
      </c>
      <c r="B114" s="41" t="s">
        <v>1543</v>
      </c>
      <c r="C114" s="42"/>
      <c r="D114" s="43"/>
      <c r="E114" s="43"/>
      <c r="F114" s="43">
        <f t="shared" si="14"/>
        <v>32663708000</v>
      </c>
      <c r="G114" s="43">
        <f t="shared" si="15"/>
        <v>1.21</v>
      </c>
      <c r="H114" s="43">
        <v>17416000000</v>
      </c>
      <c r="I114" s="43"/>
      <c r="J114" s="43"/>
      <c r="K114" s="43"/>
      <c r="L114" s="43"/>
      <c r="M114" s="43" t="e">
        <f t="shared" si="16"/>
        <v>#DIV/0!</v>
      </c>
      <c r="N114" s="43">
        <f t="shared" si="17"/>
        <v>26994800000</v>
      </c>
      <c r="O114" s="43">
        <f t="shared" si="18"/>
        <v>1.55</v>
      </c>
      <c r="P114" s="43"/>
      <c r="Q114" s="43"/>
      <c r="R114" s="43"/>
      <c r="S114" s="44"/>
    </row>
    <row r="115" spans="1:19" ht="89.25" customHeight="1">
      <c r="A115" s="46" t="s">
        <v>1544</v>
      </c>
      <c r="B115" s="47" t="s">
        <v>1545</v>
      </c>
      <c r="C115" s="48"/>
      <c r="D115" s="49">
        <v>929966399.99999988</v>
      </c>
      <c r="E115" s="49">
        <v>1123000000</v>
      </c>
      <c r="F115" s="49">
        <v>1235300000</v>
      </c>
      <c r="G115" s="49">
        <f t="shared" ref="G115:G122" si="19">F115/D115</f>
        <v>1.3283275610817769</v>
      </c>
      <c r="H115" s="49">
        <v>528000000</v>
      </c>
      <c r="I115" s="49">
        <v>706000000</v>
      </c>
      <c r="J115" s="49">
        <f t="shared" ref="J115:J122" si="20">I115/H115-1</f>
        <v>0.33712121212121215</v>
      </c>
      <c r="K115" s="49">
        <v>829220040</v>
      </c>
      <c r="L115" s="49">
        <v>929966400</v>
      </c>
      <c r="M115" s="49">
        <f t="shared" si="16"/>
        <v>0.31723286118980165</v>
      </c>
      <c r="N115" s="49">
        <f t="shared" si="17"/>
        <v>818400000</v>
      </c>
      <c r="O115" s="49">
        <f t="shared" si="18"/>
        <v>1.55</v>
      </c>
      <c r="P115" s="49"/>
      <c r="Q115" s="49"/>
      <c r="R115" s="49"/>
      <c r="S115" s="50"/>
    </row>
    <row r="116" spans="1:19" ht="89.25" customHeight="1">
      <c r="A116" s="40" t="s">
        <v>1546</v>
      </c>
      <c r="B116" s="41" t="s">
        <v>1547</v>
      </c>
      <c r="C116" s="42"/>
      <c r="D116" s="43">
        <v>1070870400</v>
      </c>
      <c r="E116" s="43">
        <v>1292000000</v>
      </c>
      <c r="F116" s="43">
        <v>1421200000</v>
      </c>
      <c r="G116" s="43">
        <f t="shared" si="19"/>
        <v>1.327144722648044</v>
      </c>
      <c r="H116" s="43">
        <v>594000000</v>
      </c>
      <c r="I116" s="43">
        <v>760000000</v>
      </c>
      <c r="J116" s="43">
        <f t="shared" si="20"/>
        <v>0.27946127946127941</v>
      </c>
      <c r="K116" s="43">
        <v>954859440</v>
      </c>
      <c r="L116" s="43">
        <v>1070870400</v>
      </c>
      <c r="M116" s="43">
        <f t="shared" si="16"/>
        <v>0.40904000000000007</v>
      </c>
      <c r="N116" s="43">
        <f t="shared" si="17"/>
        <v>920700000</v>
      </c>
      <c r="O116" s="43">
        <f t="shared" si="18"/>
        <v>1.55</v>
      </c>
      <c r="P116" s="43"/>
      <c r="Q116" s="43"/>
      <c r="R116" s="43"/>
      <c r="S116" s="44"/>
    </row>
    <row r="117" spans="1:19" ht="89.25" customHeight="1">
      <c r="A117" s="46" t="s">
        <v>1548</v>
      </c>
      <c r="B117" s="47" t="s">
        <v>1549</v>
      </c>
      <c r="C117" s="48"/>
      <c r="D117" s="49">
        <v>1437220800</v>
      </c>
      <c r="E117" s="49">
        <v>1732500000</v>
      </c>
      <c r="F117" s="49">
        <v>1905750000</v>
      </c>
      <c r="G117" s="49">
        <f t="shared" si="19"/>
        <v>1.3259966735800095</v>
      </c>
      <c r="H117" s="49">
        <v>726000000</v>
      </c>
      <c r="I117" s="49">
        <v>1020000000</v>
      </c>
      <c r="J117" s="49">
        <f t="shared" si="20"/>
        <v>0.4049586776859504</v>
      </c>
      <c r="K117" s="49">
        <v>1257568200</v>
      </c>
      <c r="L117" s="49">
        <v>1437220800</v>
      </c>
      <c r="M117" s="49">
        <f t="shared" si="16"/>
        <v>0.40904000000000007</v>
      </c>
      <c r="N117" s="49">
        <f t="shared" si="17"/>
        <v>1125300000</v>
      </c>
      <c r="O117" s="49">
        <f t="shared" si="18"/>
        <v>1.55</v>
      </c>
      <c r="P117" s="49"/>
      <c r="Q117" s="49"/>
      <c r="R117" s="49"/>
      <c r="S117" s="50"/>
    </row>
    <row r="118" spans="1:19" ht="89.25" customHeight="1">
      <c r="A118" s="40" t="s">
        <v>1550</v>
      </c>
      <c r="B118" s="41" t="s">
        <v>1551</v>
      </c>
      <c r="C118" s="42"/>
      <c r="D118" s="43">
        <v>1592215200</v>
      </c>
      <c r="E118" s="43">
        <v>1921500000</v>
      </c>
      <c r="F118" s="43">
        <v>2113650000</v>
      </c>
      <c r="G118" s="43">
        <f t="shared" si="19"/>
        <v>1.327490153341081</v>
      </c>
      <c r="H118" s="43">
        <v>792000000</v>
      </c>
      <c r="I118" s="43">
        <v>1130000000</v>
      </c>
      <c r="J118" s="43">
        <f t="shared" si="20"/>
        <v>0.42676767676767668</v>
      </c>
      <c r="K118" s="43">
        <v>1393188300</v>
      </c>
      <c r="L118" s="43">
        <v>1592215200</v>
      </c>
      <c r="M118" s="43">
        <f t="shared" si="16"/>
        <v>0.40904000000000007</v>
      </c>
      <c r="N118" s="43">
        <f t="shared" si="17"/>
        <v>1227600000</v>
      </c>
      <c r="O118" s="43">
        <f t="shared" si="18"/>
        <v>1.55</v>
      </c>
      <c r="P118" s="43"/>
      <c r="Q118" s="43"/>
      <c r="R118" s="43"/>
      <c r="S118" s="44"/>
    </row>
    <row r="119" spans="1:19" ht="89.25" customHeight="1">
      <c r="A119" s="46" t="s">
        <v>1552</v>
      </c>
      <c r="B119" s="47" t="s">
        <v>1553</v>
      </c>
      <c r="C119" s="48"/>
      <c r="D119" s="49">
        <v>1022994000</v>
      </c>
      <c r="E119" s="49">
        <v>1233750000</v>
      </c>
      <c r="F119" s="49">
        <v>1357125000</v>
      </c>
      <c r="G119" s="49">
        <f t="shared" si="19"/>
        <v>1.3266206839922814</v>
      </c>
      <c r="H119" s="49">
        <v>528000000</v>
      </c>
      <c r="I119" s="49">
        <v>706000000</v>
      </c>
      <c r="J119" s="49">
        <f t="shared" si="20"/>
        <v>0.33712121212121215</v>
      </c>
      <c r="K119" s="49">
        <v>895119750</v>
      </c>
      <c r="L119" s="49">
        <v>1022994000</v>
      </c>
      <c r="M119" s="49">
        <f t="shared" si="16"/>
        <v>0.44900000000000007</v>
      </c>
      <c r="N119" s="49">
        <f t="shared" si="17"/>
        <v>818400000</v>
      </c>
      <c r="O119" s="49">
        <f t="shared" si="18"/>
        <v>1.55</v>
      </c>
      <c r="P119" s="49"/>
      <c r="Q119" s="49"/>
      <c r="R119" s="49"/>
      <c r="S119" s="50"/>
    </row>
    <row r="120" spans="1:19" ht="89.25" customHeight="1">
      <c r="A120" s="40" t="s">
        <v>1554</v>
      </c>
      <c r="B120" s="41" t="s">
        <v>1555</v>
      </c>
      <c r="C120" s="42"/>
      <c r="D120" s="43">
        <v>1163547000</v>
      </c>
      <c r="E120" s="43">
        <v>1407000000</v>
      </c>
      <c r="F120" s="43">
        <v>1547700000</v>
      </c>
      <c r="G120" s="43">
        <f t="shared" si="19"/>
        <v>1.330156839388525</v>
      </c>
      <c r="H120" s="43">
        <v>594000000</v>
      </c>
      <c r="I120" s="43">
        <v>803000000</v>
      </c>
      <c r="J120" s="43">
        <f t="shared" si="20"/>
        <v>0.35185185185185186</v>
      </c>
      <c r="K120" s="43">
        <v>1018103625</v>
      </c>
      <c r="L120" s="43">
        <v>1163547000</v>
      </c>
      <c r="M120" s="43">
        <f t="shared" si="16"/>
        <v>0.44900000000000007</v>
      </c>
      <c r="N120" s="43">
        <f t="shared" si="17"/>
        <v>920700000</v>
      </c>
      <c r="O120" s="43">
        <f t="shared" si="18"/>
        <v>1.55</v>
      </c>
      <c r="P120" s="43"/>
      <c r="Q120" s="43"/>
      <c r="R120" s="43"/>
      <c r="S120" s="44"/>
    </row>
    <row r="121" spans="1:19" ht="89.25" customHeight="1">
      <c r="A121" s="46" t="s">
        <v>1556</v>
      </c>
      <c r="B121" s="47" t="s">
        <v>1557</v>
      </c>
      <c r="C121" s="48"/>
      <c r="D121" s="49">
        <v>1412775000</v>
      </c>
      <c r="E121" s="49">
        <v>1712000000</v>
      </c>
      <c r="F121" s="49">
        <v>1883200000</v>
      </c>
      <c r="G121" s="49">
        <f t="shared" si="19"/>
        <v>1.3329794199359417</v>
      </c>
      <c r="H121" s="49">
        <v>726000000</v>
      </c>
      <c r="I121" s="49">
        <v>975000000</v>
      </c>
      <c r="J121" s="49">
        <f t="shared" si="20"/>
        <v>0.34297520661157033</v>
      </c>
      <c r="K121" s="49">
        <v>1236178125</v>
      </c>
      <c r="L121" s="49">
        <v>1412775000</v>
      </c>
      <c r="M121" s="49">
        <f t="shared" si="16"/>
        <v>0.44900000000000007</v>
      </c>
      <c r="N121" s="49">
        <f t="shared" si="17"/>
        <v>1125300000</v>
      </c>
      <c r="O121" s="49">
        <f t="shared" si="18"/>
        <v>1.55</v>
      </c>
      <c r="P121" s="49"/>
      <c r="Q121" s="49"/>
      <c r="R121" s="49"/>
      <c r="S121" s="50"/>
    </row>
    <row r="122" spans="1:19" ht="89.25" customHeight="1">
      <c r="A122" s="40" t="s">
        <v>1558</v>
      </c>
      <c r="B122" s="41" t="s">
        <v>1559</v>
      </c>
      <c r="C122" s="42"/>
      <c r="D122" s="43">
        <v>1709820000</v>
      </c>
      <c r="E122" s="43">
        <v>2069000000</v>
      </c>
      <c r="F122" s="43">
        <v>2275900000</v>
      </c>
      <c r="G122" s="43">
        <f t="shared" si="19"/>
        <v>1.3310757857552258</v>
      </c>
      <c r="H122" s="43">
        <v>858000000</v>
      </c>
      <c r="I122" s="43">
        <v>1180000000</v>
      </c>
      <c r="J122" s="43">
        <f t="shared" si="20"/>
        <v>0.37529137529137535</v>
      </c>
      <c r="K122" s="43">
        <v>1496092500</v>
      </c>
      <c r="L122" s="43">
        <v>1709820000</v>
      </c>
      <c r="M122" s="43">
        <f t="shared" si="16"/>
        <v>0.44900000000000007</v>
      </c>
      <c r="N122" s="43">
        <f t="shared" si="17"/>
        <v>1329900000</v>
      </c>
      <c r="O122" s="43">
        <f t="shared" si="18"/>
        <v>1.55</v>
      </c>
      <c r="P122" s="43"/>
      <c r="Q122" s="43"/>
      <c r="R122" s="43"/>
      <c r="S122" s="44"/>
    </row>
    <row r="123" spans="1:19" ht="13.9" customHeight="1">
      <c r="A123" s="84"/>
      <c r="B123" s="77"/>
      <c r="C123" s="78"/>
      <c r="D123" s="64"/>
      <c r="E123" s="64"/>
      <c r="F123" s="64"/>
      <c r="G123" s="64"/>
      <c r="H123" s="64"/>
      <c r="I123" s="64"/>
      <c r="J123" s="64"/>
      <c r="K123" s="64"/>
      <c r="L123" s="64"/>
      <c r="M123" s="64"/>
      <c r="N123" s="64"/>
      <c r="O123" s="64"/>
      <c r="P123" s="64"/>
      <c r="Q123" s="64"/>
      <c r="R123" s="64"/>
      <c r="S123" s="65"/>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theme="9"/>
  </sheetPr>
  <dimension ref="A1:O212"/>
  <sheetViews>
    <sheetView rightToLeft="1" workbookViewId="0">
      <pane ySplit="16" topLeftCell="A17" activePane="bottomLeft" state="frozen"/>
      <selection pane="bottomLeft"/>
    </sheetView>
  </sheetViews>
  <sheetFormatPr defaultRowHeight="13.5"/>
  <cols>
    <col min="1" max="1" width="14.1875" customWidth="1"/>
    <col min="2" max="2" width="46.6875" customWidth="1"/>
    <col min="3" max="3" width="10.8125" customWidth="1"/>
    <col min="4" max="4" width="18.3125" customWidth="1"/>
    <col min="6" max="6" width="18.3125" customWidth="1"/>
    <col min="8" max="11" width="18.3125" customWidth="1"/>
    <col min="13" max="14" width="18.3125" customWidth="1"/>
  </cols>
  <sheetData>
    <row r="1" spans="1:15" ht="32" customHeight="1">
      <c r="A1" s="302" t="s">
        <v>1560</v>
      </c>
      <c r="B1" s="297"/>
      <c r="C1" s="297"/>
      <c r="D1" s="297"/>
      <c r="E1" s="297"/>
      <c r="F1" s="297"/>
      <c r="G1" s="297"/>
      <c r="H1" s="297"/>
      <c r="I1" s="297"/>
      <c r="J1" s="297"/>
      <c r="K1" s="297"/>
      <c r="L1" s="297"/>
      <c r="M1" s="298"/>
      <c r="N1" s="28"/>
      <c r="O1" s="72"/>
    </row>
    <row r="2" spans="1:15" ht="28.05" customHeight="1">
      <c r="A2" s="30" t="s">
        <v>868</v>
      </c>
      <c r="B2" s="85" t="s">
        <v>869</v>
      </c>
      <c r="C2" s="85" t="s">
        <v>870</v>
      </c>
      <c r="D2" s="32" t="s">
        <v>871</v>
      </c>
      <c r="E2" s="32" t="s">
        <v>872</v>
      </c>
      <c r="F2" s="31" t="s">
        <v>873</v>
      </c>
      <c r="G2" s="31"/>
      <c r="H2" s="31" t="s">
        <v>1561</v>
      </c>
      <c r="I2" s="31"/>
      <c r="J2" s="32" t="s">
        <v>874</v>
      </c>
      <c r="K2" s="31" t="s">
        <v>875</v>
      </c>
      <c r="L2" s="31" t="s">
        <v>876</v>
      </c>
      <c r="M2" s="32" t="s">
        <v>877</v>
      </c>
      <c r="N2" s="31" t="s">
        <v>878</v>
      </c>
      <c r="O2" s="74"/>
    </row>
    <row r="3" spans="1:15" ht="89.25" customHeight="1">
      <c r="A3" s="86">
        <v>32340101</v>
      </c>
      <c r="B3" s="87" t="s">
        <v>1562</v>
      </c>
      <c r="C3" s="88" t="s">
        <v>881</v>
      </c>
      <c r="D3" s="37">
        <v>1603000000</v>
      </c>
      <c r="E3" s="37">
        <v>1955000000</v>
      </c>
      <c r="F3" s="37">
        <f t="shared" ref="F3:F32" si="0">E3/D3</f>
        <v>1.2195882719900186</v>
      </c>
      <c r="G3" s="37">
        <f t="shared" ref="G3:G46" si="1">E3/M3</f>
        <v>1.3390410958904109</v>
      </c>
      <c r="H3" s="37">
        <f t="shared" ref="H3:H46" si="2">E3*0.9</f>
        <v>1759500000</v>
      </c>
      <c r="I3" s="37">
        <f t="shared" ref="I3:I46" si="3">H3/M3</f>
        <v>1.2051369863013699</v>
      </c>
      <c r="J3" s="37">
        <v>909700000</v>
      </c>
      <c r="K3" s="37">
        <f>M3/J3</f>
        <v>1.6049247004506981</v>
      </c>
      <c r="L3" s="37"/>
      <c r="M3" s="37">
        <v>1460000000</v>
      </c>
      <c r="N3" s="37">
        <f t="shared" ref="N3:N46" si="4">M3/J3</f>
        <v>1.6049247004506981</v>
      </c>
      <c r="O3" s="38">
        <f>D3/M3</f>
        <v>1.0979452054794521</v>
      </c>
    </row>
    <row r="4" spans="1:15" ht="89.25" customHeight="1">
      <c r="A4" s="89">
        <v>32340102</v>
      </c>
      <c r="B4" s="57" t="s">
        <v>1563</v>
      </c>
      <c r="C4" s="90" t="s">
        <v>881</v>
      </c>
      <c r="D4" s="43">
        <v>1592000000</v>
      </c>
      <c r="E4" s="43">
        <v>1989500000</v>
      </c>
      <c r="F4" s="43">
        <f t="shared" si="0"/>
        <v>1.2496859296482412</v>
      </c>
      <c r="G4" s="43">
        <f t="shared" si="1"/>
        <v>1.2986292428198434</v>
      </c>
      <c r="H4" s="43">
        <f t="shared" si="2"/>
        <v>1790550000</v>
      </c>
      <c r="I4" s="43">
        <f t="shared" si="3"/>
        <v>1.168766318537859</v>
      </c>
      <c r="J4" s="43">
        <v>967780000</v>
      </c>
      <c r="K4" s="43"/>
      <c r="L4" s="43"/>
      <c r="M4" s="43">
        <v>1532000000</v>
      </c>
      <c r="N4" s="43">
        <f t="shared" si="4"/>
        <v>1.5830044018268614</v>
      </c>
      <c r="O4" s="44"/>
    </row>
    <row r="5" spans="1:15" ht="89.25" customHeight="1">
      <c r="A5" s="91">
        <v>32340103</v>
      </c>
      <c r="B5" s="59" t="s">
        <v>1564</v>
      </c>
      <c r="C5" s="92" t="s">
        <v>881</v>
      </c>
      <c r="D5" s="49">
        <v>2456000000</v>
      </c>
      <c r="E5" s="49">
        <v>3032400000</v>
      </c>
      <c r="F5" s="49">
        <f t="shared" si="0"/>
        <v>1.2346905537459283</v>
      </c>
      <c r="G5" s="49">
        <f t="shared" si="1"/>
        <v>1.2843710292249046</v>
      </c>
      <c r="H5" s="49">
        <f t="shared" si="2"/>
        <v>2729160000</v>
      </c>
      <c r="I5" s="49">
        <f t="shared" si="3"/>
        <v>1.1559339263024142</v>
      </c>
      <c r="J5" s="49">
        <v>1436171000</v>
      </c>
      <c r="K5" s="49"/>
      <c r="L5" s="49"/>
      <c r="M5" s="49">
        <v>2361000000</v>
      </c>
      <c r="N5" s="49">
        <f t="shared" si="4"/>
        <v>1.643954654424856</v>
      </c>
      <c r="O5" s="50"/>
    </row>
    <row r="6" spans="1:15" ht="89.25" customHeight="1">
      <c r="A6" s="89">
        <v>32340104</v>
      </c>
      <c r="B6" s="57" t="s">
        <v>1565</v>
      </c>
      <c r="C6" s="90" t="s">
        <v>881</v>
      </c>
      <c r="D6" s="43">
        <v>2488500000</v>
      </c>
      <c r="E6" s="43">
        <v>3150000000</v>
      </c>
      <c r="F6" s="43">
        <f t="shared" si="0"/>
        <v>1.2658227848101267</v>
      </c>
      <c r="G6" s="43">
        <f t="shared" si="1"/>
        <v>1.2830957230142566</v>
      </c>
      <c r="H6" s="43">
        <f t="shared" si="2"/>
        <v>2835000000</v>
      </c>
      <c r="I6" s="43">
        <f t="shared" si="3"/>
        <v>1.154786150712831</v>
      </c>
      <c r="J6" s="43">
        <v>1607760000</v>
      </c>
      <c r="K6" s="43"/>
      <c r="L6" s="43"/>
      <c r="M6" s="43">
        <v>2455000000</v>
      </c>
      <c r="N6" s="43">
        <f t="shared" si="4"/>
        <v>1.5269691993829926</v>
      </c>
      <c r="O6" s="44"/>
    </row>
    <row r="7" spans="1:15" ht="89.25" customHeight="1">
      <c r="A7" s="91">
        <v>32340105</v>
      </c>
      <c r="B7" s="59" t="s">
        <v>1566</v>
      </c>
      <c r="C7" s="92" t="s">
        <v>881</v>
      </c>
      <c r="D7" s="49">
        <v>2543000000</v>
      </c>
      <c r="E7" s="49">
        <v>3261000000</v>
      </c>
      <c r="F7" s="49">
        <f t="shared" si="0"/>
        <v>1.2823436885568227</v>
      </c>
      <c r="G7" s="49">
        <f t="shared" si="1"/>
        <v>1.2324263038548753</v>
      </c>
      <c r="H7" s="49">
        <f t="shared" si="2"/>
        <v>2934900000</v>
      </c>
      <c r="I7" s="49">
        <f t="shared" si="3"/>
        <v>1.1091836734693878</v>
      </c>
      <c r="J7" s="49">
        <v>1668700000</v>
      </c>
      <c r="K7" s="49"/>
      <c r="L7" s="49"/>
      <c r="M7" s="49">
        <v>2646000000</v>
      </c>
      <c r="N7" s="49">
        <f t="shared" si="4"/>
        <v>1.5856654881045125</v>
      </c>
      <c r="O7" s="50"/>
    </row>
    <row r="8" spans="1:15" ht="89.25" customHeight="1">
      <c r="A8" s="89">
        <v>32340106</v>
      </c>
      <c r="B8" s="57" t="s">
        <v>1567</v>
      </c>
      <c r="C8" s="90" t="s">
        <v>881</v>
      </c>
      <c r="D8" s="43">
        <v>3127000000</v>
      </c>
      <c r="E8" s="43">
        <v>3813000000</v>
      </c>
      <c r="F8" s="43">
        <f t="shared" si="0"/>
        <v>1.2193795970578829</v>
      </c>
      <c r="G8" s="43">
        <f t="shared" si="1"/>
        <v>1.3444992947813823</v>
      </c>
      <c r="H8" s="43">
        <f t="shared" si="2"/>
        <v>3431700000</v>
      </c>
      <c r="I8" s="43">
        <f t="shared" si="3"/>
        <v>1.210049365303244</v>
      </c>
      <c r="J8" s="43">
        <v>1760891000</v>
      </c>
      <c r="K8" s="43"/>
      <c r="L8" s="43"/>
      <c r="M8" s="43">
        <v>2836000000</v>
      </c>
      <c r="N8" s="43">
        <f t="shared" si="4"/>
        <v>1.6105482962886402</v>
      </c>
      <c r="O8" s="44"/>
    </row>
    <row r="9" spans="1:15" ht="89.25" customHeight="1">
      <c r="A9" s="91">
        <v>32340107</v>
      </c>
      <c r="B9" s="59" t="s">
        <v>1568</v>
      </c>
      <c r="C9" s="92" t="s">
        <v>881</v>
      </c>
      <c r="D9" s="49">
        <v>3913000000</v>
      </c>
      <c r="E9" s="49">
        <v>5016500000</v>
      </c>
      <c r="F9" s="49">
        <f t="shared" si="0"/>
        <v>1.2820086889854332</v>
      </c>
      <c r="G9" s="49">
        <f t="shared" si="1"/>
        <v>1.3366996189613365</v>
      </c>
      <c r="H9" s="49">
        <f t="shared" si="2"/>
        <v>4514850000</v>
      </c>
      <c r="I9" s="49">
        <f t="shared" si="3"/>
        <v>1.2030296570652028</v>
      </c>
      <c r="J9" s="49">
        <v>2302014000</v>
      </c>
      <c r="K9" s="49"/>
      <c r="L9" s="49"/>
      <c r="M9" s="49">
        <v>3752900000</v>
      </c>
      <c r="N9" s="49">
        <f t="shared" si="4"/>
        <v>1.6302681043642653</v>
      </c>
      <c r="O9" s="50"/>
    </row>
    <row r="10" spans="1:15" ht="89.25" customHeight="1">
      <c r="A10" s="89">
        <v>32340108</v>
      </c>
      <c r="B10" s="57" t="s">
        <v>1569</v>
      </c>
      <c r="C10" s="90" t="s">
        <v>881</v>
      </c>
      <c r="D10" s="43">
        <v>4477000000</v>
      </c>
      <c r="E10" s="43">
        <v>5459300000</v>
      </c>
      <c r="F10" s="43">
        <f t="shared" si="0"/>
        <v>1.2194103194103194</v>
      </c>
      <c r="G10" s="43">
        <f t="shared" si="1"/>
        <v>1.3347921760391197</v>
      </c>
      <c r="H10" s="43">
        <f t="shared" si="2"/>
        <v>4913370000</v>
      </c>
      <c r="I10" s="43">
        <f t="shared" si="3"/>
        <v>1.2013129584352078</v>
      </c>
      <c r="J10" s="43">
        <v>2551285000</v>
      </c>
      <c r="K10" s="43"/>
      <c r="L10" s="43"/>
      <c r="M10" s="43">
        <v>4090000000</v>
      </c>
      <c r="N10" s="43">
        <f t="shared" si="4"/>
        <v>1.6031137250444385</v>
      </c>
      <c r="O10" s="44"/>
    </row>
    <row r="11" spans="1:15" ht="89.25" customHeight="1">
      <c r="A11" s="91">
        <v>32340109</v>
      </c>
      <c r="B11" s="59" t="s">
        <v>1570</v>
      </c>
      <c r="C11" s="92" t="s">
        <v>881</v>
      </c>
      <c r="D11" s="49">
        <v>4967000000</v>
      </c>
      <c r="E11" s="49">
        <v>5798500000</v>
      </c>
      <c r="F11" s="49">
        <f t="shared" si="0"/>
        <v>1.1674048721562311</v>
      </c>
      <c r="G11" s="49">
        <f t="shared" si="1"/>
        <v>1.374312665908229</v>
      </c>
      <c r="H11" s="49">
        <f t="shared" si="2"/>
        <v>5218650000</v>
      </c>
      <c r="I11" s="49">
        <f t="shared" si="3"/>
        <v>1.2368813993174061</v>
      </c>
      <c r="J11" s="49">
        <v>2644037000</v>
      </c>
      <c r="K11" s="49"/>
      <c r="L11" s="49"/>
      <c r="M11" s="49">
        <v>4219200000</v>
      </c>
      <c r="N11" s="49">
        <f t="shared" si="4"/>
        <v>1.5957416632218082</v>
      </c>
      <c r="O11" s="50"/>
    </row>
    <row r="12" spans="1:15" ht="89.25" customHeight="1">
      <c r="A12" s="89">
        <v>32340110</v>
      </c>
      <c r="B12" s="57" t="s">
        <v>1571</v>
      </c>
      <c r="C12" s="90" t="s">
        <v>881</v>
      </c>
      <c r="D12" s="43">
        <v>5754000000</v>
      </c>
      <c r="E12" s="43">
        <v>7018200000</v>
      </c>
      <c r="F12" s="43">
        <f t="shared" si="0"/>
        <v>1.2197080291970803</v>
      </c>
      <c r="G12" s="43">
        <f t="shared" si="1"/>
        <v>1.3281983345950037</v>
      </c>
      <c r="H12" s="43">
        <f t="shared" si="2"/>
        <v>6316380000</v>
      </c>
      <c r="I12" s="43">
        <f t="shared" si="3"/>
        <v>1.1953785011355034</v>
      </c>
      <c r="J12" s="43">
        <v>3710608000</v>
      </c>
      <c r="K12" s="43"/>
      <c r="L12" s="43"/>
      <c r="M12" s="43">
        <v>5284000000</v>
      </c>
      <c r="N12" s="43">
        <f t="shared" si="4"/>
        <v>1.4240253888311565</v>
      </c>
      <c r="O12" s="44"/>
    </row>
    <row r="13" spans="1:15" ht="89.25" customHeight="1">
      <c r="A13" s="91">
        <v>32340111</v>
      </c>
      <c r="B13" s="59" t="s">
        <v>1572</v>
      </c>
      <c r="C13" s="92" t="s">
        <v>881</v>
      </c>
      <c r="D13" s="49">
        <v>8520000000</v>
      </c>
      <c r="E13" s="49">
        <v>10783900000</v>
      </c>
      <c r="F13" s="49">
        <f t="shared" si="0"/>
        <v>1.2657159624413146</v>
      </c>
      <c r="G13" s="49">
        <f t="shared" si="1"/>
        <v>1.3868005812682449</v>
      </c>
      <c r="H13" s="49">
        <f t="shared" si="2"/>
        <v>9705510000</v>
      </c>
      <c r="I13" s="49">
        <f t="shared" si="3"/>
        <v>1.2481205231414205</v>
      </c>
      <c r="J13" s="49">
        <v>5067953000</v>
      </c>
      <c r="K13" s="49"/>
      <c r="L13" s="49"/>
      <c r="M13" s="49">
        <v>7776100000</v>
      </c>
      <c r="N13" s="49">
        <f t="shared" si="4"/>
        <v>1.534367031422746</v>
      </c>
      <c r="O13" s="50"/>
    </row>
    <row r="14" spans="1:15" ht="89.25" customHeight="1">
      <c r="A14" s="89">
        <v>32340112</v>
      </c>
      <c r="B14" s="57" t="s">
        <v>1573</v>
      </c>
      <c r="C14" s="90" t="s">
        <v>881</v>
      </c>
      <c r="D14" s="43">
        <v>11525000000</v>
      </c>
      <c r="E14" s="43">
        <v>14055000000</v>
      </c>
      <c r="F14" s="43">
        <f t="shared" si="0"/>
        <v>1.2195227765726682</v>
      </c>
      <c r="G14" s="43">
        <f t="shared" si="1"/>
        <v>1.4012122903914024</v>
      </c>
      <c r="H14" s="43">
        <f t="shared" si="2"/>
        <v>12649500000</v>
      </c>
      <c r="I14" s="43">
        <f t="shared" si="3"/>
        <v>1.2610910613522621</v>
      </c>
      <c r="J14" s="43">
        <v>6704368000</v>
      </c>
      <c r="K14" s="43"/>
      <c r="L14" s="43"/>
      <c r="M14" s="43">
        <v>10030600000</v>
      </c>
      <c r="N14" s="43">
        <f t="shared" si="4"/>
        <v>1.4961290907659006</v>
      </c>
      <c r="O14" s="44"/>
    </row>
    <row r="15" spans="1:15" ht="89.25" customHeight="1">
      <c r="A15" s="91">
        <v>32340113</v>
      </c>
      <c r="B15" s="59" t="s">
        <v>1574</v>
      </c>
      <c r="C15" s="92" t="s">
        <v>881</v>
      </c>
      <c r="D15" s="49">
        <v>12562000000</v>
      </c>
      <c r="E15" s="49">
        <v>16105200000</v>
      </c>
      <c r="F15" s="49">
        <f t="shared" si="0"/>
        <v>1.2820569972934246</v>
      </c>
      <c r="G15" s="49">
        <f t="shared" si="1"/>
        <v>1.3842266304534672</v>
      </c>
      <c r="H15" s="49">
        <f t="shared" si="2"/>
        <v>14494680000</v>
      </c>
      <c r="I15" s="49">
        <f t="shared" si="3"/>
        <v>1.2458039674081205</v>
      </c>
      <c r="J15" s="49">
        <v>7527487000</v>
      </c>
      <c r="K15" s="49"/>
      <c r="L15" s="49"/>
      <c r="M15" s="49">
        <v>11634800000</v>
      </c>
      <c r="N15" s="49">
        <f t="shared" si="4"/>
        <v>1.5456419918094844</v>
      </c>
      <c r="O15" s="50"/>
    </row>
    <row r="16" spans="1:15" ht="89.25" customHeight="1">
      <c r="A16" s="89">
        <v>32340114</v>
      </c>
      <c r="B16" s="57" t="s">
        <v>1575</v>
      </c>
      <c r="C16" s="90" t="s">
        <v>881</v>
      </c>
      <c r="D16" s="43">
        <v>13489000000</v>
      </c>
      <c r="E16" s="43">
        <v>16651500000</v>
      </c>
      <c r="F16" s="43">
        <f t="shared" si="0"/>
        <v>1.2344502928311958</v>
      </c>
      <c r="G16" s="43">
        <f t="shared" si="1"/>
        <v>1.3948433141507299</v>
      </c>
      <c r="H16" s="43">
        <f t="shared" si="2"/>
        <v>14986350000</v>
      </c>
      <c r="I16" s="43">
        <f t="shared" si="3"/>
        <v>1.255358982735657</v>
      </c>
      <c r="J16" s="43">
        <v>7747487000</v>
      </c>
      <c r="K16" s="43"/>
      <c r="L16" s="43"/>
      <c r="M16" s="43">
        <v>11937900000</v>
      </c>
      <c r="N16" s="43">
        <f t="shared" si="4"/>
        <v>1.5408738343155659</v>
      </c>
      <c r="O16" s="44"/>
    </row>
    <row r="17" spans="1:15" ht="89.25" customHeight="1">
      <c r="A17" s="91">
        <v>32340115</v>
      </c>
      <c r="B17" s="59" t="s">
        <v>1576</v>
      </c>
      <c r="C17" s="92" t="s">
        <v>881</v>
      </c>
      <c r="D17" s="49">
        <v>14964260000</v>
      </c>
      <c r="E17" s="49">
        <v>18474400000</v>
      </c>
      <c r="F17" s="49">
        <f t="shared" si="0"/>
        <v>1.2345682312389654</v>
      </c>
      <c r="G17" s="49">
        <f t="shared" si="1"/>
        <v>1.4048973384030419</v>
      </c>
      <c r="H17" s="49">
        <f t="shared" si="2"/>
        <v>16626960000</v>
      </c>
      <c r="I17" s="49">
        <f t="shared" si="3"/>
        <v>1.2644076045627377</v>
      </c>
      <c r="J17" s="49">
        <v>8688966000</v>
      </c>
      <c r="K17" s="49"/>
      <c r="L17" s="49"/>
      <c r="M17" s="49">
        <v>13150000000</v>
      </c>
      <c r="N17" s="49">
        <f t="shared" si="4"/>
        <v>1.5134136789118522</v>
      </c>
      <c r="O17" s="50"/>
    </row>
    <row r="18" spans="1:15" ht="89.25" customHeight="1">
      <c r="A18" s="89">
        <v>32340116</v>
      </c>
      <c r="B18" s="57" t="s">
        <v>1577</v>
      </c>
      <c r="C18" s="90" t="s">
        <v>881</v>
      </c>
      <c r="D18" s="43">
        <v>18190000000</v>
      </c>
      <c r="E18" s="43">
        <v>23320500000</v>
      </c>
      <c r="F18" s="43">
        <f t="shared" si="0"/>
        <v>1.282050577240242</v>
      </c>
      <c r="G18" s="43">
        <f t="shared" si="1"/>
        <v>1.3771081349206349</v>
      </c>
      <c r="H18" s="43">
        <f t="shared" si="2"/>
        <v>20988450000</v>
      </c>
      <c r="I18" s="43">
        <f t="shared" si="3"/>
        <v>1.2393973214285714</v>
      </c>
      <c r="J18" s="43">
        <v>11458997000</v>
      </c>
      <c r="K18" s="43"/>
      <c r="L18" s="43"/>
      <c r="M18" s="43">
        <v>16934400000</v>
      </c>
      <c r="N18" s="43">
        <f t="shared" si="4"/>
        <v>1.4778256770640572</v>
      </c>
      <c r="O18" s="44"/>
    </row>
    <row r="19" spans="1:15" ht="89.25" customHeight="1">
      <c r="A19" s="91">
        <v>32340117</v>
      </c>
      <c r="B19" s="59" t="s">
        <v>1578</v>
      </c>
      <c r="C19" s="92" t="s">
        <v>881</v>
      </c>
      <c r="D19" s="49">
        <v>20787000000</v>
      </c>
      <c r="E19" s="49">
        <v>25663300000</v>
      </c>
      <c r="F19" s="49">
        <f t="shared" si="0"/>
        <v>1.2345841150719199</v>
      </c>
      <c r="G19" s="49">
        <f t="shared" si="1"/>
        <v>1.3464480587618048</v>
      </c>
      <c r="H19" s="49">
        <f t="shared" si="2"/>
        <v>23096970000</v>
      </c>
      <c r="I19" s="49">
        <f t="shared" si="3"/>
        <v>1.2118032528856244</v>
      </c>
      <c r="J19" s="49">
        <v>12847560000</v>
      </c>
      <c r="K19" s="49"/>
      <c r="L19" s="49"/>
      <c r="M19" s="49">
        <v>19060000000</v>
      </c>
      <c r="N19" s="49">
        <f t="shared" si="4"/>
        <v>1.4835501838481393</v>
      </c>
      <c r="O19" s="50"/>
    </row>
    <row r="20" spans="1:15" ht="89.25" customHeight="1">
      <c r="A20" s="89">
        <v>32340118</v>
      </c>
      <c r="B20" s="57" t="s">
        <v>1579</v>
      </c>
      <c r="C20" s="90" t="s">
        <v>881</v>
      </c>
      <c r="D20" s="43">
        <v>21144000000</v>
      </c>
      <c r="E20" s="43">
        <v>27107600000</v>
      </c>
      <c r="F20" s="43">
        <f t="shared" si="0"/>
        <v>1.2820469163828982</v>
      </c>
      <c r="G20" s="43">
        <f t="shared" si="1"/>
        <v>0.78256551787848516</v>
      </c>
      <c r="H20" s="43">
        <f t="shared" si="2"/>
        <v>24396840000</v>
      </c>
      <c r="I20" s="43">
        <f t="shared" si="3"/>
        <v>0.70430896609063665</v>
      </c>
      <c r="J20" s="43">
        <v>22575828000</v>
      </c>
      <c r="K20" s="43"/>
      <c r="L20" s="43"/>
      <c r="M20" s="43">
        <v>34639400000</v>
      </c>
      <c r="N20" s="43">
        <f t="shared" si="4"/>
        <v>1.5343578981909323</v>
      </c>
      <c r="O20" s="44"/>
    </row>
    <row r="21" spans="1:15" ht="89.25" customHeight="1">
      <c r="A21" s="91">
        <v>32340119</v>
      </c>
      <c r="B21" s="59" t="s">
        <v>1580</v>
      </c>
      <c r="C21" s="92" t="s">
        <v>881</v>
      </c>
      <c r="D21" s="49">
        <v>22194000000</v>
      </c>
      <c r="E21" s="49">
        <v>28093500000</v>
      </c>
      <c r="F21" s="49">
        <f t="shared" si="0"/>
        <v>1.2658150851581509</v>
      </c>
      <c r="G21" s="49">
        <f t="shared" si="1"/>
        <v>0.7936106622673702</v>
      </c>
      <c r="H21" s="49">
        <f t="shared" si="2"/>
        <v>25284150000</v>
      </c>
      <c r="I21" s="49">
        <f t="shared" si="3"/>
        <v>0.71424959604063321</v>
      </c>
      <c r="J21" s="49">
        <v>24775828000</v>
      </c>
      <c r="K21" s="49"/>
      <c r="L21" s="49"/>
      <c r="M21" s="49">
        <v>35399600000</v>
      </c>
      <c r="N21" s="49">
        <f t="shared" si="4"/>
        <v>1.4287958408493957</v>
      </c>
      <c r="O21" s="50"/>
    </row>
    <row r="22" spans="1:15" ht="89.25" customHeight="1">
      <c r="A22" s="89">
        <v>32340120</v>
      </c>
      <c r="B22" s="57" t="s">
        <v>1581</v>
      </c>
      <c r="C22" s="90" t="s">
        <v>881</v>
      </c>
      <c r="D22" s="43">
        <v>2947000000</v>
      </c>
      <c r="E22" s="43">
        <v>3813000000</v>
      </c>
      <c r="F22" s="43">
        <f t="shared" si="0"/>
        <v>1.2938581608415338</v>
      </c>
      <c r="G22" s="43">
        <f t="shared" si="1"/>
        <v>1.344451888156271</v>
      </c>
      <c r="H22" s="43">
        <f t="shared" si="2"/>
        <v>3431700000</v>
      </c>
      <c r="I22" s="43">
        <f t="shared" si="3"/>
        <v>1.2100066993406438</v>
      </c>
      <c r="J22" s="43">
        <v>1793891000</v>
      </c>
      <c r="K22" s="43"/>
      <c r="L22" s="43"/>
      <c r="M22" s="43">
        <v>2836100000</v>
      </c>
      <c r="N22" s="43">
        <f t="shared" si="4"/>
        <v>1.5809767706064639</v>
      </c>
      <c r="O22" s="44"/>
    </row>
    <row r="23" spans="1:15" ht="89.25" customHeight="1">
      <c r="A23" s="91">
        <v>32340121</v>
      </c>
      <c r="B23" s="59" t="s">
        <v>1582</v>
      </c>
      <c r="C23" s="92" t="s">
        <v>881</v>
      </c>
      <c r="D23" s="49">
        <v>4080000000</v>
      </c>
      <c r="E23" s="49">
        <v>4976000000</v>
      </c>
      <c r="F23" s="49">
        <f t="shared" si="0"/>
        <v>1.219607843137255</v>
      </c>
      <c r="G23" s="49">
        <f t="shared" si="1"/>
        <v>1.3237915347575089</v>
      </c>
      <c r="H23" s="49">
        <f t="shared" si="2"/>
        <v>4478400000</v>
      </c>
      <c r="I23" s="49">
        <f t="shared" si="3"/>
        <v>1.1914123812817579</v>
      </c>
      <c r="J23" s="49">
        <v>2360402000</v>
      </c>
      <c r="K23" s="49"/>
      <c r="L23" s="49"/>
      <c r="M23" s="49">
        <v>3758900000</v>
      </c>
      <c r="N23" s="49">
        <f t="shared" si="4"/>
        <v>1.5924829753575873</v>
      </c>
      <c r="O23" s="50"/>
    </row>
    <row r="24" spans="1:15" ht="89.25" customHeight="1">
      <c r="A24" s="89">
        <v>32340122</v>
      </c>
      <c r="B24" s="57" t="s">
        <v>1583</v>
      </c>
      <c r="C24" s="90" t="s">
        <v>881</v>
      </c>
      <c r="D24" s="43">
        <v>4300000000</v>
      </c>
      <c r="E24" s="43">
        <v>5308500000</v>
      </c>
      <c r="F24" s="43">
        <f t="shared" si="0"/>
        <v>1.2345348837209302</v>
      </c>
      <c r="G24" s="43">
        <f t="shared" si="1"/>
        <v>1.2953247767312479</v>
      </c>
      <c r="H24" s="43">
        <f t="shared" si="2"/>
        <v>4777650000</v>
      </c>
      <c r="I24" s="43">
        <f t="shared" si="3"/>
        <v>1.1657922990581231</v>
      </c>
      <c r="J24" s="43">
        <v>2605680000</v>
      </c>
      <c r="K24" s="43"/>
      <c r="L24" s="43"/>
      <c r="M24" s="43">
        <v>4098200000</v>
      </c>
      <c r="N24" s="43">
        <f t="shared" si="4"/>
        <v>1.5727948174756685</v>
      </c>
      <c r="O24" s="44"/>
    </row>
    <row r="25" spans="1:15" ht="89.25" customHeight="1">
      <c r="A25" s="91">
        <v>32340123</v>
      </c>
      <c r="B25" s="59" t="s">
        <v>1584</v>
      </c>
      <c r="C25" s="92" t="s">
        <v>881</v>
      </c>
      <c r="D25" s="49">
        <v>45980000000</v>
      </c>
      <c r="E25" s="49">
        <v>5606800000</v>
      </c>
      <c r="F25" s="49">
        <f t="shared" si="0"/>
        <v>0.12193997390169639</v>
      </c>
      <c r="G25" s="49">
        <f t="shared" si="1"/>
        <v>1.3286255924170616</v>
      </c>
      <c r="H25" s="49">
        <f t="shared" si="2"/>
        <v>5046120000</v>
      </c>
      <c r="I25" s="49">
        <f t="shared" si="3"/>
        <v>1.1957630331753555</v>
      </c>
      <c r="J25" s="49">
        <v>2660680000</v>
      </c>
      <c r="K25" s="49"/>
      <c r="L25" s="49"/>
      <c r="M25" s="49">
        <v>4220000000</v>
      </c>
      <c r="N25" s="49">
        <f t="shared" si="4"/>
        <v>1.5860607062856111</v>
      </c>
      <c r="O25" s="50"/>
    </row>
    <row r="26" spans="1:15" ht="89.25" customHeight="1">
      <c r="A26" s="89">
        <v>32340124</v>
      </c>
      <c r="B26" s="57" t="s">
        <v>1585</v>
      </c>
      <c r="C26" s="90" t="s">
        <v>881</v>
      </c>
      <c r="D26" s="43">
        <v>5389000000</v>
      </c>
      <c r="E26" s="43">
        <v>6909200000</v>
      </c>
      <c r="F26" s="43">
        <f t="shared" si="0"/>
        <v>1.2820931527185007</v>
      </c>
      <c r="G26" s="43">
        <f t="shared" si="1"/>
        <v>1.3075700227100682</v>
      </c>
      <c r="H26" s="43">
        <f t="shared" si="2"/>
        <v>6218280000</v>
      </c>
      <c r="I26" s="43">
        <f t="shared" si="3"/>
        <v>1.1768130204390612</v>
      </c>
      <c r="J26" s="43">
        <v>3709640000</v>
      </c>
      <c r="K26" s="43"/>
      <c r="L26" s="43"/>
      <c r="M26" s="43">
        <v>5284000000</v>
      </c>
      <c r="N26" s="43">
        <f t="shared" si="4"/>
        <v>1.424396976526024</v>
      </c>
      <c r="O26" s="44"/>
    </row>
    <row r="27" spans="1:15" ht="89.25" customHeight="1">
      <c r="A27" s="91">
        <v>32340125</v>
      </c>
      <c r="B27" s="59" t="s">
        <v>1586</v>
      </c>
      <c r="C27" s="92" t="s">
        <v>881</v>
      </c>
      <c r="D27" s="49">
        <v>8253000000</v>
      </c>
      <c r="E27" s="49">
        <v>10446700000</v>
      </c>
      <c r="F27" s="49">
        <f t="shared" si="0"/>
        <v>1.2658063734399612</v>
      </c>
      <c r="G27" s="49">
        <f t="shared" si="1"/>
        <v>1.3385997283514006</v>
      </c>
      <c r="H27" s="49">
        <f t="shared" si="2"/>
        <v>9402030000</v>
      </c>
      <c r="I27" s="49">
        <f t="shared" si="3"/>
        <v>1.2047397555162604</v>
      </c>
      <c r="J27" s="49">
        <v>5065236000</v>
      </c>
      <c r="K27" s="49"/>
      <c r="L27" s="49"/>
      <c r="M27" s="49">
        <v>7804200000</v>
      </c>
      <c r="N27" s="49">
        <f t="shared" si="4"/>
        <v>1.5407376872469516</v>
      </c>
      <c r="O27" s="50"/>
    </row>
    <row r="28" spans="1:15" ht="89.25" customHeight="1">
      <c r="A28" s="89">
        <v>32340126</v>
      </c>
      <c r="B28" s="57" t="s">
        <v>1587</v>
      </c>
      <c r="C28" s="90" t="s">
        <v>881</v>
      </c>
      <c r="D28" s="43">
        <v>11060000000</v>
      </c>
      <c r="E28" s="43">
        <v>13655000000</v>
      </c>
      <c r="F28" s="43">
        <f t="shared" si="0"/>
        <v>1.234629294755877</v>
      </c>
      <c r="G28" s="43">
        <f t="shared" si="1"/>
        <v>1.3628846244057653</v>
      </c>
      <c r="H28" s="43">
        <f t="shared" si="2"/>
        <v>12289500000</v>
      </c>
      <c r="I28" s="43">
        <f t="shared" si="3"/>
        <v>1.2265961619651888</v>
      </c>
      <c r="J28" s="43">
        <v>6686042000</v>
      </c>
      <c r="K28" s="43"/>
      <c r="L28" s="43"/>
      <c r="M28" s="43">
        <v>10019190000</v>
      </c>
      <c r="N28" s="43">
        <f t="shared" si="4"/>
        <v>1.4985233416122723</v>
      </c>
      <c r="O28" s="44"/>
    </row>
    <row r="29" spans="1:15" ht="89.25" customHeight="1">
      <c r="A29" s="91">
        <v>32340127</v>
      </c>
      <c r="B29" s="59" t="s">
        <v>1588</v>
      </c>
      <c r="C29" s="92" t="s">
        <v>881</v>
      </c>
      <c r="D29" s="49">
        <v>2974000000</v>
      </c>
      <c r="E29" s="49">
        <v>3813000000</v>
      </c>
      <c r="F29" s="49">
        <f t="shared" si="0"/>
        <v>1.2821116341627439</v>
      </c>
      <c r="G29" s="49">
        <f t="shared" si="1"/>
        <v>1.344451888156271</v>
      </c>
      <c r="H29" s="49">
        <f t="shared" si="2"/>
        <v>3431700000</v>
      </c>
      <c r="I29" s="49">
        <f t="shared" si="3"/>
        <v>1.2100066993406438</v>
      </c>
      <c r="J29" s="49">
        <v>1815891000</v>
      </c>
      <c r="K29" s="49"/>
      <c r="L29" s="49"/>
      <c r="M29" s="49">
        <v>2836100000</v>
      </c>
      <c r="N29" s="49">
        <f t="shared" si="4"/>
        <v>1.5618228186603711</v>
      </c>
      <c r="O29" s="50"/>
    </row>
    <row r="30" spans="1:15" ht="89.25" customHeight="1">
      <c r="A30" s="89">
        <v>32340128</v>
      </c>
      <c r="B30" s="57" t="s">
        <v>1589</v>
      </c>
      <c r="C30" s="90" t="s">
        <v>881</v>
      </c>
      <c r="D30" s="43">
        <v>3717000000</v>
      </c>
      <c r="E30" s="43">
        <v>4705000000</v>
      </c>
      <c r="F30" s="43">
        <f t="shared" si="0"/>
        <v>1.2658057573311812</v>
      </c>
      <c r="G30" s="43">
        <f t="shared" si="1"/>
        <v>1.2536971408777213</v>
      </c>
      <c r="H30" s="43">
        <f t="shared" si="2"/>
        <v>4234500000</v>
      </c>
      <c r="I30" s="43">
        <f t="shared" si="3"/>
        <v>1.128327426789949</v>
      </c>
      <c r="J30" s="43">
        <v>2415402000</v>
      </c>
      <c r="K30" s="43"/>
      <c r="L30" s="43"/>
      <c r="M30" s="43">
        <v>3752900000</v>
      </c>
      <c r="N30" s="43">
        <f t="shared" si="4"/>
        <v>1.5537372246938606</v>
      </c>
      <c r="O30" s="44"/>
    </row>
    <row r="31" spans="1:15" ht="89.25" customHeight="1">
      <c r="A31" s="91">
        <v>32340129</v>
      </c>
      <c r="B31" s="59" t="s">
        <v>1590</v>
      </c>
      <c r="C31" s="92" t="s">
        <v>881</v>
      </c>
      <c r="D31" s="49">
        <v>4194000000</v>
      </c>
      <c r="E31" s="49">
        <v>5308500000</v>
      </c>
      <c r="F31" s="49">
        <f t="shared" si="0"/>
        <v>1.2657367668097281</v>
      </c>
      <c r="G31" s="49">
        <f t="shared" si="1"/>
        <v>1.2953247767312479</v>
      </c>
      <c r="H31" s="49">
        <f t="shared" si="2"/>
        <v>4777650000</v>
      </c>
      <c r="I31" s="49">
        <f t="shared" si="3"/>
        <v>1.1657922990581231</v>
      </c>
      <c r="J31" s="49">
        <v>2660680000</v>
      </c>
      <c r="K31" s="49"/>
      <c r="L31" s="49"/>
      <c r="M31" s="49">
        <v>4098200000</v>
      </c>
      <c r="N31" s="49">
        <f t="shared" si="4"/>
        <v>1.5402829351895004</v>
      </c>
      <c r="O31" s="50"/>
    </row>
    <row r="32" spans="1:15" ht="89.25" customHeight="1">
      <c r="A32" s="89">
        <v>32340130</v>
      </c>
      <c r="B32" s="57" t="s">
        <v>1591</v>
      </c>
      <c r="C32" s="90" t="s">
        <v>881</v>
      </c>
      <c r="D32" s="43">
        <v>4598000000</v>
      </c>
      <c r="E32" s="43">
        <v>5606800000</v>
      </c>
      <c r="F32" s="43">
        <f t="shared" si="0"/>
        <v>1.219399739016964</v>
      </c>
      <c r="G32" s="43">
        <f t="shared" si="1"/>
        <v>1.328562627363632</v>
      </c>
      <c r="H32" s="43">
        <f t="shared" si="2"/>
        <v>5046120000</v>
      </c>
      <c r="I32" s="43">
        <f t="shared" si="3"/>
        <v>1.1957063646272688</v>
      </c>
      <c r="J32" s="43">
        <v>2715680000</v>
      </c>
      <c r="K32" s="43"/>
      <c r="L32" s="43"/>
      <c r="M32" s="43">
        <v>4220200000</v>
      </c>
      <c r="N32" s="43">
        <f t="shared" si="4"/>
        <v>1.5540122547575561</v>
      </c>
      <c r="O32" s="44"/>
    </row>
    <row r="33" spans="1:15" ht="63.75" customHeight="1">
      <c r="A33" s="91">
        <v>32340201</v>
      </c>
      <c r="B33" s="59" t="s">
        <v>1592</v>
      </c>
      <c r="C33" s="92" t="s">
        <v>881</v>
      </c>
      <c r="D33" s="49"/>
      <c r="E33" s="49">
        <f t="shared" ref="E33:E46" si="5">M33*1.19</f>
        <v>9758595000</v>
      </c>
      <c r="F33" s="49"/>
      <c r="G33" s="49">
        <f t="shared" si="1"/>
        <v>1.19</v>
      </c>
      <c r="H33" s="49">
        <f t="shared" si="2"/>
        <v>8782735500</v>
      </c>
      <c r="I33" s="49">
        <f t="shared" si="3"/>
        <v>1.071</v>
      </c>
      <c r="J33" s="49">
        <v>5775000000</v>
      </c>
      <c r="K33" s="49"/>
      <c r="L33" s="49"/>
      <c r="M33" s="49">
        <f t="shared" ref="M33:M46" si="6">J33*1.42</f>
        <v>8200500000</v>
      </c>
      <c r="N33" s="49">
        <f t="shared" si="4"/>
        <v>1.42</v>
      </c>
      <c r="O33" s="50"/>
    </row>
    <row r="34" spans="1:15" ht="63.75" customHeight="1">
      <c r="A34" s="89">
        <v>32340202</v>
      </c>
      <c r="B34" s="57" t="s">
        <v>1593</v>
      </c>
      <c r="C34" s="90" t="s">
        <v>881</v>
      </c>
      <c r="D34" s="43"/>
      <c r="E34" s="43">
        <f t="shared" si="5"/>
        <v>11710314000</v>
      </c>
      <c r="F34" s="43"/>
      <c r="G34" s="43">
        <f t="shared" si="1"/>
        <v>1.19</v>
      </c>
      <c r="H34" s="43">
        <f t="shared" si="2"/>
        <v>10539282600</v>
      </c>
      <c r="I34" s="43">
        <f t="shared" si="3"/>
        <v>1.071</v>
      </c>
      <c r="J34" s="43">
        <v>6930000000</v>
      </c>
      <c r="K34" s="43"/>
      <c r="L34" s="43"/>
      <c r="M34" s="43">
        <f t="shared" si="6"/>
        <v>9840600000</v>
      </c>
      <c r="N34" s="43">
        <f t="shared" si="4"/>
        <v>1.42</v>
      </c>
      <c r="O34" s="44"/>
    </row>
    <row r="35" spans="1:15" ht="63.75" customHeight="1">
      <c r="A35" s="91">
        <v>32340203</v>
      </c>
      <c r="B35" s="59" t="s">
        <v>1594</v>
      </c>
      <c r="C35" s="92" t="s">
        <v>881</v>
      </c>
      <c r="D35" s="49"/>
      <c r="E35" s="49">
        <f t="shared" si="5"/>
        <v>13662033000</v>
      </c>
      <c r="F35" s="49"/>
      <c r="G35" s="49">
        <f t="shared" si="1"/>
        <v>1.19</v>
      </c>
      <c r="H35" s="49">
        <f t="shared" si="2"/>
        <v>12295829700</v>
      </c>
      <c r="I35" s="49">
        <f t="shared" si="3"/>
        <v>1.071</v>
      </c>
      <c r="J35" s="49">
        <v>8085000000</v>
      </c>
      <c r="K35" s="49"/>
      <c r="L35" s="49"/>
      <c r="M35" s="49">
        <f t="shared" si="6"/>
        <v>11480700000</v>
      </c>
      <c r="N35" s="49">
        <f t="shared" si="4"/>
        <v>1.42</v>
      </c>
      <c r="O35" s="50"/>
    </row>
    <row r="36" spans="1:15" ht="63.75" customHeight="1">
      <c r="A36" s="89">
        <v>32340204</v>
      </c>
      <c r="B36" s="57" t="s">
        <v>1595</v>
      </c>
      <c r="C36" s="90" t="s">
        <v>881</v>
      </c>
      <c r="D36" s="43"/>
      <c r="E36" s="43">
        <f t="shared" si="5"/>
        <v>15613752000</v>
      </c>
      <c r="F36" s="43"/>
      <c r="G36" s="43">
        <f t="shared" si="1"/>
        <v>1.19</v>
      </c>
      <c r="H36" s="43">
        <f t="shared" si="2"/>
        <v>14052376800</v>
      </c>
      <c r="I36" s="43">
        <f t="shared" si="3"/>
        <v>1.071</v>
      </c>
      <c r="J36" s="43">
        <v>9240000000</v>
      </c>
      <c r="K36" s="43"/>
      <c r="L36" s="43"/>
      <c r="M36" s="43">
        <f t="shared" si="6"/>
        <v>13120800000</v>
      </c>
      <c r="N36" s="43">
        <f t="shared" si="4"/>
        <v>1.42</v>
      </c>
      <c r="O36" s="44"/>
    </row>
    <row r="37" spans="1:15" ht="63.75" customHeight="1">
      <c r="A37" s="91">
        <v>32340205</v>
      </c>
      <c r="B37" s="59" t="s">
        <v>1596</v>
      </c>
      <c r="C37" s="92" t="s">
        <v>881</v>
      </c>
      <c r="D37" s="49"/>
      <c r="E37" s="49">
        <f t="shared" si="5"/>
        <v>17175127200</v>
      </c>
      <c r="F37" s="49"/>
      <c r="G37" s="49">
        <f t="shared" si="1"/>
        <v>1.19</v>
      </c>
      <c r="H37" s="49">
        <f t="shared" si="2"/>
        <v>15457614480</v>
      </c>
      <c r="I37" s="49">
        <f t="shared" si="3"/>
        <v>1.071</v>
      </c>
      <c r="J37" s="49">
        <v>10164000000</v>
      </c>
      <c r="K37" s="49"/>
      <c r="L37" s="49"/>
      <c r="M37" s="49">
        <f t="shared" si="6"/>
        <v>14432880000</v>
      </c>
      <c r="N37" s="49">
        <f t="shared" si="4"/>
        <v>1.42</v>
      </c>
      <c r="O37" s="50"/>
    </row>
    <row r="38" spans="1:15" ht="63.75" customHeight="1">
      <c r="A38" s="89">
        <v>32340206</v>
      </c>
      <c r="B38" s="57" t="s">
        <v>1597</v>
      </c>
      <c r="C38" s="90" t="s">
        <v>881</v>
      </c>
      <c r="D38" s="43"/>
      <c r="E38" s="43">
        <f t="shared" si="5"/>
        <v>18346158600</v>
      </c>
      <c r="F38" s="43"/>
      <c r="G38" s="43">
        <f t="shared" si="1"/>
        <v>1.19</v>
      </c>
      <c r="H38" s="43">
        <f t="shared" si="2"/>
        <v>16511542740</v>
      </c>
      <c r="I38" s="43">
        <f t="shared" si="3"/>
        <v>1.071</v>
      </c>
      <c r="J38" s="43">
        <v>10857000000</v>
      </c>
      <c r="K38" s="43"/>
      <c r="L38" s="43"/>
      <c r="M38" s="43">
        <f t="shared" si="6"/>
        <v>15416940000</v>
      </c>
      <c r="N38" s="43">
        <f t="shared" si="4"/>
        <v>1.42</v>
      </c>
      <c r="O38" s="44"/>
    </row>
    <row r="39" spans="1:15" ht="63.75" customHeight="1">
      <c r="A39" s="91">
        <v>32340207</v>
      </c>
      <c r="B39" s="59" t="s">
        <v>1598</v>
      </c>
      <c r="C39" s="92" t="s">
        <v>881</v>
      </c>
      <c r="D39" s="49"/>
      <c r="E39" s="49">
        <f t="shared" si="5"/>
        <v>19517190000</v>
      </c>
      <c r="F39" s="49"/>
      <c r="G39" s="49">
        <f t="shared" si="1"/>
        <v>1.19</v>
      </c>
      <c r="H39" s="49">
        <f t="shared" si="2"/>
        <v>17565471000</v>
      </c>
      <c r="I39" s="49">
        <f t="shared" si="3"/>
        <v>1.071</v>
      </c>
      <c r="J39" s="49">
        <v>11550000000</v>
      </c>
      <c r="K39" s="49"/>
      <c r="L39" s="49"/>
      <c r="M39" s="49">
        <f t="shared" si="6"/>
        <v>16401000000</v>
      </c>
      <c r="N39" s="49">
        <f t="shared" si="4"/>
        <v>1.42</v>
      </c>
      <c r="O39" s="50"/>
    </row>
    <row r="40" spans="1:15" ht="63.75" customHeight="1">
      <c r="A40" s="89">
        <v>32340208</v>
      </c>
      <c r="B40" s="57" t="s">
        <v>1599</v>
      </c>
      <c r="C40" s="90" t="s">
        <v>881</v>
      </c>
      <c r="D40" s="43"/>
      <c r="E40" s="43">
        <f t="shared" si="5"/>
        <v>20688221400</v>
      </c>
      <c r="F40" s="43"/>
      <c r="G40" s="43">
        <f t="shared" si="1"/>
        <v>1.19</v>
      </c>
      <c r="H40" s="43">
        <f t="shared" si="2"/>
        <v>18619399260</v>
      </c>
      <c r="I40" s="43">
        <f t="shared" si="3"/>
        <v>1.071</v>
      </c>
      <c r="J40" s="43">
        <v>12243000000</v>
      </c>
      <c r="K40" s="43"/>
      <c r="L40" s="43"/>
      <c r="M40" s="43">
        <f t="shared" si="6"/>
        <v>17385060000</v>
      </c>
      <c r="N40" s="43">
        <f t="shared" si="4"/>
        <v>1.42</v>
      </c>
      <c r="O40" s="44"/>
    </row>
    <row r="41" spans="1:15" ht="63.75" customHeight="1">
      <c r="A41" s="91">
        <v>32340209</v>
      </c>
      <c r="B41" s="59" t="s">
        <v>1600</v>
      </c>
      <c r="C41" s="92" t="s">
        <v>881</v>
      </c>
      <c r="D41" s="49"/>
      <c r="E41" s="49">
        <f t="shared" si="5"/>
        <v>23420628000</v>
      </c>
      <c r="F41" s="49"/>
      <c r="G41" s="49">
        <f t="shared" si="1"/>
        <v>1.19</v>
      </c>
      <c r="H41" s="49">
        <f t="shared" si="2"/>
        <v>21078565200</v>
      </c>
      <c r="I41" s="49">
        <f t="shared" si="3"/>
        <v>1.071</v>
      </c>
      <c r="J41" s="49">
        <v>13860000000</v>
      </c>
      <c r="K41" s="49"/>
      <c r="L41" s="49"/>
      <c r="M41" s="49">
        <f t="shared" si="6"/>
        <v>19681200000</v>
      </c>
      <c r="N41" s="49">
        <f t="shared" si="4"/>
        <v>1.42</v>
      </c>
      <c r="O41" s="50"/>
    </row>
    <row r="42" spans="1:15" ht="63.75" customHeight="1">
      <c r="A42" s="89">
        <v>32340210</v>
      </c>
      <c r="B42" s="57" t="s">
        <v>1601</v>
      </c>
      <c r="C42" s="90" t="s">
        <v>881</v>
      </c>
      <c r="D42" s="43"/>
      <c r="E42" s="43">
        <f t="shared" si="5"/>
        <v>26153034600</v>
      </c>
      <c r="F42" s="43"/>
      <c r="G42" s="43">
        <f t="shared" si="1"/>
        <v>1.19</v>
      </c>
      <c r="H42" s="43">
        <f t="shared" si="2"/>
        <v>23537731140</v>
      </c>
      <c r="I42" s="43">
        <f t="shared" si="3"/>
        <v>1.071</v>
      </c>
      <c r="J42" s="43">
        <v>15477000000</v>
      </c>
      <c r="K42" s="43"/>
      <c r="L42" s="43"/>
      <c r="M42" s="43">
        <f t="shared" si="6"/>
        <v>21977340000</v>
      </c>
      <c r="N42" s="43">
        <f t="shared" si="4"/>
        <v>1.42</v>
      </c>
      <c r="O42" s="44"/>
    </row>
    <row r="43" spans="1:15" ht="63.75" customHeight="1">
      <c r="A43" s="91">
        <v>32340211</v>
      </c>
      <c r="B43" s="59" t="s">
        <v>1602</v>
      </c>
      <c r="C43" s="92" t="s">
        <v>881</v>
      </c>
      <c r="D43" s="49"/>
      <c r="E43" s="49">
        <f t="shared" si="5"/>
        <v>29275785000</v>
      </c>
      <c r="F43" s="49"/>
      <c r="G43" s="49">
        <f t="shared" si="1"/>
        <v>1.19</v>
      </c>
      <c r="H43" s="49">
        <f t="shared" si="2"/>
        <v>26348206500</v>
      </c>
      <c r="I43" s="49">
        <f t="shared" si="3"/>
        <v>1.071</v>
      </c>
      <c r="J43" s="49">
        <v>17325000000</v>
      </c>
      <c r="K43" s="49"/>
      <c r="L43" s="49"/>
      <c r="M43" s="49">
        <f t="shared" si="6"/>
        <v>24601500000</v>
      </c>
      <c r="N43" s="49">
        <f t="shared" si="4"/>
        <v>1.42</v>
      </c>
      <c r="O43" s="50"/>
    </row>
    <row r="44" spans="1:15" ht="63.75" customHeight="1">
      <c r="A44" s="89">
        <v>32340212</v>
      </c>
      <c r="B44" s="57" t="s">
        <v>1603</v>
      </c>
      <c r="C44" s="90" t="s">
        <v>881</v>
      </c>
      <c r="D44" s="43"/>
      <c r="E44" s="43">
        <f t="shared" si="5"/>
        <v>33179223000</v>
      </c>
      <c r="F44" s="43"/>
      <c r="G44" s="43">
        <f t="shared" si="1"/>
        <v>1.19</v>
      </c>
      <c r="H44" s="43">
        <f t="shared" si="2"/>
        <v>29861300700</v>
      </c>
      <c r="I44" s="43">
        <f t="shared" si="3"/>
        <v>1.071</v>
      </c>
      <c r="J44" s="43">
        <v>19635000000</v>
      </c>
      <c r="K44" s="43"/>
      <c r="L44" s="43"/>
      <c r="M44" s="43">
        <f t="shared" si="6"/>
        <v>27881700000</v>
      </c>
      <c r="N44" s="43">
        <f t="shared" si="4"/>
        <v>1.42</v>
      </c>
      <c r="O44" s="44"/>
    </row>
    <row r="45" spans="1:15" ht="63.75" customHeight="1">
      <c r="A45" s="91">
        <v>32340213</v>
      </c>
      <c r="B45" s="59" t="s">
        <v>1604</v>
      </c>
      <c r="C45" s="92" t="s">
        <v>881</v>
      </c>
      <c r="D45" s="49"/>
      <c r="E45" s="49">
        <f t="shared" si="5"/>
        <v>37082661000</v>
      </c>
      <c r="F45" s="49"/>
      <c r="G45" s="49">
        <f t="shared" si="1"/>
        <v>1.19</v>
      </c>
      <c r="H45" s="49">
        <f t="shared" si="2"/>
        <v>33374394900</v>
      </c>
      <c r="I45" s="49">
        <f t="shared" si="3"/>
        <v>1.071</v>
      </c>
      <c r="J45" s="49">
        <v>21945000000</v>
      </c>
      <c r="K45" s="49"/>
      <c r="L45" s="49"/>
      <c r="M45" s="49">
        <f t="shared" si="6"/>
        <v>31161900000</v>
      </c>
      <c r="N45" s="49">
        <f t="shared" si="4"/>
        <v>1.42</v>
      </c>
      <c r="O45" s="50"/>
    </row>
    <row r="46" spans="1:15" ht="63.75" customHeight="1">
      <c r="A46" s="89">
        <v>32340214</v>
      </c>
      <c r="B46" s="57" t="s">
        <v>1605</v>
      </c>
      <c r="C46" s="90" t="s">
        <v>881</v>
      </c>
      <c r="D46" s="43"/>
      <c r="E46" s="43">
        <f t="shared" si="5"/>
        <v>40986099000</v>
      </c>
      <c r="F46" s="43"/>
      <c r="G46" s="43">
        <f t="shared" si="1"/>
        <v>1.19</v>
      </c>
      <c r="H46" s="43">
        <f t="shared" si="2"/>
        <v>36887489100</v>
      </c>
      <c r="I46" s="43">
        <f t="shared" si="3"/>
        <v>1.071</v>
      </c>
      <c r="J46" s="43">
        <v>24255000000</v>
      </c>
      <c r="K46" s="43"/>
      <c r="L46" s="43"/>
      <c r="M46" s="43">
        <f t="shared" si="6"/>
        <v>34442100000</v>
      </c>
      <c r="N46" s="43">
        <f t="shared" si="4"/>
        <v>1.42</v>
      </c>
      <c r="O46" s="44"/>
    </row>
    <row r="47" spans="1:15">
      <c r="A47" s="91"/>
      <c r="B47" s="47"/>
      <c r="C47" s="60"/>
      <c r="D47" s="49"/>
      <c r="E47" s="49"/>
      <c r="F47" s="49"/>
      <c r="G47" s="49"/>
      <c r="H47" s="49"/>
      <c r="I47" s="49"/>
      <c r="J47" s="49"/>
      <c r="K47" s="49"/>
      <c r="L47" s="49"/>
      <c r="M47" s="49"/>
      <c r="N47" s="49"/>
      <c r="O47" s="50"/>
    </row>
    <row r="48" spans="1:15">
      <c r="A48" s="89"/>
      <c r="B48" s="41"/>
      <c r="C48" s="58"/>
      <c r="D48" s="43"/>
      <c r="E48" s="43"/>
      <c r="F48" s="43"/>
      <c r="G48" s="43"/>
      <c r="H48" s="43"/>
      <c r="I48" s="43"/>
      <c r="J48" s="43"/>
      <c r="K48" s="43"/>
      <c r="L48" s="43"/>
      <c r="M48" s="43"/>
      <c r="N48" s="43"/>
      <c r="O48" s="44"/>
    </row>
    <row r="49" spans="1:15">
      <c r="A49" s="91"/>
      <c r="B49" s="47"/>
      <c r="C49" s="60"/>
      <c r="D49" s="49"/>
      <c r="E49" s="49"/>
      <c r="F49" s="49"/>
      <c r="G49" s="49"/>
      <c r="H49" s="49"/>
      <c r="I49" s="49"/>
      <c r="J49" s="49"/>
      <c r="K49" s="49"/>
      <c r="L49" s="49"/>
      <c r="M49" s="49"/>
      <c r="N49" s="49"/>
      <c r="O49" s="50"/>
    </row>
    <row r="50" spans="1:15">
      <c r="A50" s="89"/>
      <c r="B50" s="41"/>
      <c r="C50" s="58"/>
      <c r="D50" s="43"/>
      <c r="E50" s="43"/>
      <c r="F50" s="43"/>
      <c r="G50" s="43"/>
      <c r="H50" s="43"/>
      <c r="I50" s="43"/>
      <c r="J50" s="43"/>
      <c r="K50" s="43"/>
      <c r="L50" s="43"/>
      <c r="M50" s="43"/>
      <c r="N50" s="43"/>
      <c r="O50" s="44"/>
    </row>
    <row r="51" spans="1:15">
      <c r="A51" s="91"/>
      <c r="B51" s="47"/>
      <c r="C51" s="60"/>
      <c r="D51" s="49"/>
      <c r="E51" s="49"/>
      <c r="F51" s="49"/>
      <c r="G51" s="49"/>
      <c r="H51" s="49"/>
      <c r="I51" s="49"/>
      <c r="J51" s="49"/>
      <c r="K51" s="49"/>
      <c r="L51" s="49"/>
      <c r="M51" s="49"/>
      <c r="N51" s="49"/>
      <c r="O51" s="50"/>
    </row>
    <row r="52" spans="1:15">
      <c r="A52" s="89"/>
      <c r="B52" s="41"/>
      <c r="C52" s="58"/>
      <c r="D52" s="43"/>
      <c r="E52" s="43"/>
      <c r="F52" s="43"/>
      <c r="G52" s="43"/>
      <c r="H52" s="43"/>
      <c r="I52" s="43"/>
      <c r="J52" s="43"/>
      <c r="K52" s="43"/>
      <c r="L52" s="43"/>
      <c r="M52" s="43"/>
      <c r="N52" s="43"/>
      <c r="O52" s="44"/>
    </row>
    <row r="53" spans="1:15">
      <c r="A53" s="91"/>
      <c r="B53" s="47"/>
      <c r="C53" s="60"/>
      <c r="D53" s="49"/>
      <c r="E53" s="49"/>
      <c r="F53" s="49"/>
      <c r="G53" s="49"/>
      <c r="H53" s="49"/>
      <c r="I53" s="49"/>
      <c r="J53" s="49"/>
      <c r="K53" s="49"/>
      <c r="L53" s="49"/>
      <c r="M53" s="49"/>
      <c r="N53" s="49"/>
      <c r="O53" s="50"/>
    </row>
    <row r="54" spans="1:15">
      <c r="A54" s="89"/>
      <c r="B54" s="41"/>
      <c r="C54" s="58"/>
      <c r="D54" s="43"/>
      <c r="E54" s="43"/>
      <c r="F54" s="43"/>
      <c r="G54" s="43"/>
      <c r="H54" s="43"/>
      <c r="I54" s="43"/>
      <c r="J54" s="43"/>
      <c r="K54" s="43"/>
      <c r="L54" s="43"/>
      <c r="M54" s="43"/>
      <c r="N54" s="43"/>
      <c r="O54" s="44"/>
    </row>
    <row r="55" spans="1:15">
      <c r="A55" s="91"/>
      <c r="B55" s="47"/>
      <c r="C55" s="60"/>
      <c r="D55" s="49"/>
      <c r="E55" s="49"/>
      <c r="F55" s="49"/>
      <c r="G55" s="49"/>
      <c r="H55" s="49"/>
      <c r="I55" s="49"/>
      <c r="J55" s="49"/>
      <c r="K55" s="49"/>
      <c r="L55" s="49"/>
      <c r="M55" s="49"/>
      <c r="N55" s="49"/>
      <c r="O55" s="50"/>
    </row>
    <row r="56" spans="1:15">
      <c r="A56" s="89"/>
      <c r="B56" s="41"/>
      <c r="C56" s="58"/>
      <c r="D56" s="43"/>
      <c r="E56" s="43"/>
      <c r="F56" s="43"/>
      <c r="G56" s="43"/>
      <c r="H56" s="43"/>
      <c r="I56" s="43"/>
      <c r="J56" s="43"/>
      <c r="K56" s="43"/>
      <c r="L56" s="43"/>
      <c r="M56" s="43"/>
      <c r="N56" s="43"/>
      <c r="O56" s="44"/>
    </row>
    <row r="57" spans="1:15">
      <c r="A57" s="91"/>
      <c r="B57" s="47"/>
      <c r="C57" s="60"/>
      <c r="D57" s="49"/>
      <c r="E57" s="49"/>
      <c r="F57" s="49"/>
      <c r="G57" s="49"/>
      <c r="H57" s="49"/>
      <c r="I57" s="49"/>
      <c r="J57" s="49"/>
      <c r="K57" s="49"/>
      <c r="L57" s="49"/>
      <c r="M57" s="49"/>
      <c r="N57" s="49"/>
      <c r="O57" s="50"/>
    </row>
    <row r="58" spans="1:15">
      <c r="A58" s="89"/>
      <c r="B58" s="41"/>
      <c r="C58" s="58"/>
      <c r="D58" s="43"/>
      <c r="E58" s="43"/>
      <c r="F58" s="43"/>
      <c r="G58" s="43"/>
      <c r="H58" s="43"/>
      <c r="I58" s="43"/>
      <c r="J58" s="43"/>
      <c r="K58" s="43"/>
      <c r="L58" s="43"/>
      <c r="M58" s="43"/>
      <c r="N58" s="43"/>
      <c r="O58" s="44"/>
    </row>
    <row r="59" spans="1:15">
      <c r="A59" s="91"/>
      <c r="B59" s="47"/>
      <c r="C59" s="60"/>
      <c r="D59" s="49"/>
      <c r="E59" s="49"/>
      <c r="F59" s="49"/>
      <c r="G59" s="49"/>
      <c r="H59" s="49"/>
      <c r="I59" s="49"/>
      <c r="J59" s="49"/>
      <c r="K59" s="49"/>
      <c r="L59" s="49"/>
      <c r="M59" s="49"/>
      <c r="N59" s="49"/>
      <c r="O59" s="50"/>
    </row>
    <row r="60" spans="1:15">
      <c r="A60" s="89"/>
      <c r="B60" s="41"/>
      <c r="C60" s="58"/>
      <c r="D60" s="43"/>
      <c r="E60" s="43"/>
      <c r="F60" s="43"/>
      <c r="G60" s="43"/>
      <c r="H60" s="43"/>
      <c r="I60" s="43"/>
      <c r="J60" s="43"/>
      <c r="K60" s="43"/>
      <c r="L60" s="43"/>
      <c r="M60" s="43"/>
      <c r="N60" s="43"/>
      <c r="O60" s="44"/>
    </row>
    <row r="61" spans="1:15">
      <c r="A61" s="91"/>
      <c r="B61" s="47"/>
      <c r="C61" s="60"/>
      <c r="D61" s="49"/>
      <c r="E61" s="49"/>
      <c r="F61" s="49"/>
      <c r="G61" s="49"/>
      <c r="H61" s="49"/>
      <c r="I61" s="49"/>
      <c r="J61" s="49"/>
      <c r="K61" s="49"/>
      <c r="L61" s="49"/>
      <c r="M61" s="49"/>
      <c r="N61" s="49"/>
      <c r="O61" s="50"/>
    </row>
    <row r="62" spans="1:15">
      <c r="A62" s="89"/>
      <c r="B62" s="41"/>
      <c r="C62" s="58"/>
      <c r="D62" s="43"/>
      <c r="E62" s="43"/>
      <c r="F62" s="43"/>
      <c r="G62" s="43"/>
      <c r="H62" s="43"/>
      <c r="I62" s="43"/>
      <c r="J62" s="43"/>
      <c r="K62" s="43"/>
      <c r="L62" s="43"/>
      <c r="M62" s="43"/>
      <c r="N62" s="43"/>
      <c r="O62" s="44"/>
    </row>
    <row r="63" spans="1:15">
      <c r="A63" s="91"/>
      <c r="B63" s="47"/>
      <c r="C63" s="60"/>
      <c r="D63" s="49"/>
      <c r="E63" s="49"/>
      <c r="F63" s="49"/>
      <c r="G63" s="49"/>
      <c r="H63" s="49"/>
      <c r="I63" s="49"/>
      <c r="J63" s="49"/>
      <c r="K63" s="49"/>
      <c r="L63" s="49"/>
      <c r="M63" s="49"/>
      <c r="N63" s="49"/>
      <c r="O63" s="50"/>
    </row>
    <row r="64" spans="1:15">
      <c r="A64" s="89"/>
      <c r="B64" s="41"/>
      <c r="C64" s="58"/>
      <c r="D64" s="43"/>
      <c r="E64" s="43"/>
      <c r="F64" s="43"/>
      <c r="G64" s="43"/>
      <c r="H64" s="43"/>
      <c r="I64" s="43"/>
      <c r="J64" s="43"/>
      <c r="K64" s="43"/>
      <c r="L64" s="43"/>
      <c r="M64" s="43"/>
      <c r="N64" s="43"/>
      <c r="O64" s="44"/>
    </row>
    <row r="65" spans="1:15">
      <c r="A65" s="91"/>
      <c r="B65" s="47"/>
      <c r="C65" s="60"/>
      <c r="D65" s="49"/>
      <c r="E65" s="49"/>
      <c r="F65" s="49"/>
      <c r="G65" s="49"/>
      <c r="H65" s="49"/>
      <c r="I65" s="49"/>
      <c r="J65" s="49"/>
      <c r="K65" s="49"/>
      <c r="L65" s="49"/>
      <c r="M65" s="49"/>
      <c r="N65" s="49"/>
      <c r="O65" s="50"/>
    </row>
    <row r="66" spans="1:15">
      <c r="A66" s="89"/>
      <c r="B66" s="41"/>
      <c r="C66" s="58"/>
      <c r="D66" s="43"/>
      <c r="E66" s="43"/>
      <c r="F66" s="43"/>
      <c r="G66" s="43"/>
      <c r="H66" s="43"/>
      <c r="I66" s="43"/>
      <c r="J66" s="43"/>
      <c r="K66" s="43"/>
      <c r="L66" s="43"/>
      <c r="M66" s="43"/>
      <c r="N66" s="43"/>
      <c r="O66" s="44"/>
    </row>
    <row r="67" spans="1:15">
      <c r="A67" s="91"/>
      <c r="B67" s="47"/>
      <c r="C67" s="60"/>
      <c r="D67" s="49"/>
      <c r="E67" s="49"/>
      <c r="F67" s="49"/>
      <c r="G67" s="49"/>
      <c r="H67" s="49"/>
      <c r="I67" s="49"/>
      <c r="J67" s="49"/>
      <c r="K67" s="49"/>
      <c r="L67" s="49"/>
      <c r="M67" s="49"/>
      <c r="N67" s="49"/>
      <c r="O67" s="50"/>
    </row>
    <row r="68" spans="1:15">
      <c r="A68" s="89"/>
      <c r="B68" s="41"/>
      <c r="C68" s="58"/>
      <c r="D68" s="43"/>
      <c r="E68" s="43"/>
      <c r="F68" s="43"/>
      <c r="G68" s="43"/>
      <c r="H68" s="43"/>
      <c r="I68" s="43"/>
      <c r="J68" s="43"/>
      <c r="K68" s="43"/>
      <c r="L68" s="43"/>
      <c r="M68" s="43"/>
      <c r="N68" s="43"/>
      <c r="O68" s="44"/>
    </row>
    <row r="69" spans="1:15">
      <c r="A69" s="91"/>
      <c r="B69" s="47"/>
      <c r="C69" s="60"/>
      <c r="D69" s="49"/>
      <c r="E69" s="49"/>
      <c r="F69" s="49"/>
      <c r="G69" s="49"/>
      <c r="H69" s="49"/>
      <c r="I69" s="49"/>
      <c r="J69" s="49"/>
      <c r="K69" s="49"/>
      <c r="L69" s="49"/>
      <c r="M69" s="49"/>
      <c r="N69" s="49"/>
      <c r="O69" s="50"/>
    </row>
    <row r="70" spans="1:15">
      <c r="A70" s="89"/>
      <c r="B70" s="41"/>
      <c r="C70" s="58"/>
      <c r="D70" s="43"/>
      <c r="E70" s="43"/>
      <c r="F70" s="43"/>
      <c r="G70" s="43"/>
      <c r="H70" s="43"/>
      <c r="I70" s="43"/>
      <c r="J70" s="43"/>
      <c r="K70" s="43"/>
      <c r="L70" s="43"/>
      <c r="M70" s="43"/>
      <c r="N70" s="43"/>
      <c r="O70" s="44"/>
    </row>
    <row r="71" spans="1:15">
      <c r="A71" s="91"/>
      <c r="B71" s="47"/>
      <c r="C71" s="60"/>
      <c r="D71" s="49"/>
      <c r="E71" s="49"/>
      <c r="F71" s="49"/>
      <c r="G71" s="49"/>
      <c r="H71" s="49"/>
      <c r="I71" s="49"/>
      <c r="J71" s="49"/>
      <c r="K71" s="49"/>
      <c r="L71" s="49"/>
      <c r="M71" s="49"/>
      <c r="N71" s="49"/>
      <c r="O71" s="50"/>
    </row>
    <row r="72" spans="1:15">
      <c r="A72" s="89"/>
      <c r="B72" s="41"/>
      <c r="C72" s="58"/>
      <c r="D72" s="43"/>
      <c r="E72" s="43"/>
      <c r="F72" s="43"/>
      <c r="G72" s="43"/>
      <c r="H72" s="43"/>
      <c r="I72" s="43"/>
      <c r="J72" s="43"/>
      <c r="K72" s="43"/>
      <c r="L72" s="43"/>
      <c r="M72" s="43"/>
      <c r="N72" s="43"/>
      <c r="O72" s="44"/>
    </row>
    <row r="73" spans="1:15">
      <c r="A73" s="91"/>
      <c r="B73" s="47"/>
      <c r="C73" s="60"/>
      <c r="D73" s="49"/>
      <c r="E73" s="49"/>
      <c r="F73" s="49"/>
      <c r="G73" s="49"/>
      <c r="H73" s="49"/>
      <c r="I73" s="49"/>
      <c r="J73" s="49"/>
      <c r="K73" s="49"/>
      <c r="L73" s="49"/>
      <c r="M73" s="49"/>
      <c r="N73" s="49"/>
      <c r="O73" s="50"/>
    </row>
    <row r="74" spans="1:15">
      <c r="A74" s="89"/>
      <c r="B74" s="41"/>
      <c r="C74" s="58"/>
      <c r="D74" s="43"/>
      <c r="E74" s="43"/>
      <c r="F74" s="43"/>
      <c r="G74" s="43"/>
      <c r="H74" s="43"/>
      <c r="I74" s="43"/>
      <c r="J74" s="43"/>
      <c r="K74" s="43"/>
      <c r="L74" s="43"/>
      <c r="M74" s="43"/>
      <c r="N74" s="43"/>
      <c r="O74" s="44"/>
    </row>
    <row r="75" spans="1:15">
      <c r="A75" s="91"/>
      <c r="B75" s="47"/>
      <c r="C75" s="60"/>
      <c r="D75" s="49"/>
      <c r="E75" s="49"/>
      <c r="F75" s="49"/>
      <c r="G75" s="49"/>
      <c r="H75" s="49"/>
      <c r="I75" s="49"/>
      <c r="J75" s="49"/>
      <c r="K75" s="49"/>
      <c r="L75" s="49"/>
      <c r="M75" s="49"/>
      <c r="N75" s="49"/>
      <c r="O75" s="50"/>
    </row>
    <row r="76" spans="1:15">
      <c r="A76" s="89"/>
      <c r="B76" s="41"/>
      <c r="C76" s="58"/>
      <c r="D76" s="43"/>
      <c r="E76" s="43"/>
      <c r="F76" s="43"/>
      <c r="G76" s="43"/>
      <c r="H76" s="43"/>
      <c r="I76" s="43"/>
      <c r="J76" s="43"/>
      <c r="K76" s="43"/>
      <c r="L76" s="43"/>
      <c r="M76" s="43"/>
      <c r="N76" s="43"/>
      <c r="O76" s="44"/>
    </row>
    <row r="77" spans="1:15">
      <c r="A77" s="91"/>
      <c r="B77" s="47"/>
      <c r="C77" s="60"/>
      <c r="D77" s="49"/>
      <c r="E77" s="49"/>
      <c r="F77" s="49"/>
      <c r="G77" s="49"/>
      <c r="H77" s="49"/>
      <c r="I77" s="49"/>
      <c r="J77" s="49"/>
      <c r="K77" s="49"/>
      <c r="L77" s="49"/>
      <c r="M77" s="49"/>
      <c r="N77" s="49"/>
      <c r="O77" s="50"/>
    </row>
    <row r="78" spans="1:15">
      <c r="A78" s="89"/>
      <c r="B78" s="41"/>
      <c r="C78" s="58"/>
      <c r="D78" s="43"/>
      <c r="E78" s="43"/>
      <c r="F78" s="43"/>
      <c r="G78" s="43"/>
      <c r="H78" s="43"/>
      <c r="I78" s="43"/>
      <c r="J78" s="43"/>
      <c r="K78" s="43"/>
      <c r="L78" s="43"/>
      <c r="M78" s="43"/>
      <c r="N78" s="43"/>
      <c r="O78" s="44"/>
    </row>
    <row r="79" spans="1:15">
      <c r="A79" s="91"/>
      <c r="B79" s="47"/>
      <c r="C79" s="60"/>
      <c r="D79" s="49"/>
      <c r="E79" s="49"/>
      <c r="F79" s="49"/>
      <c r="G79" s="49"/>
      <c r="H79" s="49"/>
      <c r="I79" s="49"/>
      <c r="J79" s="49"/>
      <c r="K79" s="49"/>
      <c r="L79" s="49"/>
      <c r="M79" s="49"/>
      <c r="N79" s="49"/>
      <c r="O79" s="50"/>
    </row>
    <row r="80" spans="1:15">
      <c r="A80" s="89"/>
      <c r="B80" s="41"/>
      <c r="C80" s="58"/>
      <c r="D80" s="43"/>
      <c r="E80" s="43"/>
      <c r="F80" s="43"/>
      <c r="G80" s="43"/>
      <c r="H80" s="43"/>
      <c r="I80" s="43"/>
      <c r="J80" s="43"/>
      <c r="K80" s="43"/>
      <c r="L80" s="43"/>
      <c r="M80" s="43"/>
      <c r="N80" s="43"/>
      <c r="O80" s="44"/>
    </row>
    <row r="81" spans="1:15">
      <c r="A81" s="91"/>
      <c r="B81" s="47"/>
      <c r="C81" s="60"/>
      <c r="D81" s="49"/>
      <c r="E81" s="49"/>
      <c r="F81" s="49"/>
      <c r="G81" s="49"/>
      <c r="H81" s="49"/>
      <c r="I81" s="49"/>
      <c r="J81" s="49"/>
      <c r="K81" s="49"/>
      <c r="L81" s="49"/>
      <c r="M81" s="49"/>
      <c r="N81" s="49"/>
      <c r="O81" s="50"/>
    </row>
    <row r="82" spans="1:15">
      <c r="A82" s="89"/>
      <c r="B82" s="41"/>
      <c r="C82" s="58"/>
      <c r="D82" s="43"/>
      <c r="E82" s="43"/>
      <c r="F82" s="43"/>
      <c r="G82" s="43"/>
      <c r="H82" s="43"/>
      <c r="I82" s="43"/>
      <c r="J82" s="43"/>
      <c r="K82" s="43"/>
      <c r="L82" s="43"/>
      <c r="M82" s="43"/>
      <c r="N82" s="43"/>
      <c r="O82" s="44"/>
    </row>
    <row r="83" spans="1:15">
      <c r="A83" s="91"/>
      <c r="B83" s="47"/>
      <c r="C83" s="60"/>
      <c r="D83" s="49"/>
      <c r="E83" s="49"/>
      <c r="F83" s="49"/>
      <c r="G83" s="49"/>
      <c r="H83" s="49"/>
      <c r="I83" s="49"/>
      <c r="J83" s="49"/>
      <c r="K83" s="49"/>
      <c r="L83" s="49"/>
      <c r="M83" s="49"/>
      <c r="N83" s="49"/>
      <c r="O83" s="50"/>
    </row>
    <row r="84" spans="1:15">
      <c r="A84" s="89"/>
      <c r="B84" s="41"/>
      <c r="C84" s="58"/>
      <c r="D84" s="43"/>
      <c r="E84" s="43"/>
      <c r="F84" s="43"/>
      <c r="G84" s="43"/>
      <c r="H84" s="43"/>
      <c r="I84" s="43"/>
      <c r="J84" s="43"/>
      <c r="K84" s="43"/>
      <c r="L84" s="43"/>
      <c r="M84" s="43"/>
      <c r="N84" s="43"/>
      <c r="O84" s="44"/>
    </row>
    <row r="85" spans="1:15">
      <c r="A85" s="91"/>
      <c r="B85" s="47"/>
      <c r="C85" s="60"/>
      <c r="D85" s="49"/>
      <c r="E85" s="49"/>
      <c r="F85" s="49"/>
      <c r="G85" s="49"/>
      <c r="H85" s="49"/>
      <c r="I85" s="49"/>
      <c r="J85" s="49"/>
      <c r="K85" s="49"/>
      <c r="L85" s="49"/>
      <c r="M85" s="49"/>
      <c r="N85" s="49"/>
      <c r="O85" s="50"/>
    </row>
    <row r="86" spans="1:15">
      <c r="A86" s="89"/>
      <c r="B86" s="41"/>
      <c r="C86" s="58"/>
      <c r="D86" s="43"/>
      <c r="E86" s="43"/>
      <c r="F86" s="43"/>
      <c r="G86" s="43"/>
      <c r="H86" s="43"/>
      <c r="I86" s="43"/>
      <c r="J86" s="43"/>
      <c r="K86" s="43"/>
      <c r="L86" s="43"/>
      <c r="M86" s="43"/>
      <c r="N86" s="43"/>
      <c r="O86" s="44"/>
    </row>
    <row r="87" spans="1:15">
      <c r="A87" s="91"/>
      <c r="B87" s="47"/>
      <c r="C87" s="60"/>
      <c r="D87" s="49"/>
      <c r="E87" s="49"/>
      <c r="F87" s="49"/>
      <c r="G87" s="49"/>
      <c r="H87" s="49"/>
      <c r="I87" s="49"/>
      <c r="J87" s="49"/>
      <c r="K87" s="49"/>
      <c r="L87" s="49"/>
      <c r="M87" s="49"/>
      <c r="N87" s="49"/>
      <c r="O87" s="50"/>
    </row>
    <row r="88" spans="1:15">
      <c r="A88" s="89"/>
      <c r="B88" s="41"/>
      <c r="C88" s="58"/>
      <c r="D88" s="43"/>
      <c r="E88" s="43"/>
      <c r="F88" s="43"/>
      <c r="G88" s="43"/>
      <c r="H88" s="43"/>
      <c r="I88" s="43"/>
      <c r="J88" s="43"/>
      <c r="K88" s="43"/>
      <c r="L88" s="43"/>
      <c r="M88" s="43"/>
      <c r="N88" s="43"/>
      <c r="O88" s="44"/>
    </row>
    <row r="89" spans="1:15">
      <c r="A89" s="91"/>
      <c r="B89" s="47"/>
      <c r="C89" s="60"/>
      <c r="D89" s="49"/>
      <c r="E89" s="49"/>
      <c r="F89" s="49"/>
      <c r="G89" s="49"/>
      <c r="H89" s="49"/>
      <c r="I89" s="49"/>
      <c r="J89" s="49"/>
      <c r="K89" s="49"/>
      <c r="L89" s="49"/>
      <c r="M89" s="49"/>
      <c r="N89" s="49"/>
      <c r="O89" s="50"/>
    </row>
    <row r="90" spans="1:15">
      <c r="A90" s="89"/>
      <c r="B90" s="41"/>
      <c r="C90" s="58"/>
      <c r="D90" s="43"/>
      <c r="E90" s="43"/>
      <c r="F90" s="43"/>
      <c r="G90" s="43"/>
      <c r="H90" s="43"/>
      <c r="I90" s="43"/>
      <c r="J90" s="43"/>
      <c r="K90" s="43"/>
      <c r="L90" s="43"/>
      <c r="M90" s="43"/>
      <c r="N90" s="43"/>
      <c r="O90" s="44"/>
    </row>
    <row r="91" spans="1:15">
      <c r="A91" s="91"/>
      <c r="B91" s="47"/>
      <c r="C91" s="60"/>
      <c r="D91" s="49"/>
      <c r="E91" s="49"/>
      <c r="F91" s="49"/>
      <c r="G91" s="49"/>
      <c r="H91" s="49"/>
      <c r="I91" s="49"/>
      <c r="J91" s="49"/>
      <c r="K91" s="49"/>
      <c r="L91" s="49"/>
      <c r="M91" s="49"/>
      <c r="N91" s="49"/>
      <c r="O91" s="50"/>
    </row>
    <row r="92" spans="1:15">
      <c r="A92" s="89"/>
      <c r="B92" s="41"/>
      <c r="C92" s="58"/>
      <c r="D92" s="43"/>
      <c r="E92" s="43"/>
      <c r="F92" s="43"/>
      <c r="G92" s="43"/>
      <c r="H92" s="43"/>
      <c r="I92" s="43"/>
      <c r="J92" s="43"/>
      <c r="K92" s="43"/>
      <c r="L92" s="43"/>
      <c r="M92" s="43"/>
      <c r="N92" s="43"/>
      <c r="O92" s="44"/>
    </row>
    <row r="93" spans="1:15">
      <c r="A93" s="91"/>
      <c r="B93" s="47"/>
      <c r="C93" s="60"/>
      <c r="D93" s="49"/>
      <c r="E93" s="49"/>
      <c r="F93" s="49"/>
      <c r="G93" s="49"/>
      <c r="H93" s="49"/>
      <c r="I93" s="49"/>
      <c r="J93" s="49"/>
      <c r="K93" s="49"/>
      <c r="L93" s="49"/>
      <c r="M93" s="49"/>
      <c r="N93" s="49"/>
      <c r="O93" s="50"/>
    </row>
    <row r="94" spans="1:15">
      <c r="A94" s="89"/>
      <c r="B94" s="41"/>
      <c r="C94" s="58"/>
      <c r="D94" s="43"/>
      <c r="E94" s="43"/>
      <c r="F94" s="43"/>
      <c r="G94" s="43"/>
      <c r="H94" s="43"/>
      <c r="I94" s="43"/>
      <c r="J94" s="43"/>
      <c r="K94" s="43"/>
      <c r="L94" s="43"/>
      <c r="M94" s="43"/>
      <c r="N94" s="43"/>
      <c r="O94" s="44"/>
    </row>
    <row r="95" spans="1:15">
      <c r="A95" s="91"/>
      <c r="B95" s="47"/>
      <c r="C95" s="60"/>
      <c r="D95" s="49"/>
      <c r="E95" s="49"/>
      <c r="F95" s="49"/>
      <c r="G95" s="49"/>
      <c r="H95" s="49"/>
      <c r="I95" s="49"/>
      <c r="J95" s="49"/>
      <c r="K95" s="49"/>
      <c r="L95" s="49"/>
      <c r="M95" s="49"/>
      <c r="N95" s="49"/>
      <c r="O95" s="50"/>
    </row>
    <row r="96" spans="1:15">
      <c r="A96" s="89"/>
      <c r="B96" s="41"/>
      <c r="C96" s="58"/>
      <c r="D96" s="43"/>
      <c r="E96" s="43"/>
      <c r="F96" s="43"/>
      <c r="G96" s="43"/>
      <c r="H96" s="43"/>
      <c r="I96" s="43"/>
      <c r="J96" s="43"/>
      <c r="K96" s="43"/>
      <c r="L96" s="43"/>
      <c r="M96" s="43"/>
      <c r="N96" s="43"/>
      <c r="O96" s="44"/>
    </row>
    <row r="97" spans="1:15">
      <c r="A97" s="91"/>
      <c r="B97" s="47"/>
      <c r="C97" s="60"/>
      <c r="D97" s="49"/>
      <c r="E97" s="49"/>
      <c r="F97" s="49"/>
      <c r="G97" s="49"/>
      <c r="H97" s="49"/>
      <c r="I97" s="49"/>
      <c r="J97" s="49"/>
      <c r="K97" s="49"/>
      <c r="L97" s="49"/>
      <c r="M97" s="49"/>
      <c r="N97" s="49"/>
      <c r="O97" s="50"/>
    </row>
    <row r="98" spans="1:15">
      <c r="A98" s="89"/>
      <c r="B98" s="41"/>
      <c r="C98" s="58"/>
      <c r="D98" s="43"/>
      <c r="E98" s="43"/>
      <c r="F98" s="43"/>
      <c r="G98" s="43"/>
      <c r="H98" s="43"/>
      <c r="I98" s="43"/>
      <c r="J98" s="43"/>
      <c r="K98" s="43"/>
      <c r="L98" s="43"/>
      <c r="M98" s="43"/>
      <c r="N98" s="43"/>
      <c r="O98" s="44"/>
    </row>
    <row r="99" spans="1:15">
      <c r="A99" s="91"/>
      <c r="B99" s="47"/>
      <c r="C99" s="60"/>
      <c r="D99" s="49"/>
      <c r="E99" s="49"/>
      <c r="F99" s="49"/>
      <c r="G99" s="49"/>
      <c r="H99" s="49"/>
      <c r="I99" s="49"/>
      <c r="J99" s="49"/>
      <c r="K99" s="49"/>
      <c r="L99" s="49"/>
      <c r="M99" s="49"/>
      <c r="N99" s="49"/>
      <c r="O99" s="50"/>
    </row>
    <row r="100" spans="1:15">
      <c r="A100" s="89"/>
      <c r="B100" s="41"/>
      <c r="C100" s="58"/>
      <c r="D100" s="43"/>
      <c r="E100" s="43"/>
      <c r="F100" s="43"/>
      <c r="G100" s="43"/>
      <c r="H100" s="43"/>
      <c r="I100" s="43"/>
      <c r="J100" s="43"/>
      <c r="K100" s="43"/>
      <c r="L100" s="43"/>
      <c r="M100" s="43"/>
      <c r="N100" s="43"/>
      <c r="O100" s="44"/>
    </row>
    <row r="101" spans="1:15">
      <c r="A101" s="91"/>
      <c r="B101" s="47"/>
      <c r="C101" s="60"/>
      <c r="D101" s="49"/>
      <c r="E101" s="49"/>
      <c r="F101" s="49"/>
      <c r="G101" s="49"/>
      <c r="H101" s="49"/>
      <c r="I101" s="49"/>
      <c r="J101" s="49"/>
      <c r="K101" s="49"/>
      <c r="L101" s="49"/>
      <c r="M101" s="49"/>
      <c r="N101" s="49"/>
      <c r="O101" s="50"/>
    </row>
    <row r="102" spans="1:15">
      <c r="A102" s="89"/>
      <c r="B102" s="41"/>
      <c r="C102" s="58"/>
      <c r="D102" s="43"/>
      <c r="E102" s="43"/>
      <c r="F102" s="43"/>
      <c r="G102" s="43"/>
      <c r="H102" s="43"/>
      <c r="I102" s="43"/>
      <c r="J102" s="43"/>
      <c r="K102" s="43"/>
      <c r="L102" s="43"/>
      <c r="M102" s="43"/>
      <c r="N102" s="43"/>
      <c r="O102" s="44"/>
    </row>
    <row r="103" spans="1:15">
      <c r="A103" s="91"/>
      <c r="B103" s="47"/>
      <c r="C103" s="60"/>
      <c r="D103" s="49"/>
      <c r="E103" s="49"/>
      <c r="F103" s="49"/>
      <c r="G103" s="49"/>
      <c r="H103" s="49"/>
      <c r="I103" s="49"/>
      <c r="J103" s="49"/>
      <c r="K103" s="49"/>
      <c r="L103" s="49"/>
      <c r="M103" s="49"/>
      <c r="N103" s="49"/>
      <c r="O103" s="50"/>
    </row>
    <row r="104" spans="1:15">
      <c r="A104" s="89"/>
      <c r="B104" s="41"/>
      <c r="C104" s="58"/>
      <c r="D104" s="43"/>
      <c r="E104" s="43"/>
      <c r="F104" s="43"/>
      <c r="G104" s="43"/>
      <c r="H104" s="43"/>
      <c r="I104" s="43"/>
      <c r="J104" s="43"/>
      <c r="K104" s="43"/>
      <c r="L104" s="43"/>
      <c r="M104" s="43"/>
      <c r="N104" s="43"/>
      <c r="O104" s="44"/>
    </row>
    <row r="105" spans="1:15">
      <c r="A105" s="91"/>
      <c r="B105" s="47"/>
      <c r="C105" s="60"/>
      <c r="D105" s="49"/>
      <c r="E105" s="49"/>
      <c r="F105" s="49"/>
      <c r="G105" s="49"/>
      <c r="H105" s="49"/>
      <c r="I105" s="49"/>
      <c r="J105" s="49"/>
      <c r="K105" s="49"/>
      <c r="L105" s="49"/>
      <c r="M105" s="49"/>
      <c r="N105" s="49"/>
      <c r="O105" s="50"/>
    </row>
    <row r="106" spans="1:15">
      <c r="A106" s="89"/>
      <c r="B106" s="41"/>
      <c r="C106" s="58"/>
      <c r="D106" s="43"/>
      <c r="E106" s="43"/>
      <c r="F106" s="43"/>
      <c r="G106" s="43"/>
      <c r="H106" s="43"/>
      <c r="I106" s="43"/>
      <c r="J106" s="43"/>
      <c r="K106" s="43"/>
      <c r="L106" s="43"/>
      <c r="M106" s="43"/>
      <c r="N106" s="43"/>
      <c r="O106" s="44"/>
    </row>
    <row r="107" spans="1:15">
      <c r="A107" s="91"/>
      <c r="B107" s="47"/>
      <c r="C107" s="60"/>
      <c r="D107" s="49"/>
      <c r="E107" s="49"/>
      <c r="F107" s="49"/>
      <c r="G107" s="49"/>
      <c r="H107" s="49"/>
      <c r="I107" s="49"/>
      <c r="J107" s="49"/>
      <c r="K107" s="49"/>
      <c r="L107" s="49"/>
      <c r="M107" s="49"/>
      <c r="N107" s="49"/>
      <c r="O107" s="50"/>
    </row>
    <row r="108" spans="1:15">
      <c r="A108" s="89"/>
      <c r="B108" s="41"/>
      <c r="C108" s="58"/>
      <c r="D108" s="43"/>
      <c r="E108" s="43"/>
      <c r="F108" s="43"/>
      <c r="G108" s="43"/>
      <c r="H108" s="43"/>
      <c r="I108" s="43"/>
      <c r="J108" s="43"/>
      <c r="K108" s="43"/>
      <c r="L108" s="43"/>
      <c r="M108" s="43"/>
      <c r="N108" s="43"/>
      <c r="O108" s="44"/>
    </row>
    <row r="109" spans="1:15">
      <c r="A109" s="91"/>
      <c r="B109" s="47"/>
      <c r="C109" s="60"/>
      <c r="D109" s="49"/>
      <c r="E109" s="49"/>
      <c r="F109" s="49"/>
      <c r="G109" s="49"/>
      <c r="H109" s="49"/>
      <c r="I109" s="49"/>
      <c r="J109" s="49"/>
      <c r="K109" s="49"/>
      <c r="L109" s="49"/>
      <c r="M109" s="49"/>
      <c r="N109" s="49"/>
      <c r="O109" s="50"/>
    </row>
    <row r="110" spans="1:15">
      <c r="A110" s="89"/>
      <c r="B110" s="41"/>
      <c r="C110" s="58"/>
      <c r="D110" s="43"/>
      <c r="E110" s="43"/>
      <c r="F110" s="43"/>
      <c r="G110" s="43"/>
      <c r="H110" s="43"/>
      <c r="I110" s="43"/>
      <c r="J110" s="43"/>
      <c r="K110" s="43"/>
      <c r="L110" s="43"/>
      <c r="M110" s="43"/>
      <c r="N110" s="43"/>
      <c r="O110" s="44"/>
    </row>
    <row r="111" spans="1:15">
      <c r="A111" s="91"/>
      <c r="B111" s="47"/>
      <c r="C111" s="60"/>
      <c r="D111" s="49"/>
      <c r="E111" s="49"/>
      <c r="F111" s="49"/>
      <c r="G111" s="49"/>
      <c r="H111" s="49"/>
      <c r="I111" s="49"/>
      <c r="J111" s="49"/>
      <c r="K111" s="49"/>
      <c r="L111" s="49"/>
      <c r="M111" s="49"/>
      <c r="N111" s="49"/>
      <c r="O111" s="50"/>
    </row>
    <row r="112" spans="1:15">
      <c r="A112" s="89"/>
      <c r="B112" s="41"/>
      <c r="C112" s="58"/>
      <c r="D112" s="43"/>
      <c r="E112" s="43"/>
      <c r="F112" s="43"/>
      <c r="G112" s="43"/>
      <c r="H112" s="43"/>
      <c r="I112" s="43"/>
      <c r="J112" s="43"/>
      <c r="K112" s="43"/>
      <c r="L112" s="43"/>
      <c r="M112" s="43"/>
      <c r="N112" s="43"/>
      <c r="O112" s="44"/>
    </row>
    <row r="113" spans="1:15">
      <c r="A113" s="91"/>
      <c r="B113" s="47"/>
      <c r="C113" s="60"/>
      <c r="D113" s="49"/>
      <c r="E113" s="49"/>
      <c r="F113" s="49"/>
      <c r="G113" s="49"/>
      <c r="H113" s="49"/>
      <c r="I113" s="49"/>
      <c r="J113" s="49"/>
      <c r="K113" s="49"/>
      <c r="L113" s="49"/>
      <c r="M113" s="49"/>
      <c r="N113" s="49"/>
      <c r="O113" s="50"/>
    </row>
    <row r="114" spans="1:15">
      <c r="A114" s="89"/>
      <c r="B114" s="41"/>
      <c r="C114" s="58"/>
      <c r="D114" s="43"/>
      <c r="E114" s="43"/>
      <c r="F114" s="43"/>
      <c r="G114" s="43"/>
      <c r="H114" s="43"/>
      <c r="I114" s="43"/>
      <c r="J114" s="43"/>
      <c r="K114" s="43"/>
      <c r="L114" s="43"/>
      <c r="M114" s="43"/>
      <c r="N114" s="43"/>
      <c r="O114" s="44"/>
    </row>
    <row r="115" spans="1:15">
      <c r="A115" s="91"/>
      <c r="B115" s="47"/>
      <c r="C115" s="60"/>
      <c r="D115" s="49"/>
      <c r="E115" s="49"/>
      <c r="F115" s="49"/>
      <c r="G115" s="49"/>
      <c r="H115" s="49"/>
      <c r="I115" s="49"/>
      <c r="J115" s="49"/>
      <c r="K115" s="49"/>
      <c r="L115" s="49"/>
      <c r="M115" s="49"/>
      <c r="N115" s="49"/>
      <c r="O115" s="50"/>
    </row>
    <row r="116" spans="1:15">
      <c r="A116" s="89"/>
      <c r="B116" s="41"/>
      <c r="C116" s="58"/>
      <c r="D116" s="43"/>
      <c r="E116" s="43"/>
      <c r="F116" s="43"/>
      <c r="G116" s="43"/>
      <c r="H116" s="43"/>
      <c r="I116" s="43"/>
      <c r="J116" s="43"/>
      <c r="K116" s="43"/>
      <c r="L116" s="43"/>
      <c r="M116" s="43"/>
      <c r="N116" s="43"/>
      <c r="O116" s="44"/>
    </row>
    <row r="117" spans="1:15">
      <c r="A117" s="91"/>
      <c r="B117" s="47"/>
      <c r="C117" s="60"/>
      <c r="D117" s="49"/>
      <c r="E117" s="49"/>
      <c r="F117" s="49"/>
      <c r="G117" s="49"/>
      <c r="H117" s="49"/>
      <c r="I117" s="49"/>
      <c r="J117" s="49"/>
      <c r="K117" s="49"/>
      <c r="L117" s="49"/>
      <c r="M117" s="49"/>
      <c r="N117" s="49"/>
      <c r="O117" s="50"/>
    </row>
    <row r="118" spans="1:15">
      <c r="A118" s="89"/>
      <c r="B118" s="41"/>
      <c r="C118" s="58"/>
      <c r="D118" s="43"/>
      <c r="E118" s="43"/>
      <c r="F118" s="43"/>
      <c r="G118" s="43"/>
      <c r="H118" s="43"/>
      <c r="I118" s="43"/>
      <c r="J118" s="43"/>
      <c r="K118" s="43"/>
      <c r="L118" s="43"/>
      <c r="M118" s="43"/>
      <c r="N118" s="43"/>
      <c r="O118" s="44"/>
    </row>
    <row r="119" spans="1:15">
      <c r="A119" s="91"/>
      <c r="B119" s="47"/>
      <c r="C119" s="60"/>
      <c r="D119" s="49"/>
      <c r="E119" s="49"/>
      <c r="F119" s="49"/>
      <c r="G119" s="49"/>
      <c r="H119" s="49"/>
      <c r="I119" s="49"/>
      <c r="J119" s="49"/>
      <c r="K119" s="49"/>
      <c r="L119" s="49"/>
      <c r="M119" s="49"/>
      <c r="N119" s="49"/>
      <c r="O119" s="50"/>
    </row>
    <row r="120" spans="1:15">
      <c r="A120" s="89"/>
      <c r="B120" s="41"/>
      <c r="C120" s="58"/>
      <c r="D120" s="43"/>
      <c r="E120" s="43"/>
      <c r="F120" s="43"/>
      <c r="G120" s="43"/>
      <c r="H120" s="43"/>
      <c r="I120" s="43"/>
      <c r="J120" s="43"/>
      <c r="K120" s="43"/>
      <c r="L120" s="43"/>
      <c r="M120" s="43"/>
      <c r="N120" s="43"/>
      <c r="O120" s="44"/>
    </row>
    <row r="121" spans="1:15">
      <c r="A121" s="91"/>
      <c r="B121" s="47"/>
      <c r="C121" s="60"/>
      <c r="D121" s="49"/>
      <c r="E121" s="49"/>
      <c r="F121" s="49"/>
      <c r="G121" s="49"/>
      <c r="H121" s="49"/>
      <c r="I121" s="49"/>
      <c r="J121" s="49"/>
      <c r="K121" s="49"/>
      <c r="L121" s="49"/>
      <c r="M121" s="49"/>
      <c r="N121" s="49"/>
      <c r="O121" s="50"/>
    </row>
    <row r="122" spans="1:15">
      <c r="A122" s="89"/>
      <c r="B122" s="41"/>
      <c r="C122" s="58"/>
      <c r="D122" s="43"/>
      <c r="E122" s="43"/>
      <c r="F122" s="43"/>
      <c r="G122" s="43"/>
      <c r="H122" s="43"/>
      <c r="I122" s="43"/>
      <c r="J122" s="43"/>
      <c r="K122" s="43"/>
      <c r="L122" s="43"/>
      <c r="M122" s="43"/>
      <c r="N122" s="43"/>
      <c r="O122" s="44"/>
    </row>
    <row r="123" spans="1:15">
      <c r="A123" s="91"/>
      <c r="B123" s="47"/>
      <c r="C123" s="60"/>
      <c r="D123" s="49"/>
      <c r="E123" s="49"/>
      <c r="F123" s="49"/>
      <c r="G123" s="49"/>
      <c r="H123" s="49"/>
      <c r="I123" s="49"/>
      <c r="J123" s="49"/>
      <c r="K123" s="49"/>
      <c r="L123" s="49"/>
      <c r="M123" s="49"/>
      <c r="N123" s="49"/>
      <c r="O123" s="50"/>
    </row>
    <row r="124" spans="1:15">
      <c r="A124" s="89"/>
      <c r="B124" s="41"/>
      <c r="C124" s="58"/>
      <c r="D124" s="43"/>
      <c r="E124" s="43"/>
      <c r="F124" s="43"/>
      <c r="G124" s="43"/>
      <c r="H124" s="43"/>
      <c r="I124" s="43"/>
      <c r="J124" s="43"/>
      <c r="K124" s="43"/>
      <c r="L124" s="43"/>
      <c r="M124" s="43"/>
      <c r="N124" s="43"/>
      <c r="O124" s="44"/>
    </row>
    <row r="125" spans="1:15">
      <c r="A125" s="91"/>
      <c r="B125" s="47"/>
      <c r="C125" s="60"/>
      <c r="D125" s="49"/>
      <c r="E125" s="49"/>
      <c r="F125" s="49"/>
      <c r="G125" s="49"/>
      <c r="H125" s="49"/>
      <c r="I125" s="49"/>
      <c r="J125" s="49"/>
      <c r="K125" s="49"/>
      <c r="L125" s="49"/>
      <c r="M125" s="49"/>
      <c r="N125" s="49"/>
      <c r="O125" s="50"/>
    </row>
    <row r="126" spans="1:15">
      <c r="A126" s="89"/>
      <c r="B126" s="41"/>
      <c r="C126" s="58"/>
      <c r="D126" s="43"/>
      <c r="E126" s="43"/>
      <c r="F126" s="43"/>
      <c r="G126" s="43"/>
      <c r="H126" s="43"/>
      <c r="I126" s="43"/>
      <c r="J126" s="43"/>
      <c r="K126" s="43"/>
      <c r="L126" s="43"/>
      <c r="M126" s="43"/>
      <c r="N126" s="43"/>
      <c r="O126" s="44"/>
    </row>
    <row r="127" spans="1:15">
      <c r="A127" s="91"/>
      <c r="B127" s="47"/>
      <c r="C127" s="60"/>
      <c r="D127" s="49"/>
      <c r="E127" s="49"/>
      <c r="F127" s="49"/>
      <c r="G127" s="49"/>
      <c r="H127" s="49"/>
      <c r="I127" s="49"/>
      <c r="J127" s="49"/>
      <c r="K127" s="49"/>
      <c r="L127" s="49"/>
      <c r="M127" s="49"/>
      <c r="N127" s="49"/>
      <c r="O127" s="50"/>
    </row>
    <row r="128" spans="1:15">
      <c r="A128" s="89"/>
      <c r="B128" s="41"/>
      <c r="C128" s="58"/>
      <c r="D128" s="43"/>
      <c r="E128" s="43"/>
      <c r="F128" s="43"/>
      <c r="G128" s="43"/>
      <c r="H128" s="43"/>
      <c r="I128" s="43"/>
      <c r="J128" s="43"/>
      <c r="K128" s="43"/>
      <c r="L128" s="43"/>
      <c r="M128" s="43"/>
      <c r="N128" s="43"/>
      <c r="O128" s="44"/>
    </row>
    <row r="129" spans="1:15">
      <c r="A129" s="91"/>
      <c r="B129" s="47"/>
      <c r="C129" s="60"/>
      <c r="D129" s="49"/>
      <c r="E129" s="49"/>
      <c r="F129" s="49"/>
      <c r="G129" s="49"/>
      <c r="H129" s="49"/>
      <c r="I129" s="49"/>
      <c r="J129" s="49"/>
      <c r="K129" s="49"/>
      <c r="L129" s="49"/>
      <c r="M129" s="49"/>
      <c r="N129" s="49"/>
      <c r="O129" s="50"/>
    </row>
    <row r="130" spans="1:15">
      <c r="A130" s="89"/>
      <c r="B130" s="41"/>
      <c r="C130" s="58"/>
      <c r="D130" s="43"/>
      <c r="E130" s="43"/>
      <c r="F130" s="43"/>
      <c r="G130" s="43"/>
      <c r="H130" s="43"/>
      <c r="I130" s="43"/>
      <c r="J130" s="43"/>
      <c r="K130" s="43"/>
      <c r="L130" s="43"/>
      <c r="M130" s="43"/>
      <c r="N130" s="43"/>
      <c r="O130" s="44"/>
    </row>
    <row r="131" spans="1:15">
      <c r="A131" s="91"/>
      <c r="B131" s="47"/>
      <c r="C131" s="60"/>
      <c r="D131" s="49"/>
      <c r="E131" s="49"/>
      <c r="F131" s="49"/>
      <c r="G131" s="49"/>
      <c r="H131" s="49"/>
      <c r="I131" s="49"/>
      <c r="J131" s="49"/>
      <c r="K131" s="49"/>
      <c r="L131" s="49"/>
      <c r="M131" s="49"/>
      <c r="N131" s="49"/>
      <c r="O131" s="50"/>
    </row>
    <row r="132" spans="1:15">
      <c r="A132" s="89"/>
      <c r="B132" s="41"/>
      <c r="C132" s="58"/>
      <c r="D132" s="43"/>
      <c r="E132" s="43"/>
      <c r="F132" s="43"/>
      <c r="G132" s="43"/>
      <c r="H132" s="43"/>
      <c r="I132" s="43"/>
      <c r="J132" s="43"/>
      <c r="K132" s="43"/>
      <c r="L132" s="43"/>
      <c r="M132" s="43"/>
      <c r="N132" s="43"/>
      <c r="O132" s="44"/>
    </row>
    <row r="133" spans="1:15">
      <c r="A133" s="91"/>
      <c r="B133" s="47"/>
      <c r="C133" s="60"/>
      <c r="D133" s="49"/>
      <c r="E133" s="49"/>
      <c r="F133" s="49"/>
      <c r="G133" s="49"/>
      <c r="H133" s="49"/>
      <c r="I133" s="49"/>
      <c r="J133" s="49"/>
      <c r="K133" s="49"/>
      <c r="L133" s="49"/>
      <c r="M133" s="49"/>
      <c r="N133" s="49"/>
      <c r="O133" s="50"/>
    </row>
    <row r="134" spans="1:15">
      <c r="A134" s="89"/>
      <c r="B134" s="41"/>
      <c r="C134" s="58"/>
      <c r="D134" s="43"/>
      <c r="E134" s="43"/>
      <c r="F134" s="43"/>
      <c r="G134" s="43"/>
      <c r="H134" s="43"/>
      <c r="I134" s="43"/>
      <c r="J134" s="43"/>
      <c r="K134" s="43"/>
      <c r="L134" s="43"/>
      <c r="M134" s="43"/>
      <c r="N134" s="43"/>
      <c r="O134" s="44"/>
    </row>
    <row r="135" spans="1:15">
      <c r="A135" s="91"/>
      <c r="B135" s="47"/>
      <c r="C135" s="60"/>
      <c r="D135" s="49"/>
      <c r="E135" s="49"/>
      <c r="F135" s="49"/>
      <c r="G135" s="49"/>
      <c r="H135" s="49"/>
      <c r="I135" s="49"/>
      <c r="J135" s="49"/>
      <c r="K135" s="49"/>
      <c r="L135" s="49"/>
      <c r="M135" s="49"/>
      <c r="N135" s="49"/>
      <c r="O135" s="50"/>
    </row>
    <row r="136" spans="1:15">
      <c r="A136" s="89"/>
      <c r="B136" s="41"/>
      <c r="C136" s="58"/>
      <c r="D136" s="43"/>
      <c r="E136" s="43"/>
      <c r="F136" s="43"/>
      <c r="G136" s="43"/>
      <c r="H136" s="43"/>
      <c r="I136" s="43"/>
      <c r="J136" s="43"/>
      <c r="K136" s="43"/>
      <c r="L136" s="43"/>
      <c r="M136" s="43"/>
      <c r="N136" s="43"/>
      <c r="O136" s="44"/>
    </row>
    <row r="137" spans="1:15">
      <c r="A137" s="91"/>
      <c r="B137" s="47"/>
      <c r="C137" s="60"/>
      <c r="D137" s="49"/>
      <c r="E137" s="49"/>
      <c r="F137" s="49"/>
      <c r="G137" s="49"/>
      <c r="H137" s="49"/>
      <c r="I137" s="49"/>
      <c r="J137" s="49"/>
      <c r="K137" s="49"/>
      <c r="L137" s="49"/>
      <c r="M137" s="49"/>
      <c r="N137" s="49"/>
      <c r="O137" s="50"/>
    </row>
    <row r="138" spans="1:15">
      <c r="A138" s="89"/>
      <c r="B138" s="41"/>
      <c r="C138" s="58"/>
      <c r="D138" s="43"/>
      <c r="E138" s="43"/>
      <c r="F138" s="43"/>
      <c r="G138" s="43"/>
      <c r="H138" s="43"/>
      <c r="I138" s="43"/>
      <c r="J138" s="43"/>
      <c r="K138" s="43"/>
      <c r="L138" s="43"/>
      <c r="M138" s="43"/>
      <c r="N138" s="43"/>
      <c r="O138" s="44"/>
    </row>
    <row r="139" spans="1:15">
      <c r="A139" s="91"/>
      <c r="B139" s="47"/>
      <c r="C139" s="60"/>
      <c r="D139" s="49"/>
      <c r="E139" s="49"/>
      <c r="F139" s="49"/>
      <c r="G139" s="49"/>
      <c r="H139" s="49"/>
      <c r="I139" s="49"/>
      <c r="J139" s="49"/>
      <c r="K139" s="49"/>
      <c r="L139" s="49"/>
      <c r="M139" s="49"/>
      <c r="N139" s="49"/>
      <c r="O139" s="50"/>
    </row>
    <row r="140" spans="1:15">
      <c r="A140" s="89"/>
      <c r="B140" s="41"/>
      <c r="C140" s="58"/>
      <c r="D140" s="43"/>
      <c r="E140" s="43"/>
      <c r="F140" s="43"/>
      <c r="G140" s="43"/>
      <c r="H140" s="43"/>
      <c r="I140" s="43"/>
      <c r="J140" s="43"/>
      <c r="K140" s="43"/>
      <c r="L140" s="43"/>
      <c r="M140" s="43"/>
      <c r="N140" s="43"/>
      <c r="O140" s="44"/>
    </row>
    <row r="141" spans="1:15">
      <c r="A141" s="91"/>
      <c r="B141" s="47"/>
      <c r="C141" s="60"/>
      <c r="D141" s="49"/>
      <c r="E141" s="49"/>
      <c r="F141" s="49"/>
      <c r="G141" s="49"/>
      <c r="H141" s="49"/>
      <c r="I141" s="49"/>
      <c r="J141" s="49"/>
      <c r="K141" s="49"/>
      <c r="L141" s="49"/>
      <c r="M141" s="49"/>
      <c r="N141" s="49"/>
      <c r="O141" s="50"/>
    </row>
    <row r="142" spans="1:15">
      <c r="A142" s="89"/>
      <c r="B142" s="41"/>
      <c r="C142" s="58"/>
      <c r="D142" s="43"/>
      <c r="E142" s="43"/>
      <c r="F142" s="43"/>
      <c r="G142" s="43"/>
      <c r="H142" s="43"/>
      <c r="I142" s="43"/>
      <c r="J142" s="43"/>
      <c r="K142" s="43"/>
      <c r="L142" s="43"/>
      <c r="M142" s="43"/>
      <c r="N142" s="43"/>
      <c r="O142" s="44"/>
    </row>
    <row r="143" spans="1:15">
      <c r="A143" s="91"/>
      <c r="B143" s="47"/>
      <c r="C143" s="60"/>
      <c r="D143" s="49"/>
      <c r="E143" s="49"/>
      <c r="F143" s="49"/>
      <c r="G143" s="49"/>
      <c r="H143" s="49"/>
      <c r="I143" s="49"/>
      <c r="J143" s="49"/>
      <c r="K143" s="49"/>
      <c r="L143" s="49"/>
      <c r="M143" s="49"/>
      <c r="N143" s="49"/>
      <c r="O143" s="50"/>
    </row>
    <row r="144" spans="1:15">
      <c r="A144" s="89"/>
      <c r="B144" s="41"/>
      <c r="C144" s="58"/>
      <c r="D144" s="43"/>
      <c r="E144" s="43"/>
      <c r="F144" s="43"/>
      <c r="G144" s="43"/>
      <c r="H144" s="43"/>
      <c r="I144" s="43"/>
      <c r="J144" s="43"/>
      <c r="K144" s="43"/>
      <c r="L144" s="43"/>
      <c r="M144" s="43"/>
      <c r="N144" s="43"/>
      <c r="O144" s="44"/>
    </row>
    <row r="145" spans="1:15">
      <c r="A145" s="91"/>
      <c r="B145" s="47"/>
      <c r="C145" s="60"/>
      <c r="D145" s="49"/>
      <c r="E145" s="49"/>
      <c r="F145" s="49"/>
      <c r="G145" s="49"/>
      <c r="H145" s="49"/>
      <c r="I145" s="49"/>
      <c r="J145" s="49"/>
      <c r="K145" s="49"/>
      <c r="L145" s="49"/>
      <c r="M145" s="49"/>
      <c r="N145" s="49"/>
      <c r="O145" s="50"/>
    </row>
    <row r="146" spans="1:15">
      <c r="A146" s="89"/>
      <c r="B146" s="41"/>
      <c r="C146" s="58"/>
      <c r="D146" s="43"/>
      <c r="E146" s="43"/>
      <c r="F146" s="43"/>
      <c r="G146" s="43"/>
      <c r="H146" s="43"/>
      <c r="I146" s="43"/>
      <c r="J146" s="43"/>
      <c r="K146" s="43"/>
      <c r="L146" s="43"/>
      <c r="M146" s="43"/>
      <c r="N146" s="43"/>
      <c r="O146" s="44"/>
    </row>
    <row r="147" spans="1:15">
      <c r="A147" s="91"/>
      <c r="B147" s="47"/>
      <c r="C147" s="60"/>
      <c r="D147" s="49"/>
      <c r="E147" s="49"/>
      <c r="F147" s="49"/>
      <c r="G147" s="49"/>
      <c r="H147" s="49"/>
      <c r="I147" s="49"/>
      <c r="J147" s="49"/>
      <c r="K147" s="49"/>
      <c r="L147" s="49"/>
      <c r="M147" s="49"/>
      <c r="N147" s="49"/>
      <c r="O147" s="50"/>
    </row>
    <row r="148" spans="1:15">
      <c r="A148" s="89"/>
      <c r="B148" s="41"/>
      <c r="C148" s="58"/>
      <c r="D148" s="43"/>
      <c r="E148" s="43"/>
      <c r="F148" s="43"/>
      <c r="G148" s="43"/>
      <c r="H148" s="43"/>
      <c r="I148" s="43"/>
      <c r="J148" s="43"/>
      <c r="K148" s="43"/>
      <c r="L148" s="43"/>
      <c r="M148" s="43"/>
      <c r="N148" s="43"/>
      <c r="O148" s="44"/>
    </row>
    <row r="149" spans="1:15">
      <c r="A149" s="91"/>
      <c r="B149" s="47"/>
      <c r="C149" s="60"/>
      <c r="D149" s="49"/>
      <c r="E149" s="49"/>
      <c r="F149" s="49"/>
      <c r="G149" s="49"/>
      <c r="H149" s="49"/>
      <c r="I149" s="49"/>
      <c r="J149" s="49"/>
      <c r="K149" s="49"/>
      <c r="L149" s="49"/>
      <c r="M149" s="49"/>
      <c r="N149" s="49"/>
      <c r="O149" s="50"/>
    </row>
    <row r="150" spans="1:15">
      <c r="A150" s="89"/>
      <c r="B150" s="41"/>
      <c r="C150" s="58"/>
      <c r="D150" s="43"/>
      <c r="E150" s="43"/>
      <c r="F150" s="43"/>
      <c r="G150" s="43"/>
      <c r="H150" s="43"/>
      <c r="I150" s="43"/>
      <c r="J150" s="43"/>
      <c r="K150" s="43"/>
      <c r="L150" s="43"/>
      <c r="M150" s="43"/>
      <c r="N150" s="43"/>
      <c r="O150" s="44"/>
    </row>
    <row r="151" spans="1:15">
      <c r="A151" s="91"/>
      <c r="B151" s="47"/>
      <c r="C151" s="60"/>
      <c r="D151" s="49"/>
      <c r="E151" s="49"/>
      <c r="F151" s="49"/>
      <c r="G151" s="49"/>
      <c r="H151" s="49"/>
      <c r="I151" s="49"/>
      <c r="J151" s="49"/>
      <c r="K151" s="49"/>
      <c r="L151" s="49"/>
      <c r="M151" s="49"/>
      <c r="N151" s="49"/>
      <c r="O151" s="50"/>
    </row>
    <row r="152" spans="1:15">
      <c r="A152" s="89"/>
      <c r="B152" s="41"/>
      <c r="C152" s="58"/>
      <c r="D152" s="43"/>
      <c r="E152" s="43"/>
      <c r="F152" s="43"/>
      <c r="G152" s="43"/>
      <c r="H152" s="43"/>
      <c r="I152" s="43"/>
      <c r="J152" s="43"/>
      <c r="K152" s="43"/>
      <c r="L152" s="43"/>
      <c r="M152" s="43"/>
      <c r="N152" s="43"/>
      <c r="O152" s="44"/>
    </row>
    <row r="153" spans="1:15">
      <c r="A153" s="91"/>
      <c r="B153" s="47"/>
      <c r="C153" s="60"/>
      <c r="D153" s="49"/>
      <c r="E153" s="49"/>
      <c r="F153" s="49"/>
      <c r="G153" s="49"/>
      <c r="H153" s="49"/>
      <c r="I153" s="49"/>
      <c r="J153" s="49"/>
      <c r="K153" s="49"/>
      <c r="L153" s="49"/>
      <c r="M153" s="49"/>
      <c r="N153" s="49"/>
      <c r="O153" s="50"/>
    </row>
    <row r="154" spans="1:15">
      <c r="A154" s="89"/>
      <c r="B154" s="41"/>
      <c r="C154" s="58"/>
      <c r="D154" s="43"/>
      <c r="E154" s="43"/>
      <c r="F154" s="43"/>
      <c r="G154" s="43"/>
      <c r="H154" s="43"/>
      <c r="I154" s="43"/>
      <c r="J154" s="43"/>
      <c r="K154" s="43"/>
      <c r="L154" s="43"/>
      <c r="M154" s="43"/>
      <c r="N154" s="43"/>
      <c r="O154" s="44"/>
    </row>
    <row r="155" spans="1:15">
      <c r="A155" s="91"/>
      <c r="B155" s="47"/>
      <c r="C155" s="60"/>
      <c r="D155" s="49"/>
      <c r="E155" s="49"/>
      <c r="F155" s="49"/>
      <c r="G155" s="49"/>
      <c r="H155" s="49"/>
      <c r="I155" s="49"/>
      <c r="J155" s="49"/>
      <c r="K155" s="49"/>
      <c r="L155" s="49"/>
      <c r="M155" s="49"/>
      <c r="N155" s="49"/>
      <c r="O155" s="50"/>
    </row>
    <row r="156" spans="1:15">
      <c r="A156" s="89"/>
      <c r="B156" s="41"/>
      <c r="C156" s="58"/>
      <c r="D156" s="43"/>
      <c r="E156" s="43"/>
      <c r="F156" s="43"/>
      <c r="G156" s="43"/>
      <c r="H156" s="43"/>
      <c r="I156" s="43"/>
      <c r="J156" s="43"/>
      <c r="K156" s="43"/>
      <c r="L156" s="43"/>
      <c r="M156" s="43"/>
      <c r="N156" s="43"/>
      <c r="O156" s="44"/>
    </row>
    <row r="157" spans="1:15">
      <c r="A157" s="91"/>
      <c r="B157" s="47"/>
      <c r="C157" s="60"/>
      <c r="D157" s="49"/>
      <c r="E157" s="49"/>
      <c r="F157" s="49"/>
      <c r="G157" s="49"/>
      <c r="H157" s="49"/>
      <c r="I157" s="49"/>
      <c r="J157" s="49"/>
      <c r="K157" s="49"/>
      <c r="L157" s="49"/>
      <c r="M157" s="49"/>
      <c r="N157" s="49"/>
      <c r="O157" s="50"/>
    </row>
    <row r="158" spans="1:15">
      <c r="A158" s="89"/>
      <c r="B158" s="41"/>
      <c r="C158" s="58"/>
      <c r="D158" s="43"/>
      <c r="E158" s="43"/>
      <c r="F158" s="43"/>
      <c r="G158" s="43"/>
      <c r="H158" s="43"/>
      <c r="I158" s="43"/>
      <c r="J158" s="43"/>
      <c r="K158" s="43"/>
      <c r="L158" s="43"/>
      <c r="M158" s="43"/>
      <c r="N158" s="43"/>
      <c r="O158" s="44"/>
    </row>
    <row r="159" spans="1:15">
      <c r="A159" s="91"/>
      <c r="B159" s="47"/>
      <c r="C159" s="60"/>
      <c r="D159" s="49"/>
      <c r="E159" s="49"/>
      <c r="F159" s="49"/>
      <c r="G159" s="49"/>
      <c r="H159" s="49"/>
      <c r="I159" s="49"/>
      <c r="J159" s="49"/>
      <c r="K159" s="49"/>
      <c r="L159" s="49"/>
      <c r="M159" s="49"/>
      <c r="N159" s="49"/>
      <c r="O159" s="50"/>
    </row>
    <row r="160" spans="1:15">
      <c r="A160" s="89"/>
      <c r="B160" s="41"/>
      <c r="C160" s="58"/>
      <c r="D160" s="43"/>
      <c r="E160" s="43"/>
      <c r="F160" s="43"/>
      <c r="G160" s="43"/>
      <c r="H160" s="43"/>
      <c r="I160" s="43"/>
      <c r="J160" s="43"/>
      <c r="K160" s="43"/>
      <c r="L160" s="43"/>
      <c r="M160" s="43"/>
      <c r="N160" s="43"/>
      <c r="O160" s="44"/>
    </row>
    <row r="161" spans="1:15">
      <c r="A161" s="91"/>
      <c r="B161" s="47"/>
      <c r="C161" s="60"/>
      <c r="D161" s="49"/>
      <c r="E161" s="49"/>
      <c r="F161" s="49"/>
      <c r="G161" s="49"/>
      <c r="H161" s="49"/>
      <c r="I161" s="49"/>
      <c r="J161" s="49"/>
      <c r="K161" s="49"/>
      <c r="L161" s="49"/>
      <c r="M161" s="49"/>
      <c r="N161" s="49"/>
      <c r="O161" s="50"/>
    </row>
    <row r="162" spans="1:15">
      <c r="A162" s="89"/>
      <c r="B162" s="41"/>
      <c r="C162" s="58"/>
      <c r="D162" s="43"/>
      <c r="E162" s="43"/>
      <c r="F162" s="43"/>
      <c r="G162" s="43"/>
      <c r="H162" s="43"/>
      <c r="I162" s="43"/>
      <c r="J162" s="43"/>
      <c r="K162" s="43"/>
      <c r="L162" s="43"/>
      <c r="M162" s="43"/>
      <c r="N162" s="43"/>
      <c r="O162" s="44"/>
    </row>
    <row r="163" spans="1:15">
      <c r="A163" s="91"/>
      <c r="B163" s="47"/>
      <c r="C163" s="60"/>
      <c r="D163" s="49"/>
      <c r="E163" s="49"/>
      <c r="F163" s="49"/>
      <c r="G163" s="49"/>
      <c r="H163" s="49"/>
      <c r="I163" s="49"/>
      <c r="J163" s="49"/>
      <c r="K163" s="49"/>
      <c r="L163" s="49"/>
      <c r="M163" s="49"/>
      <c r="N163" s="49"/>
      <c r="O163" s="50"/>
    </row>
    <row r="164" spans="1:15">
      <c r="A164" s="89"/>
      <c r="B164" s="41"/>
      <c r="C164" s="58"/>
      <c r="D164" s="43"/>
      <c r="E164" s="43"/>
      <c r="F164" s="43"/>
      <c r="G164" s="43"/>
      <c r="H164" s="43"/>
      <c r="I164" s="43"/>
      <c r="J164" s="43"/>
      <c r="K164" s="43"/>
      <c r="L164" s="43"/>
      <c r="M164" s="43"/>
      <c r="N164" s="43"/>
      <c r="O164" s="44"/>
    </row>
    <row r="165" spans="1:15">
      <c r="A165" s="91"/>
      <c r="B165" s="47"/>
      <c r="C165" s="60"/>
      <c r="D165" s="49"/>
      <c r="E165" s="49"/>
      <c r="F165" s="49"/>
      <c r="G165" s="49"/>
      <c r="H165" s="49"/>
      <c r="I165" s="49"/>
      <c r="J165" s="49"/>
      <c r="K165" s="49"/>
      <c r="L165" s="49"/>
      <c r="M165" s="49"/>
      <c r="N165" s="49"/>
      <c r="O165" s="50"/>
    </row>
    <row r="166" spans="1:15">
      <c r="A166" s="89"/>
      <c r="B166" s="41"/>
      <c r="C166" s="58"/>
      <c r="D166" s="43"/>
      <c r="E166" s="43"/>
      <c r="F166" s="43"/>
      <c r="G166" s="43"/>
      <c r="H166" s="43"/>
      <c r="I166" s="43"/>
      <c r="J166" s="43"/>
      <c r="K166" s="43"/>
      <c r="L166" s="43"/>
      <c r="M166" s="43"/>
      <c r="N166" s="43"/>
      <c r="O166" s="44"/>
    </row>
    <row r="167" spans="1:15">
      <c r="A167" s="91"/>
      <c r="B167" s="47"/>
      <c r="C167" s="60"/>
      <c r="D167" s="49"/>
      <c r="E167" s="49"/>
      <c r="F167" s="49"/>
      <c r="G167" s="49"/>
      <c r="H167" s="49"/>
      <c r="I167" s="49"/>
      <c r="J167" s="49"/>
      <c r="K167" s="49"/>
      <c r="L167" s="49"/>
      <c r="M167" s="49"/>
      <c r="N167" s="49"/>
      <c r="O167" s="50"/>
    </row>
    <row r="168" spans="1:15">
      <c r="A168" s="89"/>
      <c r="B168" s="41"/>
      <c r="C168" s="58"/>
      <c r="D168" s="43"/>
      <c r="E168" s="43"/>
      <c r="F168" s="43"/>
      <c r="G168" s="43"/>
      <c r="H168" s="43"/>
      <c r="I168" s="43"/>
      <c r="J168" s="43"/>
      <c r="K168" s="43"/>
      <c r="L168" s="43"/>
      <c r="M168" s="43"/>
      <c r="N168" s="43"/>
      <c r="O168" s="44"/>
    </row>
    <row r="169" spans="1:15">
      <c r="A169" s="91"/>
      <c r="B169" s="47"/>
      <c r="C169" s="60"/>
      <c r="D169" s="49"/>
      <c r="E169" s="49"/>
      <c r="F169" s="49"/>
      <c r="G169" s="49"/>
      <c r="H169" s="49"/>
      <c r="I169" s="49"/>
      <c r="J169" s="49"/>
      <c r="K169" s="49"/>
      <c r="L169" s="49"/>
      <c r="M169" s="49"/>
      <c r="N169" s="49"/>
      <c r="O169" s="50"/>
    </row>
    <row r="170" spans="1:15">
      <c r="A170" s="89"/>
      <c r="B170" s="41"/>
      <c r="C170" s="58"/>
      <c r="D170" s="43"/>
      <c r="E170" s="43"/>
      <c r="F170" s="43"/>
      <c r="G170" s="43"/>
      <c r="H170" s="43"/>
      <c r="I170" s="43"/>
      <c r="J170" s="43"/>
      <c r="K170" s="43"/>
      <c r="L170" s="43"/>
      <c r="M170" s="43"/>
      <c r="N170" s="43"/>
      <c r="O170" s="44"/>
    </row>
    <row r="171" spans="1:15">
      <c r="A171" s="91"/>
      <c r="B171" s="47"/>
      <c r="C171" s="60"/>
      <c r="D171" s="49"/>
      <c r="E171" s="49"/>
      <c r="F171" s="49"/>
      <c r="G171" s="49"/>
      <c r="H171" s="49"/>
      <c r="I171" s="49"/>
      <c r="J171" s="49"/>
      <c r="K171" s="49"/>
      <c r="L171" s="49"/>
      <c r="M171" s="49"/>
      <c r="N171" s="49"/>
      <c r="O171" s="50"/>
    </row>
    <row r="172" spans="1:15">
      <c r="A172" s="89"/>
      <c r="B172" s="41"/>
      <c r="C172" s="58"/>
      <c r="D172" s="43"/>
      <c r="E172" s="43"/>
      <c r="F172" s="43"/>
      <c r="G172" s="43"/>
      <c r="H172" s="43"/>
      <c r="I172" s="43"/>
      <c r="J172" s="43"/>
      <c r="K172" s="43"/>
      <c r="L172" s="43"/>
      <c r="M172" s="43"/>
      <c r="N172" s="43"/>
      <c r="O172" s="44"/>
    </row>
    <row r="173" spans="1:15">
      <c r="A173" s="91"/>
      <c r="B173" s="47"/>
      <c r="C173" s="60"/>
      <c r="D173" s="49"/>
      <c r="E173" s="49"/>
      <c r="F173" s="49"/>
      <c r="G173" s="49"/>
      <c r="H173" s="49"/>
      <c r="I173" s="49"/>
      <c r="J173" s="49"/>
      <c r="K173" s="49"/>
      <c r="L173" s="49"/>
      <c r="M173" s="49"/>
      <c r="N173" s="49"/>
      <c r="O173" s="50"/>
    </row>
    <row r="174" spans="1:15">
      <c r="A174" s="89"/>
      <c r="B174" s="41"/>
      <c r="C174" s="58"/>
      <c r="D174" s="43"/>
      <c r="E174" s="43"/>
      <c r="F174" s="43"/>
      <c r="G174" s="43"/>
      <c r="H174" s="43"/>
      <c r="I174" s="43"/>
      <c r="J174" s="43"/>
      <c r="K174" s="43"/>
      <c r="L174" s="43"/>
      <c r="M174" s="43"/>
      <c r="N174" s="43"/>
      <c r="O174" s="44"/>
    </row>
    <row r="175" spans="1:15">
      <c r="A175" s="91"/>
      <c r="B175" s="47"/>
      <c r="C175" s="60"/>
      <c r="D175" s="49"/>
      <c r="E175" s="49"/>
      <c r="F175" s="49"/>
      <c r="G175" s="49"/>
      <c r="H175" s="49"/>
      <c r="I175" s="49"/>
      <c r="J175" s="49"/>
      <c r="K175" s="49"/>
      <c r="L175" s="49"/>
      <c r="M175" s="49"/>
      <c r="N175" s="49"/>
      <c r="O175" s="50"/>
    </row>
    <row r="176" spans="1:15">
      <c r="A176" s="89"/>
      <c r="B176" s="41"/>
      <c r="C176" s="58"/>
      <c r="D176" s="43"/>
      <c r="E176" s="43"/>
      <c r="F176" s="43"/>
      <c r="G176" s="43"/>
      <c r="H176" s="43"/>
      <c r="I176" s="43"/>
      <c r="J176" s="43"/>
      <c r="K176" s="43"/>
      <c r="L176" s="43"/>
      <c r="M176" s="43"/>
      <c r="N176" s="43"/>
      <c r="O176" s="44"/>
    </row>
    <row r="177" spans="1:15">
      <c r="A177" s="91"/>
      <c r="B177" s="47"/>
      <c r="C177" s="60"/>
      <c r="D177" s="49"/>
      <c r="E177" s="49"/>
      <c r="F177" s="49"/>
      <c r="G177" s="49"/>
      <c r="H177" s="49"/>
      <c r="I177" s="49"/>
      <c r="J177" s="49"/>
      <c r="K177" s="49"/>
      <c r="L177" s="49"/>
      <c r="M177" s="49"/>
      <c r="N177" s="49"/>
      <c r="O177" s="50"/>
    </row>
    <row r="178" spans="1:15">
      <c r="A178" s="89"/>
      <c r="B178" s="41"/>
      <c r="C178" s="58"/>
      <c r="D178" s="43"/>
      <c r="E178" s="43"/>
      <c r="F178" s="43"/>
      <c r="G178" s="43"/>
      <c r="H178" s="43"/>
      <c r="I178" s="43"/>
      <c r="J178" s="43"/>
      <c r="K178" s="43"/>
      <c r="L178" s="43"/>
      <c r="M178" s="43"/>
      <c r="N178" s="43"/>
      <c r="O178" s="44"/>
    </row>
    <row r="179" spans="1:15">
      <c r="A179" s="91"/>
      <c r="B179" s="47"/>
      <c r="C179" s="60"/>
      <c r="D179" s="49"/>
      <c r="E179" s="49"/>
      <c r="F179" s="49"/>
      <c r="G179" s="49"/>
      <c r="H179" s="49"/>
      <c r="I179" s="49"/>
      <c r="J179" s="49"/>
      <c r="K179" s="49"/>
      <c r="L179" s="49"/>
      <c r="M179" s="49"/>
      <c r="N179" s="49"/>
      <c r="O179" s="50"/>
    </row>
    <row r="180" spans="1:15">
      <c r="A180" s="89"/>
      <c r="B180" s="41"/>
      <c r="C180" s="58"/>
      <c r="D180" s="43"/>
      <c r="E180" s="43"/>
      <c r="F180" s="43"/>
      <c r="G180" s="43"/>
      <c r="H180" s="43"/>
      <c r="I180" s="43"/>
      <c r="J180" s="43"/>
      <c r="K180" s="43"/>
      <c r="L180" s="43"/>
      <c r="M180" s="43"/>
      <c r="N180" s="43"/>
      <c r="O180" s="44"/>
    </row>
    <row r="181" spans="1:15">
      <c r="A181" s="91"/>
      <c r="B181" s="47"/>
      <c r="C181" s="60"/>
      <c r="D181" s="49"/>
      <c r="E181" s="49"/>
      <c r="F181" s="49"/>
      <c r="G181" s="49"/>
      <c r="H181" s="49"/>
      <c r="I181" s="49"/>
      <c r="J181" s="49"/>
      <c r="K181" s="49"/>
      <c r="L181" s="49"/>
      <c r="M181" s="49"/>
      <c r="N181" s="49"/>
      <c r="O181" s="50"/>
    </row>
    <row r="182" spans="1:15">
      <c r="A182" s="89"/>
      <c r="B182" s="41"/>
      <c r="C182" s="58"/>
      <c r="D182" s="43"/>
      <c r="E182" s="43"/>
      <c r="F182" s="43"/>
      <c r="G182" s="43"/>
      <c r="H182" s="43"/>
      <c r="I182" s="43"/>
      <c r="J182" s="43"/>
      <c r="K182" s="43"/>
      <c r="L182" s="43"/>
      <c r="M182" s="43"/>
      <c r="N182" s="43"/>
      <c r="O182" s="44"/>
    </row>
    <row r="183" spans="1:15">
      <c r="A183" s="91"/>
      <c r="B183" s="47"/>
      <c r="C183" s="60"/>
      <c r="D183" s="49"/>
      <c r="E183" s="49"/>
      <c r="F183" s="49"/>
      <c r="G183" s="49"/>
      <c r="H183" s="49"/>
      <c r="I183" s="49"/>
      <c r="J183" s="49"/>
      <c r="K183" s="49"/>
      <c r="L183" s="49"/>
      <c r="M183" s="49"/>
      <c r="N183" s="49"/>
      <c r="O183" s="50"/>
    </row>
    <row r="184" spans="1:15">
      <c r="A184" s="89"/>
      <c r="B184" s="41"/>
      <c r="C184" s="58"/>
      <c r="D184" s="43"/>
      <c r="E184" s="43"/>
      <c r="F184" s="43"/>
      <c r="G184" s="43"/>
      <c r="H184" s="43"/>
      <c r="I184" s="43"/>
      <c r="J184" s="43"/>
      <c r="K184" s="43"/>
      <c r="L184" s="43"/>
      <c r="M184" s="43"/>
      <c r="N184" s="43"/>
      <c r="O184" s="44"/>
    </row>
    <row r="185" spans="1:15">
      <c r="A185" s="91"/>
      <c r="B185" s="47"/>
      <c r="C185" s="60"/>
      <c r="D185" s="49"/>
      <c r="E185" s="49"/>
      <c r="F185" s="49"/>
      <c r="G185" s="49"/>
      <c r="H185" s="49"/>
      <c r="I185" s="49"/>
      <c r="J185" s="49"/>
      <c r="K185" s="49"/>
      <c r="L185" s="49"/>
      <c r="M185" s="49"/>
      <c r="N185" s="49"/>
      <c r="O185" s="50"/>
    </row>
    <row r="186" spans="1:15">
      <c r="A186" s="89"/>
      <c r="B186" s="41"/>
      <c r="C186" s="58"/>
      <c r="D186" s="43"/>
      <c r="E186" s="43"/>
      <c r="F186" s="43"/>
      <c r="G186" s="43"/>
      <c r="H186" s="43"/>
      <c r="I186" s="43"/>
      <c r="J186" s="43"/>
      <c r="K186" s="43"/>
      <c r="L186" s="43"/>
      <c r="M186" s="43"/>
      <c r="N186" s="43"/>
      <c r="O186" s="44"/>
    </row>
    <row r="187" spans="1:15">
      <c r="A187" s="91"/>
      <c r="B187" s="47"/>
      <c r="C187" s="60"/>
      <c r="D187" s="49"/>
      <c r="E187" s="49"/>
      <c r="F187" s="49"/>
      <c r="G187" s="49"/>
      <c r="H187" s="49"/>
      <c r="I187" s="49"/>
      <c r="J187" s="49"/>
      <c r="K187" s="49"/>
      <c r="L187" s="49"/>
      <c r="M187" s="49"/>
      <c r="N187" s="49"/>
      <c r="O187" s="50"/>
    </row>
    <row r="188" spans="1:15">
      <c r="A188" s="89"/>
      <c r="B188" s="41"/>
      <c r="C188" s="58"/>
      <c r="D188" s="43"/>
      <c r="E188" s="43"/>
      <c r="F188" s="43"/>
      <c r="G188" s="43"/>
      <c r="H188" s="43"/>
      <c r="I188" s="43"/>
      <c r="J188" s="43"/>
      <c r="K188" s="43"/>
      <c r="L188" s="43"/>
      <c r="M188" s="43"/>
      <c r="N188" s="43"/>
      <c r="O188" s="44"/>
    </row>
    <row r="189" spans="1:15">
      <c r="A189" s="91"/>
      <c r="B189" s="47"/>
      <c r="C189" s="60"/>
      <c r="D189" s="49"/>
      <c r="E189" s="49"/>
      <c r="F189" s="49"/>
      <c r="G189" s="49"/>
      <c r="H189" s="49"/>
      <c r="I189" s="49"/>
      <c r="J189" s="49"/>
      <c r="K189" s="49"/>
      <c r="L189" s="49"/>
      <c r="M189" s="49"/>
      <c r="N189" s="49"/>
      <c r="O189" s="50"/>
    </row>
    <row r="190" spans="1:15">
      <c r="A190" s="89"/>
      <c r="B190" s="41"/>
      <c r="C190" s="58"/>
      <c r="D190" s="43"/>
      <c r="E190" s="43"/>
      <c r="F190" s="43"/>
      <c r="G190" s="43"/>
      <c r="H190" s="43"/>
      <c r="I190" s="43"/>
      <c r="J190" s="43"/>
      <c r="K190" s="43"/>
      <c r="L190" s="43"/>
      <c r="M190" s="43"/>
      <c r="N190" s="43"/>
      <c r="O190" s="44"/>
    </row>
    <row r="191" spans="1:15">
      <c r="A191" s="91"/>
      <c r="B191" s="47"/>
      <c r="C191" s="60"/>
      <c r="D191" s="49"/>
      <c r="E191" s="49"/>
      <c r="F191" s="49"/>
      <c r="G191" s="49"/>
      <c r="H191" s="49"/>
      <c r="I191" s="49"/>
      <c r="J191" s="49"/>
      <c r="K191" s="49"/>
      <c r="L191" s="49"/>
      <c r="M191" s="49"/>
      <c r="N191" s="49"/>
      <c r="O191" s="50"/>
    </row>
    <row r="192" spans="1:15">
      <c r="A192" s="89"/>
      <c r="B192" s="41"/>
      <c r="C192" s="58"/>
      <c r="D192" s="43"/>
      <c r="E192" s="43"/>
      <c r="F192" s="43"/>
      <c r="G192" s="43"/>
      <c r="H192" s="43"/>
      <c r="I192" s="43"/>
      <c r="J192" s="43"/>
      <c r="K192" s="43"/>
      <c r="L192" s="43"/>
      <c r="M192" s="43"/>
      <c r="N192" s="43"/>
      <c r="O192" s="44"/>
    </row>
    <row r="193" spans="1:15">
      <c r="A193" s="91"/>
      <c r="B193" s="47"/>
      <c r="C193" s="60"/>
      <c r="D193" s="49"/>
      <c r="E193" s="49"/>
      <c r="F193" s="49"/>
      <c r="G193" s="49"/>
      <c r="H193" s="49"/>
      <c r="I193" s="49"/>
      <c r="J193" s="49"/>
      <c r="K193" s="49"/>
      <c r="L193" s="49"/>
      <c r="M193" s="49"/>
      <c r="N193" s="49"/>
      <c r="O193" s="50"/>
    </row>
    <row r="194" spans="1:15">
      <c r="A194" s="89"/>
      <c r="B194" s="41"/>
      <c r="C194" s="58"/>
      <c r="D194" s="43"/>
      <c r="E194" s="43"/>
      <c r="F194" s="43"/>
      <c r="G194" s="43"/>
      <c r="H194" s="43"/>
      <c r="I194" s="43"/>
      <c r="J194" s="43"/>
      <c r="K194" s="43"/>
      <c r="L194" s="43"/>
      <c r="M194" s="43"/>
      <c r="N194" s="43"/>
      <c r="O194" s="44"/>
    </row>
    <row r="195" spans="1:15">
      <c r="A195" s="91"/>
      <c r="B195" s="47"/>
      <c r="C195" s="60"/>
      <c r="D195" s="49"/>
      <c r="E195" s="49"/>
      <c r="F195" s="49"/>
      <c r="G195" s="49"/>
      <c r="H195" s="49"/>
      <c r="I195" s="49"/>
      <c r="J195" s="49"/>
      <c r="K195" s="49"/>
      <c r="L195" s="49"/>
      <c r="M195" s="49"/>
      <c r="N195" s="49"/>
      <c r="O195" s="50"/>
    </row>
    <row r="196" spans="1:15">
      <c r="A196" s="89"/>
      <c r="B196" s="41"/>
      <c r="C196" s="58"/>
      <c r="D196" s="43"/>
      <c r="E196" s="43"/>
      <c r="F196" s="43"/>
      <c r="G196" s="43"/>
      <c r="H196" s="43"/>
      <c r="I196" s="43"/>
      <c r="J196" s="43"/>
      <c r="K196" s="43"/>
      <c r="L196" s="43"/>
      <c r="M196" s="43"/>
      <c r="N196" s="43"/>
      <c r="O196" s="44"/>
    </row>
    <row r="197" spans="1:15">
      <c r="A197" s="91"/>
      <c r="B197" s="47"/>
      <c r="C197" s="60"/>
      <c r="D197" s="49"/>
      <c r="E197" s="49"/>
      <c r="F197" s="49"/>
      <c r="G197" s="49"/>
      <c r="H197" s="49"/>
      <c r="I197" s="49"/>
      <c r="J197" s="49"/>
      <c r="K197" s="49"/>
      <c r="L197" s="49"/>
      <c r="M197" s="49"/>
      <c r="N197" s="49"/>
      <c r="O197" s="50"/>
    </row>
    <row r="198" spans="1:15">
      <c r="A198" s="89"/>
      <c r="B198" s="41"/>
      <c r="C198" s="58"/>
      <c r="D198" s="43"/>
      <c r="E198" s="43"/>
      <c r="F198" s="43"/>
      <c r="G198" s="43"/>
      <c r="H198" s="43"/>
      <c r="I198" s="43"/>
      <c r="J198" s="43"/>
      <c r="K198" s="43"/>
      <c r="L198" s="43"/>
      <c r="M198" s="43"/>
      <c r="N198" s="43"/>
      <c r="O198" s="44"/>
    </row>
    <row r="199" spans="1:15">
      <c r="A199" s="91"/>
      <c r="B199" s="47"/>
      <c r="C199" s="60"/>
      <c r="D199" s="49"/>
      <c r="E199" s="49"/>
      <c r="F199" s="49"/>
      <c r="G199" s="49"/>
      <c r="H199" s="49"/>
      <c r="I199" s="49"/>
      <c r="J199" s="49"/>
      <c r="K199" s="49"/>
      <c r="L199" s="49"/>
      <c r="M199" s="49"/>
      <c r="N199" s="49"/>
      <c r="O199" s="50"/>
    </row>
    <row r="200" spans="1:15">
      <c r="A200" s="89"/>
      <c r="B200" s="41"/>
      <c r="C200" s="58"/>
      <c r="D200" s="43"/>
      <c r="E200" s="43"/>
      <c r="F200" s="43"/>
      <c r="G200" s="43"/>
      <c r="H200" s="43"/>
      <c r="I200" s="43"/>
      <c r="J200" s="43"/>
      <c r="K200" s="43"/>
      <c r="L200" s="43"/>
      <c r="M200" s="43"/>
      <c r="N200" s="43"/>
      <c r="O200" s="44"/>
    </row>
    <row r="201" spans="1:15">
      <c r="A201" s="91"/>
      <c r="B201" s="47"/>
      <c r="C201" s="60"/>
      <c r="D201" s="49"/>
      <c r="E201" s="49"/>
      <c r="F201" s="49"/>
      <c r="G201" s="49"/>
      <c r="H201" s="49"/>
      <c r="I201" s="49"/>
      <c r="J201" s="49"/>
      <c r="K201" s="49"/>
      <c r="L201" s="49"/>
      <c r="M201" s="49"/>
      <c r="N201" s="49"/>
      <c r="O201" s="50"/>
    </row>
    <row r="202" spans="1:15">
      <c r="A202" s="89"/>
      <c r="B202" s="41"/>
      <c r="C202" s="58"/>
      <c r="D202" s="43"/>
      <c r="E202" s="43"/>
      <c r="F202" s="43"/>
      <c r="G202" s="43"/>
      <c r="H202" s="43"/>
      <c r="I202" s="43"/>
      <c r="J202" s="43"/>
      <c r="K202" s="43"/>
      <c r="L202" s="43"/>
      <c r="M202" s="43"/>
      <c r="N202" s="43"/>
      <c r="O202" s="44"/>
    </row>
    <row r="203" spans="1:15">
      <c r="A203" s="91"/>
      <c r="B203" s="47"/>
      <c r="C203" s="60"/>
      <c r="D203" s="49"/>
      <c r="E203" s="49"/>
      <c r="F203" s="49"/>
      <c r="G203" s="49"/>
      <c r="H203" s="49"/>
      <c r="I203" s="49"/>
      <c r="J203" s="49"/>
      <c r="K203" s="49"/>
      <c r="L203" s="49"/>
      <c r="M203" s="49"/>
      <c r="N203" s="49"/>
      <c r="O203" s="50"/>
    </row>
    <row r="204" spans="1:15">
      <c r="A204" s="89"/>
      <c r="B204" s="57"/>
      <c r="C204" s="58"/>
      <c r="D204" s="43"/>
      <c r="E204" s="43"/>
      <c r="F204" s="43"/>
      <c r="G204" s="43"/>
      <c r="H204" s="43"/>
      <c r="I204" s="43"/>
      <c r="J204" s="43"/>
      <c r="K204" s="43"/>
      <c r="L204" s="43"/>
      <c r="M204" s="43"/>
      <c r="N204" s="43"/>
      <c r="O204" s="44"/>
    </row>
    <row r="205" spans="1:15">
      <c r="A205" s="91"/>
      <c r="B205" s="59"/>
      <c r="C205" s="60"/>
      <c r="D205" s="49"/>
      <c r="E205" s="49"/>
      <c r="F205" s="49"/>
      <c r="G205" s="49"/>
      <c r="H205" s="49"/>
      <c r="I205" s="49"/>
      <c r="J205" s="49"/>
      <c r="K205" s="49"/>
      <c r="L205" s="49"/>
      <c r="M205" s="49"/>
      <c r="N205" s="49"/>
      <c r="O205" s="50"/>
    </row>
    <row r="206" spans="1:15">
      <c r="A206" s="89"/>
      <c r="B206" s="57"/>
      <c r="C206" s="58"/>
      <c r="D206" s="43"/>
      <c r="E206" s="43"/>
      <c r="F206" s="43"/>
      <c r="G206" s="43"/>
      <c r="H206" s="43"/>
      <c r="I206" s="43"/>
      <c r="J206" s="43"/>
      <c r="K206" s="43"/>
      <c r="L206" s="43"/>
      <c r="M206" s="43"/>
      <c r="N206" s="43"/>
      <c r="O206" s="44"/>
    </row>
    <row r="207" spans="1:15">
      <c r="A207" s="91"/>
      <c r="B207" s="59"/>
      <c r="C207" s="60"/>
      <c r="D207" s="49"/>
      <c r="E207" s="49"/>
      <c r="F207" s="49"/>
      <c r="G207" s="49"/>
      <c r="H207" s="49"/>
      <c r="I207" s="49"/>
      <c r="J207" s="49"/>
      <c r="K207" s="49"/>
      <c r="L207" s="49"/>
      <c r="M207" s="49"/>
      <c r="N207" s="49"/>
      <c r="O207" s="50"/>
    </row>
    <row r="208" spans="1:15">
      <c r="A208" s="89"/>
      <c r="B208" s="57"/>
      <c r="C208" s="58"/>
      <c r="D208" s="43"/>
      <c r="E208" s="43"/>
      <c r="F208" s="43"/>
      <c r="G208" s="43"/>
      <c r="H208" s="43"/>
      <c r="I208" s="43"/>
      <c r="J208" s="43"/>
      <c r="K208" s="43"/>
      <c r="L208" s="43"/>
      <c r="M208" s="43"/>
      <c r="N208" s="43"/>
      <c r="O208" s="44"/>
    </row>
    <row r="209" spans="1:15">
      <c r="A209" s="91"/>
      <c r="B209" s="59"/>
      <c r="C209" s="60"/>
      <c r="D209" s="49"/>
      <c r="E209" s="49"/>
      <c r="F209" s="49"/>
      <c r="G209" s="49"/>
      <c r="H209" s="49"/>
      <c r="I209" s="49"/>
      <c r="J209" s="49"/>
      <c r="K209" s="49"/>
      <c r="L209" s="49"/>
      <c r="M209" s="49"/>
      <c r="N209" s="49"/>
      <c r="O209" s="50"/>
    </row>
    <row r="210" spans="1:15">
      <c r="A210" s="89"/>
      <c r="B210" s="57"/>
      <c r="C210" s="58"/>
      <c r="D210" s="43"/>
      <c r="E210" s="43"/>
      <c r="F210" s="43"/>
      <c r="G210" s="43"/>
      <c r="H210" s="43"/>
      <c r="I210" s="43"/>
      <c r="J210" s="43"/>
      <c r="K210" s="43"/>
      <c r="L210" s="43"/>
      <c r="M210" s="43"/>
      <c r="N210" s="43"/>
      <c r="O210" s="44"/>
    </row>
    <row r="211" spans="1:15" ht="13.9" customHeight="1">
      <c r="A211" s="93"/>
      <c r="B211" s="62"/>
      <c r="C211" s="63"/>
      <c r="D211" s="64"/>
      <c r="E211" s="64"/>
      <c r="F211" s="64"/>
      <c r="G211" s="64"/>
      <c r="H211" s="64"/>
      <c r="I211" s="64"/>
      <c r="J211" s="64"/>
      <c r="K211" s="64"/>
      <c r="L211" s="64"/>
      <c r="M211" s="64"/>
      <c r="N211" s="64"/>
      <c r="O211" s="65"/>
    </row>
    <row r="212" spans="1:15">
      <c r="A212" s="66"/>
      <c r="B212" s="67"/>
      <c r="C212" s="68"/>
      <c r="D212" s="94"/>
      <c r="E212" s="94"/>
      <c r="F212" s="45"/>
      <c r="G212" s="45"/>
      <c r="H212" s="45"/>
      <c r="I212" s="45"/>
      <c r="J212" s="69"/>
      <c r="K212" s="45"/>
      <c r="L212" s="45"/>
      <c r="M212" s="94"/>
      <c r="N212" s="45"/>
      <c r="O212" s="45"/>
    </row>
  </sheetData>
  <mergeCells count="1">
    <mergeCell ref="A1:M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theme="9"/>
  </sheetPr>
  <dimension ref="A1:Q89"/>
  <sheetViews>
    <sheetView rightToLeft="1" workbookViewId="0">
      <pane ySplit="2" topLeftCell="A3" activePane="bottomLeft" state="frozen"/>
      <selection pane="bottomLeft"/>
    </sheetView>
  </sheetViews>
  <sheetFormatPr defaultRowHeight="13.5"/>
  <cols>
    <col min="1" max="1" width="14.1875" customWidth="1"/>
    <col min="2" max="2" width="46.6875" customWidth="1"/>
    <col min="3" max="3" width="10.8125" customWidth="1"/>
    <col min="4" max="4" width="18.3125" customWidth="1"/>
    <col min="6" max="9" width="18.3125" customWidth="1"/>
    <col min="12" max="13" width="18.3125" customWidth="1"/>
  </cols>
  <sheetData>
    <row r="1" spans="1:17" ht="32" customHeight="1">
      <c r="A1" s="27"/>
      <c r="B1" s="28"/>
      <c r="C1" s="28"/>
      <c r="D1" s="296" t="s">
        <v>1213</v>
      </c>
      <c r="E1" s="297"/>
      <c r="F1" s="298"/>
      <c r="G1" s="28"/>
      <c r="H1" s="81" t="s">
        <v>1213</v>
      </c>
      <c r="I1" s="28"/>
      <c r="J1" s="28"/>
      <c r="K1" s="28"/>
      <c r="L1" s="81"/>
      <c r="M1" s="28"/>
      <c r="N1" s="28"/>
      <c r="O1" s="28"/>
      <c r="P1" s="28"/>
      <c r="Q1" s="72"/>
    </row>
    <row r="2" spans="1:17" ht="28.05" customHeight="1">
      <c r="A2" s="73" t="s">
        <v>868</v>
      </c>
      <c r="B2" s="31" t="s">
        <v>869</v>
      </c>
      <c r="C2" s="31" t="s">
        <v>1215</v>
      </c>
      <c r="D2" s="31" t="s">
        <v>871</v>
      </c>
      <c r="E2" s="31" t="s">
        <v>872</v>
      </c>
      <c r="F2" s="31" t="s">
        <v>873</v>
      </c>
      <c r="G2" s="31" t="s">
        <v>878</v>
      </c>
      <c r="H2" s="32" t="s">
        <v>1606</v>
      </c>
      <c r="I2" s="31" t="s">
        <v>875</v>
      </c>
      <c r="J2" s="31" t="s">
        <v>1318</v>
      </c>
      <c r="K2" s="31" t="s">
        <v>876</v>
      </c>
      <c r="L2" s="32" t="s">
        <v>877</v>
      </c>
      <c r="M2" s="31" t="s">
        <v>1318</v>
      </c>
      <c r="N2" s="31" t="s">
        <v>1607</v>
      </c>
      <c r="O2" s="31" t="s">
        <v>878</v>
      </c>
      <c r="P2" s="31"/>
      <c r="Q2" s="74"/>
    </row>
    <row r="3" spans="1:17" ht="38.25" customHeight="1">
      <c r="A3" s="34" t="s">
        <v>1608</v>
      </c>
      <c r="B3" s="95" t="s">
        <v>1609</v>
      </c>
      <c r="C3" s="36" t="s">
        <v>881</v>
      </c>
      <c r="D3" s="37">
        <v>844200000</v>
      </c>
      <c r="E3" s="37">
        <v>976000000</v>
      </c>
      <c r="F3" s="37">
        <v>1073600000</v>
      </c>
      <c r="G3" s="37">
        <f t="shared" ref="G3:G30" si="0">F3/D3</f>
        <v>1.2717365553186448</v>
      </c>
      <c r="H3" s="37">
        <v>508375000</v>
      </c>
      <c r="I3" s="37">
        <v>536000000</v>
      </c>
      <c r="J3" s="37">
        <f t="shared" ref="J3:J13" si="1">I3/H3-1</f>
        <v>5.4339808212441554E-2</v>
      </c>
      <c r="K3" s="37">
        <v>722635200</v>
      </c>
      <c r="L3" s="37">
        <v>844200000</v>
      </c>
      <c r="M3" s="37">
        <f t="shared" ref="M3:M13" si="2">L3/I3-1</f>
        <v>0.57499999999999996</v>
      </c>
      <c r="N3" s="37">
        <f t="shared" ref="N3:N13" si="3">H3*O3</f>
        <v>800690625</v>
      </c>
      <c r="O3" s="37">
        <f t="shared" ref="O3:O13" si="4">L3/I3</f>
        <v>1.575</v>
      </c>
      <c r="P3" s="37">
        <f t="shared" ref="P3:P34" si="5">E3/D3</f>
        <v>1.1561241411987682</v>
      </c>
      <c r="Q3" s="38">
        <f t="shared" ref="Q3:Q34" si="6">F3/D3</f>
        <v>1.2717365553186448</v>
      </c>
    </row>
    <row r="4" spans="1:17" ht="38.25" customHeight="1">
      <c r="A4" s="40" t="s">
        <v>1610</v>
      </c>
      <c r="B4" s="96" t="s">
        <v>1611</v>
      </c>
      <c r="C4" s="42" t="s">
        <v>881</v>
      </c>
      <c r="D4" s="43">
        <v>976500000</v>
      </c>
      <c r="E4" s="43">
        <v>1129000000</v>
      </c>
      <c r="F4" s="43">
        <v>1241900000</v>
      </c>
      <c r="G4" s="43">
        <f t="shared" si="0"/>
        <v>1.2717869943676394</v>
      </c>
      <c r="H4" s="43">
        <v>532875000</v>
      </c>
      <c r="I4" s="43">
        <v>620000000</v>
      </c>
      <c r="J4" s="43">
        <f t="shared" si="1"/>
        <v>0.16349988271170535</v>
      </c>
      <c r="K4" s="43">
        <v>835884000</v>
      </c>
      <c r="L4" s="43">
        <v>976500000</v>
      </c>
      <c r="M4" s="43">
        <f t="shared" si="2"/>
        <v>0.57499999999999996</v>
      </c>
      <c r="N4" s="43">
        <f t="shared" si="3"/>
        <v>839278125</v>
      </c>
      <c r="O4" s="43">
        <f t="shared" si="4"/>
        <v>1.575</v>
      </c>
      <c r="P4" s="43">
        <f t="shared" si="5"/>
        <v>1.1561699948796722</v>
      </c>
      <c r="Q4" s="44">
        <f t="shared" si="6"/>
        <v>1.2717869943676394</v>
      </c>
    </row>
    <row r="5" spans="1:17" ht="38.25" customHeight="1">
      <c r="A5" s="46" t="s">
        <v>1612</v>
      </c>
      <c r="B5" s="97" t="s">
        <v>1613</v>
      </c>
      <c r="C5" s="48" t="s">
        <v>881</v>
      </c>
      <c r="D5" s="49">
        <v>1008000000</v>
      </c>
      <c r="E5" s="49">
        <v>1166000000</v>
      </c>
      <c r="F5" s="49">
        <v>1282600000</v>
      </c>
      <c r="G5" s="49">
        <f t="shared" si="0"/>
        <v>1.2724206349206348</v>
      </c>
      <c r="H5" s="49">
        <v>581875000</v>
      </c>
      <c r="I5" s="49">
        <v>640000000</v>
      </c>
      <c r="J5" s="49">
        <f t="shared" si="1"/>
        <v>9.9892588614393096E-2</v>
      </c>
      <c r="K5" s="49">
        <v>862848000</v>
      </c>
      <c r="L5" s="49">
        <v>1008000000</v>
      </c>
      <c r="M5" s="49">
        <f t="shared" si="2"/>
        <v>0.57499999999999996</v>
      </c>
      <c r="N5" s="49">
        <f t="shared" si="3"/>
        <v>916453125</v>
      </c>
      <c r="O5" s="49">
        <f t="shared" si="4"/>
        <v>1.575</v>
      </c>
      <c r="P5" s="49">
        <f t="shared" si="5"/>
        <v>1.1567460317460319</v>
      </c>
      <c r="Q5" s="50">
        <f t="shared" si="6"/>
        <v>1.2724206349206348</v>
      </c>
    </row>
    <row r="6" spans="1:17" ht="38.25" customHeight="1">
      <c r="A6" s="40" t="s">
        <v>1614</v>
      </c>
      <c r="B6" s="96" t="s">
        <v>1615</v>
      </c>
      <c r="C6" s="42" t="s">
        <v>881</v>
      </c>
      <c r="D6" s="43">
        <v>1134000000</v>
      </c>
      <c r="E6" s="43">
        <v>1313000000</v>
      </c>
      <c r="F6" s="43">
        <v>1444300000</v>
      </c>
      <c r="G6" s="43">
        <f t="shared" si="0"/>
        <v>1.2736331569664903</v>
      </c>
      <c r="H6" s="43">
        <v>643125000</v>
      </c>
      <c r="I6" s="43">
        <v>720000000</v>
      </c>
      <c r="J6" s="43">
        <f t="shared" si="1"/>
        <v>0.11953352769679304</v>
      </c>
      <c r="K6" s="43">
        <v>970704000</v>
      </c>
      <c r="L6" s="43">
        <v>1134000000</v>
      </c>
      <c r="M6" s="43">
        <f t="shared" si="2"/>
        <v>0.57499999999999996</v>
      </c>
      <c r="N6" s="43">
        <f t="shared" si="3"/>
        <v>1012921875</v>
      </c>
      <c r="O6" s="43">
        <f t="shared" si="4"/>
        <v>1.575</v>
      </c>
      <c r="P6" s="43">
        <f t="shared" si="5"/>
        <v>1.1578483245149911</v>
      </c>
      <c r="Q6" s="44">
        <f t="shared" si="6"/>
        <v>1.2736331569664903</v>
      </c>
    </row>
    <row r="7" spans="1:17" ht="38.25" customHeight="1">
      <c r="A7" s="46" t="s">
        <v>1616</v>
      </c>
      <c r="B7" s="97" t="s">
        <v>1617</v>
      </c>
      <c r="C7" s="48" t="s">
        <v>881</v>
      </c>
      <c r="D7" s="49">
        <v>1598625000</v>
      </c>
      <c r="E7" s="49">
        <v>1848000000</v>
      </c>
      <c r="F7" s="49">
        <v>2032800000</v>
      </c>
      <c r="G7" s="49">
        <f t="shared" si="0"/>
        <v>1.2715927750410509</v>
      </c>
      <c r="H7" s="49">
        <v>722750000</v>
      </c>
      <c r="I7" s="49">
        <v>1015000000</v>
      </c>
      <c r="J7" s="49">
        <f t="shared" si="1"/>
        <v>0.40435835351089588</v>
      </c>
      <c r="K7" s="49">
        <v>1368423000</v>
      </c>
      <c r="L7" s="49">
        <v>1598625000</v>
      </c>
      <c r="M7" s="49">
        <f t="shared" si="2"/>
        <v>0.57499999999999996</v>
      </c>
      <c r="N7" s="49">
        <f t="shared" si="3"/>
        <v>1138331250</v>
      </c>
      <c r="O7" s="49">
        <f t="shared" si="4"/>
        <v>1.575</v>
      </c>
      <c r="P7" s="49">
        <f t="shared" si="5"/>
        <v>1.1559934318555007</v>
      </c>
      <c r="Q7" s="50">
        <f t="shared" si="6"/>
        <v>1.2715927750410509</v>
      </c>
    </row>
    <row r="8" spans="1:17" ht="38.25" customHeight="1">
      <c r="A8" s="40" t="s">
        <v>1618</v>
      </c>
      <c r="B8" s="96" t="s">
        <v>1619</v>
      </c>
      <c r="C8" s="42" t="s">
        <v>881</v>
      </c>
      <c r="D8" s="43">
        <v>1811250000</v>
      </c>
      <c r="E8" s="43">
        <v>2089500000</v>
      </c>
      <c r="F8" s="43">
        <v>2298450000</v>
      </c>
      <c r="G8" s="43">
        <f t="shared" si="0"/>
        <v>1.2689855072463767</v>
      </c>
      <c r="H8" s="43">
        <v>796250000</v>
      </c>
      <c r="I8" s="43">
        <v>1150000000</v>
      </c>
      <c r="J8" s="43">
        <f t="shared" si="1"/>
        <v>0.44427001569858704</v>
      </c>
      <c r="K8" s="43">
        <v>1550430000</v>
      </c>
      <c r="L8" s="43">
        <v>1811250000</v>
      </c>
      <c r="M8" s="43">
        <f t="shared" si="2"/>
        <v>0.57499999999999996</v>
      </c>
      <c r="N8" s="43">
        <f t="shared" si="3"/>
        <v>1254093750</v>
      </c>
      <c r="O8" s="43">
        <f t="shared" si="4"/>
        <v>1.575</v>
      </c>
      <c r="P8" s="43">
        <f t="shared" si="5"/>
        <v>1.153623188405797</v>
      </c>
      <c r="Q8" s="44">
        <f t="shared" si="6"/>
        <v>1.2689855072463767</v>
      </c>
    </row>
    <row r="9" spans="1:17" ht="38.25" customHeight="1">
      <c r="A9" s="46" t="s">
        <v>1620</v>
      </c>
      <c r="B9" s="97" t="s">
        <v>1621</v>
      </c>
      <c r="C9" s="48" t="s">
        <v>881</v>
      </c>
      <c r="D9" s="49">
        <v>2362500000</v>
      </c>
      <c r="E9" s="49">
        <v>2730000000</v>
      </c>
      <c r="F9" s="49">
        <v>3003000000</v>
      </c>
      <c r="G9" s="49">
        <f t="shared" si="0"/>
        <v>1.2711111111111111</v>
      </c>
      <c r="H9" s="49">
        <v>857500000</v>
      </c>
      <c r="I9" s="49">
        <v>1500000000</v>
      </c>
      <c r="J9" s="49">
        <f t="shared" si="1"/>
        <v>0.74927113702623904</v>
      </c>
      <c r="K9" s="49">
        <v>2022300000</v>
      </c>
      <c r="L9" s="49">
        <v>2362500000</v>
      </c>
      <c r="M9" s="49">
        <f t="shared" si="2"/>
        <v>0.57499999999999996</v>
      </c>
      <c r="N9" s="49">
        <f t="shared" si="3"/>
        <v>1350562500</v>
      </c>
      <c r="O9" s="49">
        <f t="shared" si="4"/>
        <v>1.575</v>
      </c>
      <c r="P9" s="49">
        <f t="shared" si="5"/>
        <v>1.1555555555555554</v>
      </c>
      <c r="Q9" s="50">
        <f t="shared" si="6"/>
        <v>1.2711111111111111</v>
      </c>
    </row>
    <row r="10" spans="1:17" ht="38.25" customHeight="1">
      <c r="A10" s="40" t="s">
        <v>1622</v>
      </c>
      <c r="B10" s="96" t="s">
        <v>1623</v>
      </c>
      <c r="C10" s="42" t="s">
        <v>881</v>
      </c>
      <c r="D10" s="43">
        <v>2520000000</v>
      </c>
      <c r="E10" s="43">
        <v>2911000000</v>
      </c>
      <c r="F10" s="43">
        <v>3202100000</v>
      </c>
      <c r="G10" s="43">
        <f t="shared" si="0"/>
        <v>1.2706746031746032</v>
      </c>
      <c r="H10" s="43">
        <v>918750000</v>
      </c>
      <c r="I10" s="43">
        <v>1600000000</v>
      </c>
      <c r="J10" s="43">
        <f t="shared" si="1"/>
        <v>0.74149659863945572</v>
      </c>
      <c r="K10" s="43">
        <v>2157120000</v>
      </c>
      <c r="L10" s="43">
        <v>2520000000</v>
      </c>
      <c r="M10" s="43">
        <f t="shared" si="2"/>
        <v>0.57499999999999996</v>
      </c>
      <c r="N10" s="43">
        <f t="shared" si="3"/>
        <v>1447031250</v>
      </c>
      <c r="O10" s="43">
        <f t="shared" si="4"/>
        <v>1.575</v>
      </c>
      <c r="P10" s="43">
        <f t="shared" si="5"/>
        <v>1.1551587301587301</v>
      </c>
      <c r="Q10" s="44">
        <f t="shared" si="6"/>
        <v>1.2706746031746032</v>
      </c>
    </row>
    <row r="11" spans="1:17" ht="38.25" customHeight="1">
      <c r="A11" s="46" t="s">
        <v>1624</v>
      </c>
      <c r="B11" s="97" t="s">
        <v>1625</v>
      </c>
      <c r="C11" s="48" t="s">
        <v>881</v>
      </c>
      <c r="D11" s="49">
        <v>3228750000</v>
      </c>
      <c r="E11" s="49">
        <v>3730000000</v>
      </c>
      <c r="F11" s="49">
        <v>4103000000</v>
      </c>
      <c r="G11" s="49">
        <f t="shared" si="0"/>
        <v>1.2707704219899343</v>
      </c>
      <c r="H11" s="49">
        <v>1041250000</v>
      </c>
      <c r="I11" s="49">
        <v>2050000000</v>
      </c>
      <c r="J11" s="49">
        <f t="shared" si="1"/>
        <v>0.96878751500600235</v>
      </c>
      <c r="K11" s="49">
        <v>2763810000</v>
      </c>
      <c r="L11" s="49">
        <v>3228750000</v>
      </c>
      <c r="M11" s="49">
        <f t="shared" si="2"/>
        <v>0.57499999999999996</v>
      </c>
      <c r="N11" s="49">
        <f t="shared" si="3"/>
        <v>1639968750</v>
      </c>
      <c r="O11" s="49">
        <f t="shared" si="4"/>
        <v>1.575</v>
      </c>
      <c r="P11" s="49">
        <f t="shared" si="5"/>
        <v>1.1552458381726673</v>
      </c>
      <c r="Q11" s="50">
        <f t="shared" si="6"/>
        <v>1.2707704219899343</v>
      </c>
    </row>
    <row r="12" spans="1:17" ht="38.25" customHeight="1">
      <c r="A12" s="40" t="s">
        <v>1626</v>
      </c>
      <c r="B12" s="96" t="s">
        <v>1627</v>
      </c>
      <c r="C12" s="42" t="s">
        <v>881</v>
      </c>
      <c r="D12" s="43">
        <v>3701250000</v>
      </c>
      <c r="E12" s="43">
        <v>4280000000</v>
      </c>
      <c r="F12" s="43">
        <v>4708000000</v>
      </c>
      <c r="G12" s="43">
        <f t="shared" si="0"/>
        <v>1.2720027017899358</v>
      </c>
      <c r="H12" s="43">
        <v>1194375000</v>
      </c>
      <c r="I12" s="43">
        <v>2350000000</v>
      </c>
      <c r="J12" s="43">
        <f t="shared" si="1"/>
        <v>0.96755625327053907</v>
      </c>
      <c r="K12" s="43">
        <v>3168270000</v>
      </c>
      <c r="L12" s="43">
        <v>3701250000</v>
      </c>
      <c r="M12" s="43">
        <f t="shared" si="2"/>
        <v>0.57499999999999996</v>
      </c>
      <c r="N12" s="43">
        <f t="shared" si="3"/>
        <v>1881140625</v>
      </c>
      <c r="O12" s="43">
        <f t="shared" si="4"/>
        <v>1.575</v>
      </c>
      <c r="P12" s="43">
        <f t="shared" si="5"/>
        <v>1.1563660925363053</v>
      </c>
      <c r="Q12" s="44">
        <f t="shared" si="6"/>
        <v>1.2720027017899358</v>
      </c>
    </row>
    <row r="13" spans="1:17" ht="38.25" customHeight="1">
      <c r="A13" s="46" t="s">
        <v>1628</v>
      </c>
      <c r="B13" s="97" t="s">
        <v>1629</v>
      </c>
      <c r="C13" s="48" t="s">
        <v>881</v>
      </c>
      <c r="D13" s="49">
        <v>3937500000</v>
      </c>
      <c r="E13" s="49">
        <v>4500000000</v>
      </c>
      <c r="F13" s="49">
        <v>4950000000</v>
      </c>
      <c r="G13" s="49">
        <f t="shared" si="0"/>
        <v>1.2571428571428571</v>
      </c>
      <c r="H13" s="49">
        <v>1470000000</v>
      </c>
      <c r="I13" s="49">
        <v>2500000000</v>
      </c>
      <c r="J13" s="49">
        <f t="shared" si="1"/>
        <v>0.70068027210884343</v>
      </c>
      <c r="K13" s="49">
        <v>3370500000</v>
      </c>
      <c r="L13" s="49">
        <v>3937500000</v>
      </c>
      <c r="M13" s="49">
        <f t="shared" si="2"/>
        <v>0.57499999999999996</v>
      </c>
      <c r="N13" s="49">
        <f t="shared" si="3"/>
        <v>2315250000</v>
      </c>
      <c r="O13" s="49">
        <f t="shared" si="4"/>
        <v>1.575</v>
      </c>
      <c r="P13" s="49">
        <f t="shared" si="5"/>
        <v>1.1428571428571428</v>
      </c>
      <c r="Q13" s="50">
        <f t="shared" si="6"/>
        <v>1.2571428571428571</v>
      </c>
    </row>
    <row r="14" spans="1:17" ht="38.25" customHeight="1">
      <c r="A14" s="40" t="s">
        <v>1630</v>
      </c>
      <c r="B14" s="96" t="s">
        <v>1631</v>
      </c>
      <c r="C14" s="42" t="s">
        <v>881</v>
      </c>
      <c r="D14" s="43" t="s">
        <v>1239</v>
      </c>
      <c r="E14" s="43" t="s">
        <v>1239</v>
      </c>
      <c r="F14" s="43">
        <f>N14*1.25</f>
        <v>3496992187.5</v>
      </c>
      <c r="G14" s="43" t="e">
        <f t="shared" si="0"/>
        <v>#VALUE!</v>
      </c>
      <c r="H14" s="43">
        <v>1776250000</v>
      </c>
      <c r="I14" s="43">
        <v>0</v>
      </c>
      <c r="J14" s="43"/>
      <c r="K14" s="43"/>
      <c r="L14" s="43">
        <f>H14*1.45</f>
        <v>2575562500</v>
      </c>
      <c r="M14" s="43">
        <f>L14/H14-1</f>
        <v>0.44999999999999996</v>
      </c>
      <c r="N14" s="43">
        <f>H14*1.575</f>
        <v>2797593750</v>
      </c>
      <c r="O14" s="43"/>
      <c r="P14" s="43" t="e">
        <f t="shared" si="5"/>
        <v>#VALUE!</v>
      </c>
      <c r="Q14" s="44" t="e">
        <f t="shared" si="6"/>
        <v>#VALUE!</v>
      </c>
    </row>
    <row r="15" spans="1:17" ht="38.25" customHeight="1">
      <c r="A15" s="46" t="s">
        <v>1632</v>
      </c>
      <c r="B15" s="97" t="s">
        <v>1633</v>
      </c>
      <c r="C15" s="48" t="s">
        <v>881</v>
      </c>
      <c r="D15" s="49" t="s">
        <v>1239</v>
      </c>
      <c r="E15" s="49" t="s">
        <v>1239</v>
      </c>
      <c r="F15" s="49">
        <f>N15*1.25</f>
        <v>4220507812.5</v>
      </c>
      <c r="G15" s="49" t="e">
        <f t="shared" si="0"/>
        <v>#VALUE!</v>
      </c>
      <c r="H15" s="49">
        <v>2143750000</v>
      </c>
      <c r="I15" s="49">
        <v>0</v>
      </c>
      <c r="J15" s="49"/>
      <c r="K15" s="49"/>
      <c r="L15" s="49">
        <f>H15*1.45</f>
        <v>3108437500</v>
      </c>
      <c r="M15" s="49">
        <f>L15/H15-1</f>
        <v>0.44999999999999996</v>
      </c>
      <c r="N15" s="49">
        <f>H15*1.575</f>
        <v>3376406250</v>
      </c>
      <c r="O15" s="49"/>
      <c r="P15" s="49" t="e">
        <f t="shared" si="5"/>
        <v>#VALUE!</v>
      </c>
      <c r="Q15" s="50" t="e">
        <f t="shared" si="6"/>
        <v>#VALUE!</v>
      </c>
    </row>
    <row r="16" spans="1:17" ht="38.25" customHeight="1">
      <c r="A16" s="40" t="s">
        <v>1634</v>
      </c>
      <c r="B16" s="96" t="s">
        <v>1635</v>
      </c>
      <c r="C16" s="42" t="s">
        <v>881</v>
      </c>
      <c r="D16" s="43" t="s">
        <v>1239</v>
      </c>
      <c r="E16" s="43" t="s">
        <v>1239</v>
      </c>
      <c r="F16" s="43">
        <f>N16*1.25</f>
        <v>5426367187.5</v>
      </c>
      <c r="G16" s="43" t="e">
        <f t="shared" si="0"/>
        <v>#VALUE!</v>
      </c>
      <c r="H16" s="43">
        <v>2756250000</v>
      </c>
      <c r="I16" s="43">
        <v>0</v>
      </c>
      <c r="J16" s="43"/>
      <c r="K16" s="43"/>
      <c r="L16" s="43">
        <f>H16*1.45</f>
        <v>3996562500</v>
      </c>
      <c r="M16" s="43">
        <f>L16/H16-1</f>
        <v>0.44999999999999996</v>
      </c>
      <c r="N16" s="43">
        <f>H16*1.575</f>
        <v>4341093750</v>
      </c>
      <c r="O16" s="43"/>
      <c r="P16" s="43" t="e">
        <f t="shared" si="5"/>
        <v>#VALUE!</v>
      </c>
      <c r="Q16" s="44" t="e">
        <f t="shared" si="6"/>
        <v>#VALUE!</v>
      </c>
    </row>
    <row r="17" spans="1:17" ht="38.25" customHeight="1">
      <c r="A17" s="46" t="s">
        <v>1636</v>
      </c>
      <c r="B17" s="97" t="s">
        <v>1637</v>
      </c>
      <c r="C17" s="48" t="s">
        <v>881</v>
      </c>
      <c r="D17" s="49">
        <v>2268000000</v>
      </c>
      <c r="E17" s="49">
        <v>1312000000</v>
      </c>
      <c r="F17" s="49">
        <v>1443200000</v>
      </c>
      <c r="G17" s="49">
        <f t="shared" si="0"/>
        <v>0.63633156966490301</v>
      </c>
      <c r="H17" s="49">
        <v>726250000</v>
      </c>
      <c r="I17" s="49">
        <v>1500000000</v>
      </c>
      <c r="J17" s="49">
        <f t="shared" ref="J17:J27" si="7">I17/H17-1</f>
        <v>1.0654044750430294</v>
      </c>
      <c r="K17" s="49">
        <v>1984500000</v>
      </c>
      <c r="L17" s="49">
        <v>2268000000</v>
      </c>
      <c r="M17" s="49">
        <f t="shared" ref="M17:M27" si="8">L17/I17-1</f>
        <v>0.51200000000000001</v>
      </c>
      <c r="N17" s="49">
        <f t="shared" ref="N17:N27" si="9">H17*O17</f>
        <v>1098090000</v>
      </c>
      <c r="O17" s="49">
        <f t="shared" ref="O17:O27" si="10">L17/I17</f>
        <v>1.512</v>
      </c>
      <c r="P17" s="49">
        <f t="shared" si="5"/>
        <v>0.57848324514991178</v>
      </c>
      <c r="Q17" s="50">
        <f t="shared" si="6"/>
        <v>0.63633156966490301</v>
      </c>
    </row>
    <row r="18" spans="1:17" ht="38.25" customHeight="1">
      <c r="A18" s="40" t="s">
        <v>1638</v>
      </c>
      <c r="B18" s="96" t="s">
        <v>1639</v>
      </c>
      <c r="C18" s="42" t="s">
        <v>881</v>
      </c>
      <c r="D18" s="43">
        <v>3024000000</v>
      </c>
      <c r="E18" s="43">
        <v>1743000000</v>
      </c>
      <c r="F18" s="43">
        <v>1917300000</v>
      </c>
      <c r="G18" s="43">
        <f t="shared" si="0"/>
        <v>0.63402777777777775</v>
      </c>
      <c r="H18" s="43">
        <v>761250000</v>
      </c>
      <c r="I18" s="43">
        <v>2000000000</v>
      </c>
      <c r="J18" s="43">
        <f t="shared" si="7"/>
        <v>1.6272577996715927</v>
      </c>
      <c r="K18" s="43">
        <v>2646000000</v>
      </c>
      <c r="L18" s="43">
        <v>3024000000</v>
      </c>
      <c r="M18" s="43">
        <f t="shared" si="8"/>
        <v>0.51200000000000001</v>
      </c>
      <c r="N18" s="43">
        <f t="shared" si="9"/>
        <v>1151010000</v>
      </c>
      <c r="O18" s="43">
        <f t="shared" si="10"/>
        <v>1.512</v>
      </c>
      <c r="P18" s="43">
        <f t="shared" si="5"/>
        <v>0.57638888888888884</v>
      </c>
      <c r="Q18" s="44">
        <f t="shared" si="6"/>
        <v>0.63402777777777775</v>
      </c>
    </row>
    <row r="19" spans="1:17" ht="38.25" customHeight="1">
      <c r="A19" s="46" t="s">
        <v>1640</v>
      </c>
      <c r="B19" s="97" t="s">
        <v>1641</v>
      </c>
      <c r="C19" s="48" t="s">
        <v>881</v>
      </c>
      <c r="D19" s="49">
        <v>3175200000</v>
      </c>
      <c r="E19" s="49">
        <v>1890000000</v>
      </c>
      <c r="F19" s="49">
        <v>2079000000</v>
      </c>
      <c r="G19" s="49">
        <f t="shared" si="0"/>
        <v>0.65476190476190477</v>
      </c>
      <c r="H19" s="49">
        <v>831250000</v>
      </c>
      <c r="I19" s="49">
        <v>2100000000</v>
      </c>
      <c r="J19" s="49">
        <f t="shared" si="7"/>
        <v>1.5263157894736841</v>
      </c>
      <c r="K19" s="49">
        <v>2778300000</v>
      </c>
      <c r="L19" s="49">
        <v>3175200000</v>
      </c>
      <c r="M19" s="49">
        <f t="shared" si="8"/>
        <v>0.51200000000000001</v>
      </c>
      <c r="N19" s="49">
        <f t="shared" si="9"/>
        <v>1256850000</v>
      </c>
      <c r="O19" s="49">
        <f t="shared" si="10"/>
        <v>1.512</v>
      </c>
      <c r="P19" s="49">
        <f t="shared" si="5"/>
        <v>0.59523809523809523</v>
      </c>
      <c r="Q19" s="50">
        <f t="shared" si="6"/>
        <v>0.65476190476190477</v>
      </c>
    </row>
    <row r="20" spans="1:17" ht="38.25" customHeight="1">
      <c r="A20" s="40" t="s">
        <v>1642</v>
      </c>
      <c r="B20" s="96" t="s">
        <v>1643</v>
      </c>
      <c r="C20" s="42" t="s">
        <v>881</v>
      </c>
      <c r="D20" s="43">
        <v>3477600000</v>
      </c>
      <c r="E20" s="43">
        <v>2016000000</v>
      </c>
      <c r="F20" s="43">
        <v>2217600000</v>
      </c>
      <c r="G20" s="43">
        <f t="shared" si="0"/>
        <v>0.6376811594202898</v>
      </c>
      <c r="H20" s="43">
        <v>918750000</v>
      </c>
      <c r="I20" s="43">
        <v>2300000000</v>
      </c>
      <c r="J20" s="43">
        <f t="shared" si="7"/>
        <v>1.5034013605442178</v>
      </c>
      <c r="K20" s="43">
        <v>3042900000</v>
      </c>
      <c r="L20" s="43">
        <v>3477600000</v>
      </c>
      <c r="M20" s="43">
        <f t="shared" si="8"/>
        <v>0.51200000000000001</v>
      </c>
      <c r="N20" s="43">
        <f t="shared" si="9"/>
        <v>1389150000</v>
      </c>
      <c r="O20" s="43">
        <f t="shared" si="10"/>
        <v>1.512</v>
      </c>
      <c r="P20" s="43">
        <f t="shared" si="5"/>
        <v>0.57971014492753625</v>
      </c>
      <c r="Q20" s="44">
        <f t="shared" si="6"/>
        <v>0.6376811594202898</v>
      </c>
    </row>
    <row r="21" spans="1:17" ht="38.25" customHeight="1">
      <c r="A21" s="46" t="s">
        <v>1644</v>
      </c>
      <c r="B21" s="97" t="s">
        <v>1645</v>
      </c>
      <c r="C21" s="48" t="s">
        <v>881</v>
      </c>
      <c r="D21" s="49">
        <v>5518800000</v>
      </c>
      <c r="E21" s="49">
        <v>3200000000</v>
      </c>
      <c r="F21" s="49">
        <v>3520000000</v>
      </c>
      <c r="G21" s="49">
        <f t="shared" si="0"/>
        <v>0.63781981590200765</v>
      </c>
      <c r="H21" s="49">
        <v>1032500000</v>
      </c>
      <c r="I21" s="49">
        <v>3650000000</v>
      </c>
      <c r="J21" s="49">
        <f t="shared" si="7"/>
        <v>2.5351089588377724</v>
      </c>
      <c r="K21" s="49">
        <v>4828950000</v>
      </c>
      <c r="L21" s="49">
        <v>5518800000</v>
      </c>
      <c r="M21" s="49">
        <f t="shared" si="8"/>
        <v>0.51200000000000001</v>
      </c>
      <c r="N21" s="49">
        <f t="shared" si="9"/>
        <v>1561140000</v>
      </c>
      <c r="O21" s="49">
        <f t="shared" si="10"/>
        <v>1.512</v>
      </c>
      <c r="P21" s="49">
        <f t="shared" si="5"/>
        <v>0.57983619627455241</v>
      </c>
      <c r="Q21" s="50">
        <f t="shared" si="6"/>
        <v>0.63781981590200765</v>
      </c>
    </row>
    <row r="22" spans="1:17" ht="38.25" customHeight="1">
      <c r="A22" s="40" t="s">
        <v>1646</v>
      </c>
      <c r="B22" s="96" t="s">
        <v>1647</v>
      </c>
      <c r="C22" s="42" t="s">
        <v>881</v>
      </c>
      <c r="D22" s="43">
        <v>5745600000</v>
      </c>
      <c r="E22" s="43">
        <v>3318000000</v>
      </c>
      <c r="F22" s="43">
        <v>3649800000</v>
      </c>
      <c r="G22" s="43">
        <f t="shared" si="0"/>
        <v>0.63523391812865493</v>
      </c>
      <c r="H22" s="43">
        <v>1137500000</v>
      </c>
      <c r="I22" s="43">
        <v>3800000000</v>
      </c>
      <c r="J22" s="43">
        <f t="shared" si="7"/>
        <v>2.3406593406593408</v>
      </c>
      <c r="K22" s="43">
        <v>5027400000</v>
      </c>
      <c r="L22" s="43">
        <v>5745600000</v>
      </c>
      <c r="M22" s="43">
        <f t="shared" si="8"/>
        <v>0.51200000000000001</v>
      </c>
      <c r="N22" s="43">
        <f t="shared" si="9"/>
        <v>1719900000</v>
      </c>
      <c r="O22" s="43">
        <f t="shared" si="10"/>
        <v>1.512</v>
      </c>
      <c r="P22" s="43">
        <f t="shared" si="5"/>
        <v>0.57748538011695905</v>
      </c>
      <c r="Q22" s="44">
        <f t="shared" si="6"/>
        <v>0.63523391812865493</v>
      </c>
    </row>
    <row r="23" spans="1:17" ht="38.25" customHeight="1">
      <c r="A23" s="46" t="s">
        <v>1648</v>
      </c>
      <c r="B23" s="97" t="s">
        <v>1649</v>
      </c>
      <c r="C23" s="48" t="s">
        <v>881</v>
      </c>
      <c r="D23" s="49">
        <v>5972400000</v>
      </c>
      <c r="E23" s="49">
        <v>3465000000</v>
      </c>
      <c r="F23" s="49">
        <v>3811500000</v>
      </c>
      <c r="G23" s="49">
        <f t="shared" si="0"/>
        <v>0.63818565400843885</v>
      </c>
      <c r="H23" s="49">
        <v>1225000000</v>
      </c>
      <c r="I23" s="49">
        <v>3950000000</v>
      </c>
      <c r="J23" s="49">
        <f t="shared" si="7"/>
        <v>2.2244897959183674</v>
      </c>
      <c r="K23" s="49">
        <v>5225850000</v>
      </c>
      <c r="L23" s="49">
        <v>5972400000</v>
      </c>
      <c r="M23" s="49">
        <f t="shared" si="8"/>
        <v>0.51200000000000001</v>
      </c>
      <c r="N23" s="49">
        <f t="shared" si="9"/>
        <v>1852200000</v>
      </c>
      <c r="O23" s="49">
        <f t="shared" si="10"/>
        <v>1.512</v>
      </c>
      <c r="P23" s="49">
        <f t="shared" si="5"/>
        <v>0.58016877637130804</v>
      </c>
      <c r="Q23" s="50">
        <f t="shared" si="6"/>
        <v>0.63818565400843885</v>
      </c>
    </row>
    <row r="24" spans="1:17" ht="38.25" customHeight="1">
      <c r="A24" s="40" t="s">
        <v>1650</v>
      </c>
      <c r="B24" s="96" t="s">
        <v>1651</v>
      </c>
      <c r="C24" s="42" t="s">
        <v>881</v>
      </c>
      <c r="D24" s="43">
        <v>6048000000</v>
      </c>
      <c r="E24" s="43">
        <v>3520000000</v>
      </c>
      <c r="F24" s="43">
        <v>3872000000</v>
      </c>
      <c r="G24" s="43">
        <f t="shared" si="0"/>
        <v>0.64021164021164023</v>
      </c>
      <c r="H24" s="43">
        <v>1312500000</v>
      </c>
      <c r="I24" s="43">
        <v>4000000000</v>
      </c>
      <c r="J24" s="43">
        <f t="shared" si="7"/>
        <v>2.0476190476190474</v>
      </c>
      <c r="K24" s="43">
        <v>5292000000</v>
      </c>
      <c r="L24" s="43">
        <v>6048000000</v>
      </c>
      <c r="M24" s="43">
        <f t="shared" si="8"/>
        <v>0.51200000000000001</v>
      </c>
      <c r="N24" s="43">
        <f t="shared" si="9"/>
        <v>1984500000</v>
      </c>
      <c r="O24" s="43">
        <f t="shared" si="10"/>
        <v>1.512</v>
      </c>
      <c r="P24" s="43">
        <f t="shared" si="5"/>
        <v>0.58201058201058198</v>
      </c>
      <c r="Q24" s="44">
        <f t="shared" si="6"/>
        <v>0.64021164021164023</v>
      </c>
    </row>
    <row r="25" spans="1:17" ht="38.25" customHeight="1">
      <c r="A25" s="46" t="s">
        <v>1652</v>
      </c>
      <c r="B25" s="97" t="s">
        <v>1653</v>
      </c>
      <c r="C25" s="48" t="s">
        <v>881</v>
      </c>
      <c r="D25" s="49">
        <v>6199200000</v>
      </c>
      <c r="E25" s="49">
        <v>3675000000</v>
      </c>
      <c r="F25" s="49">
        <v>4042500000</v>
      </c>
      <c r="G25" s="49">
        <f t="shared" si="0"/>
        <v>0.65210027100271006</v>
      </c>
      <c r="H25" s="49">
        <v>1487500000</v>
      </c>
      <c r="I25" s="49">
        <v>4100000000</v>
      </c>
      <c r="J25" s="49">
        <f t="shared" si="7"/>
        <v>1.7563025210084033</v>
      </c>
      <c r="K25" s="49">
        <v>5424300000</v>
      </c>
      <c r="L25" s="49">
        <v>6199200000</v>
      </c>
      <c r="M25" s="49">
        <f t="shared" si="8"/>
        <v>0.51200000000000001</v>
      </c>
      <c r="N25" s="49">
        <f t="shared" si="9"/>
        <v>2249100000</v>
      </c>
      <c r="O25" s="49">
        <f t="shared" si="10"/>
        <v>1.512</v>
      </c>
      <c r="P25" s="49">
        <f t="shared" si="5"/>
        <v>0.59281842818428188</v>
      </c>
      <c r="Q25" s="50">
        <f t="shared" si="6"/>
        <v>0.65210027100271006</v>
      </c>
    </row>
    <row r="26" spans="1:17" ht="76.5" customHeight="1">
      <c r="A26" s="40" t="s">
        <v>1654</v>
      </c>
      <c r="B26" s="96" t="s">
        <v>1655</v>
      </c>
      <c r="C26" s="42" t="s">
        <v>881</v>
      </c>
      <c r="D26" s="43">
        <v>6350400000</v>
      </c>
      <c r="E26" s="43">
        <v>3780000000</v>
      </c>
      <c r="F26" s="43">
        <v>4158000000</v>
      </c>
      <c r="G26" s="43">
        <f t="shared" si="0"/>
        <v>0.65476190476190477</v>
      </c>
      <c r="H26" s="43">
        <v>1706250000</v>
      </c>
      <c r="I26" s="43">
        <v>4200000000</v>
      </c>
      <c r="J26" s="43">
        <f t="shared" si="7"/>
        <v>1.4615384615384617</v>
      </c>
      <c r="K26" s="43">
        <v>5556600000</v>
      </c>
      <c r="L26" s="43">
        <v>6350400000</v>
      </c>
      <c r="M26" s="43">
        <f t="shared" si="8"/>
        <v>0.51200000000000001</v>
      </c>
      <c r="N26" s="43">
        <f t="shared" si="9"/>
        <v>2579850000</v>
      </c>
      <c r="O26" s="43">
        <f t="shared" si="10"/>
        <v>1.512</v>
      </c>
      <c r="P26" s="43">
        <f t="shared" si="5"/>
        <v>0.59523809523809523</v>
      </c>
      <c r="Q26" s="44">
        <f t="shared" si="6"/>
        <v>0.65476190476190477</v>
      </c>
    </row>
    <row r="27" spans="1:17" ht="38.25" customHeight="1">
      <c r="A27" s="46" t="s">
        <v>1656</v>
      </c>
      <c r="B27" s="97" t="s">
        <v>1657</v>
      </c>
      <c r="C27" s="48" t="s">
        <v>881</v>
      </c>
      <c r="D27" s="49">
        <v>6652800000</v>
      </c>
      <c r="E27" s="49">
        <v>3990000000</v>
      </c>
      <c r="F27" s="49">
        <v>4389000000</v>
      </c>
      <c r="G27" s="49">
        <f t="shared" si="0"/>
        <v>0.65972222222222221</v>
      </c>
      <c r="H27" s="49">
        <v>2100000000</v>
      </c>
      <c r="I27" s="49">
        <v>4400000000</v>
      </c>
      <c r="J27" s="49">
        <f t="shared" si="7"/>
        <v>1.0952380952380953</v>
      </c>
      <c r="K27" s="49">
        <v>5821200000</v>
      </c>
      <c r="L27" s="49">
        <v>6652800000</v>
      </c>
      <c r="M27" s="49">
        <f t="shared" si="8"/>
        <v>0.51200000000000001</v>
      </c>
      <c r="N27" s="49">
        <f t="shared" si="9"/>
        <v>3175200000</v>
      </c>
      <c r="O27" s="49">
        <f t="shared" si="10"/>
        <v>1.512</v>
      </c>
      <c r="P27" s="49">
        <f t="shared" si="5"/>
        <v>0.5997474747474747</v>
      </c>
      <c r="Q27" s="50">
        <f t="shared" si="6"/>
        <v>0.65972222222222221</v>
      </c>
    </row>
    <row r="28" spans="1:17" ht="38.25" customHeight="1">
      <c r="A28" s="40" t="s">
        <v>1658</v>
      </c>
      <c r="B28" s="96" t="s">
        <v>1659</v>
      </c>
      <c r="C28" s="42" t="s">
        <v>881</v>
      </c>
      <c r="D28" s="43" t="s">
        <v>1239</v>
      </c>
      <c r="E28" s="43" t="s">
        <v>1239</v>
      </c>
      <c r="F28" s="43">
        <f>L28*0.7</f>
        <v>2575562500</v>
      </c>
      <c r="G28" s="43" t="e">
        <f t="shared" si="0"/>
        <v>#VALUE!</v>
      </c>
      <c r="H28" s="43">
        <v>2537500000</v>
      </c>
      <c r="I28" s="43"/>
      <c r="J28" s="43"/>
      <c r="K28" s="43"/>
      <c r="L28" s="43">
        <f t="shared" ref="L28:L59" si="11">H28*1.45</f>
        <v>3679375000</v>
      </c>
      <c r="M28" s="43">
        <f t="shared" ref="M28:M59" si="12">L28/H28-1</f>
        <v>0.44999999999999996</v>
      </c>
      <c r="N28" s="43">
        <f t="shared" ref="N28:N59" si="13">H28*1.512</f>
        <v>3836700000</v>
      </c>
      <c r="O28" s="43">
        <f t="shared" ref="O28:O59" si="14">N28/H28</f>
        <v>1.512</v>
      </c>
      <c r="P28" s="43" t="e">
        <f t="shared" si="5"/>
        <v>#VALUE!</v>
      </c>
      <c r="Q28" s="44" t="e">
        <f t="shared" si="6"/>
        <v>#VALUE!</v>
      </c>
    </row>
    <row r="29" spans="1:17" ht="38.25" customHeight="1">
      <c r="A29" s="46" t="s">
        <v>1660</v>
      </c>
      <c r="B29" s="97" t="s">
        <v>1661</v>
      </c>
      <c r="C29" s="48" t="s">
        <v>881</v>
      </c>
      <c r="D29" s="49" t="s">
        <v>1239</v>
      </c>
      <c r="E29" s="49" t="s">
        <v>1239</v>
      </c>
      <c r="F29" s="49">
        <f>L29*0.7</f>
        <v>3108437500</v>
      </c>
      <c r="G29" s="49" t="e">
        <f t="shared" si="0"/>
        <v>#VALUE!</v>
      </c>
      <c r="H29" s="49">
        <v>3062500000</v>
      </c>
      <c r="I29" s="49"/>
      <c r="J29" s="49"/>
      <c r="K29" s="49"/>
      <c r="L29" s="49">
        <f t="shared" si="11"/>
        <v>4440625000</v>
      </c>
      <c r="M29" s="49">
        <f t="shared" si="12"/>
        <v>0.44999999999999996</v>
      </c>
      <c r="N29" s="49">
        <f t="shared" si="13"/>
        <v>4630500000</v>
      </c>
      <c r="O29" s="49">
        <f t="shared" si="14"/>
        <v>1.512</v>
      </c>
      <c r="P29" s="49" t="e">
        <f t="shared" si="5"/>
        <v>#VALUE!</v>
      </c>
      <c r="Q29" s="50" t="e">
        <f t="shared" si="6"/>
        <v>#VALUE!</v>
      </c>
    </row>
    <row r="30" spans="1:17" ht="38.25" customHeight="1">
      <c r="A30" s="40" t="s">
        <v>1662</v>
      </c>
      <c r="B30" s="96" t="s">
        <v>1663</v>
      </c>
      <c r="C30" s="42" t="s">
        <v>881</v>
      </c>
      <c r="D30" s="43" t="s">
        <v>1239</v>
      </c>
      <c r="E30" s="43" t="s">
        <v>1239</v>
      </c>
      <c r="F30" s="43">
        <f>L30*0.7</f>
        <v>3996562499.9999995</v>
      </c>
      <c r="G30" s="43" t="e">
        <f t="shared" si="0"/>
        <v>#VALUE!</v>
      </c>
      <c r="H30" s="43">
        <v>3937500000</v>
      </c>
      <c r="I30" s="43"/>
      <c r="J30" s="43"/>
      <c r="K30" s="43"/>
      <c r="L30" s="43">
        <f t="shared" si="11"/>
        <v>5709375000</v>
      </c>
      <c r="M30" s="43">
        <f t="shared" si="12"/>
        <v>0.44999999999999996</v>
      </c>
      <c r="N30" s="43">
        <f t="shared" si="13"/>
        <v>5953500000</v>
      </c>
      <c r="O30" s="43">
        <f t="shared" si="14"/>
        <v>1.512</v>
      </c>
      <c r="P30" s="43" t="e">
        <f t="shared" si="5"/>
        <v>#VALUE!</v>
      </c>
      <c r="Q30" s="44" t="e">
        <f t="shared" si="6"/>
        <v>#VALUE!</v>
      </c>
    </row>
    <row r="31" spans="1:17">
      <c r="A31" s="46" t="s">
        <v>1664</v>
      </c>
      <c r="B31" s="97" t="s">
        <v>1665</v>
      </c>
      <c r="C31" s="48" t="s">
        <v>881</v>
      </c>
      <c r="D31" s="49"/>
      <c r="E31" s="49"/>
      <c r="F31" s="49">
        <f t="shared" ref="F31:F45" si="15">L31*1.05</f>
        <v>79931250</v>
      </c>
      <c r="G31" s="49">
        <f t="shared" ref="G31:G62" si="16">F31/N31</f>
        <v>1.0069444444444444</v>
      </c>
      <c r="H31" s="49">
        <v>52500000</v>
      </c>
      <c r="I31" s="49"/>
      <c r="J31" s="49"/>
      <c r="K31" s="49">
        <f>N31/L31</f>
        <v>1.0427586206896551</v>
      </c>
      <c r="L31" s="49">
        <f t="shared" si="11"/>
        <v>76125000</v>
      </c>
      <c r="M31" s="49">
        <f t="shared" si="12"/>
        <v>0.44999999999999996</v>
      </c>
      <c r="N31" s="49">
        <f t="shared" si="13"/>
        <v>79380000</v>
      </c>
      <c r="O31" s="49">
        <f t="shared" si="14"/>
        <v>1.512</v>
      </c>
      <c r="P31" s="49" t="e">
        <f t="shared" si="5"/>
        <v>#DIV/0!</v>
      </c>
      <c r="Q31" s="50" t="e">
        <f t="shared" si="6"/>
        <v>#DIV/0!</v>
      </c>
    </row>
    <row r="32" spans="1:17">
      <c r="A32" s="40" t="s">
        <v>1666</v>
      </c>
      <c r="B32" s="96" t="s">
        <v>1667</v>
      </c>
      <c r="C32" s="42" t="s">
        <v>881</v>
      </c>
      <c r="D32" s="43"/>
      <c r="E32" s="43"/>
      <c r="F32" s="43">
        <f t="shared" si="15"/>
        <v>92111250</v>
      </c>
      <c r="G32" s="43">
        <f t="shared" si="16"/>
        <v>1.0069444444444444</v>
      </c>
      <c r="H32" s="43">
        <v>60500000</v>
      </c>
      <c r="I32" s="43"/>
      <c r="J32" s="43"/>
      <c r="K32" s="43"/>
      <c r="L32" s="43">
        <f t="shared" si="11"/>
        <v>87725000</v>
      </c>
      <c r="M32" s="43">
        <f t="shared" si="12"/>
        <v>0.44999999999999996</v>
      </c>
      <c r="N32" s="43">
        <f t="shared" si="13"/>
        <v>91476000</v>
      </c>
      <c r="O32" s="43">
        <f t="shared" si="14"/>
        <v>1.512</v>
      </c>
      <c r="P32" s="43" t="e">
        <f t="shared" si="5"/>
        <v>#DIV/0!</v>
      </c>
      <c r="Q32" s="44" t="e">
        <f t="shared" si="6"/>
        <v>#DIV/0!</v>
      </c>
    </row>
    <row r="33" spans="1:17">
      <c r="A33" s="46" t="s">
        <v>1668</v>
      </c>
      <c r="B33" s="97" t="s">
        <v>1669</v>
      </c>
      <c r="C33" s="48" t="s">
        <v>881</v>
      </c>
      <c r="D33" s="49"/>
      <c r="E33" s="49"/>
      <c r="F33" s="49">
        <f t="shared" si="15"/>
        <v>101246250</v>
      </c>
      <c r="G33" s="49">
        <f t="shared" si="16"/>
        <v>1.0069444444444444</v>
      </c>
      <c r="H33" s="49">
        <v>66500000</v>
      </c>
      <c r="I33" s="49"/>
      <c r="J33" s="49"/>
      <c r="K33" s="49"/>
      <c r="L33" s="49">
        <f t="shared" si="11"/>
        <v>96425000</v>
      </c>
      <c r="M33" s="49">
        <f t="shared" si="12"/>
        <v>0.44999999999999996</v>
      </c>
      <c r="N33" s="49">
        <f t="shared" si="13"/>
        <v>100548000</v>
      </c>
      <c r="O33" s="49">
        <f t="shared" si="14"/>
        <v>1.512</v>
      </c>
      <c r="P33" s="49" t="e">
        <f t="shared" si="5"/>
        <v>#DIV/0!</v>
      </c>
      <c r="Q33" s="50" t="e">
        <f t="shared" si="6"/>
        <v>#DIV/0!</v>
      </c>
    </row>
    <row r="34" spans="1:17">
      <c r="A34" s="40" t="s">
        <v>1670</v>
      </c>
      <c r="B34" s="96" t="s">
        <v>1671</v>
      </c>
      <c r="C34" s="42" t="s">
        <v>881</v>
      </c>
      <c r="D34" s="43"/>
      <c r="E34" s="43"/>
      <c r="F34" s="43">
        <f t="shared" si="15"/>
        <v>111903750</v>
      </c>
      <c r="G34" s="43">
        <f t="shared" si="16"/>
        <v>1.0069444444444444</v>
      </c>
      <c r="H34" s="43">
        <v>73500000</v>
      </c>
      <c r="I34" s="43"/>
      <c r="J34" s="43"/>
      <c r="K34" s="43"/>
      <c r="L34" s="43">
        <f t="shared" si="11"/>
        <v>106575000</v>
      </c>
      <c r="M34" s="43">
        <f t="shared" si="12"/>
        <v>0.44999999999999996</v>
      </c>
      <c r="N34" s="43">
        <f t="shared" si="13"/>
        <v>111132000</v>
      </c>
      <c r="O34" s="43">
        <f t="shared" si="14"/>
        <v>1.512</v>
      </c>
      <c r="P34" s="43" t="e">
        <f t="shared" si="5"/>
        <v>#DIV/0!</v>
      </c>
      <c r="Q34" s="44" t="e">
        <f t="shared" si="6"/>
        <v>#DIV/0!</v>
      </c>
    </row>
    <row r="35" spans="1:17">
      <c r="A35" s="46" t="s">
        <v>1672</v>
      </c>
      <c r="B35" s="97" t="s">
        <v>1673</v>
      </c>
      <c r="C35" s="48" t="s">
        <v>881</v>
      </c>
      <c r="D35" s="49"/>
      <c r="E35" s="49"/>
      <c r="F35" s="49">
        <f t="shared" si="15"/>
        <v>124083750</v>
      </c>
      <c r="G35" s="49">
        <f t="shared" si="16"/>
        <v>1.0069444444444444</v>
      </c>
      <c r="H35" s="49">
        <v>81500000</v>
      </c>
      <c r="I35" s="49"/>
      <c r="J35" s="49"/>
      <c r="K35" s="49"/>
      <c r="L35" s="49">
        <f t="shared" si="11"/>
        <v>118175000</v>
      </c>
      <c r="M35" s="49">
        <f t="shared" si="12"/>
        <v>0.44999999999999996</v>
      </c>
      <c r="N35" s="49">
        <f t="shared" si="13"/>
        <v>123228000</v>
      </c>
      <c r="O35" s="49">
        <f t="shared" si="14"/>
        <v>1.512</v>
      </c>
      <c r="P35" s="49" t="e">
        <f t="shared" ref="P35:P66" si="17">E35/D35</f>
        <v>#DIV/0!</v>
      </c>
      <c r="Q35" s="50" t="e">
        <f t="shared" ref="Q35:Q66" si="18">F35/D35</f>
        <v>#DIV/0!</v>
      </c>
    </row>
    <row r="36" spans="1:17">
      <c r="A36" s="40" t="s">
        <v>1674</v>
      </c>
      <c r="B36" s="96" t="s">
        <v>1675</v>
      </c>
      <c r="C36" s="42" t="s">
        <v>881</v>
      </c>
      <c r="D36" s="43"/>
      <c r="E36" s="43"/>
      <c r="F36" s="43">
        <f t="shared" si="15"/>
        <v>135883125</v>
      </c>
      <c r="G36" s="43">
        <f t="shared" si="16"/>
        <v>1.0069444444444444</v>
      </c>
      <c r="H36" s="43">
        <v>89250000</v>
      </c>
      <c r="I36" s="43"/>
      <c r="J36" s="43"/>
      <c r="K36" s="43"/>
      <c r="L36" s="43">
        <f t="shared" si="11"/>
        <v>129412500</v>
      </c>
      <c r="M36" s="43">
        <f t="shared" si="12"/>
        <v>0.44999999999999996</v>
      </c>
      <c r="N36" s="43">
        <f t="shared" si="13"/>
        <v>134946000</v>
      </c>
      <c r="O36" s="43">
        <f t="shared" si="14"/>
        <v>1.512</v>
      </c>
      <c r="P36" s="43" t="e">
        <f t="shared" si="17"/>
        <v>#DIV/0!</v>
      </c>
      <c r="Q36" s="44" t="e">
        <f t="shared" si="18"/>
        <v>#DIV/0!</v>
      </c>
    </row>
    <row r="37" spans="1:17">
      <c r="A37" s="46" t="s">
        <v>1676</v>
      </c>
      <c r="B37" s="97" t="s">
        <v>1677</v>
      </c>
      <c r="C37" s="48" t="s">
        <v>881</v>
      </c>
      <c r="D37" s="49"/>
      <c r="E37" s="49"/>
      <c r="F37" s="49">
        <f t="shared" si="15"/>
        <v>149585625</v>
      </c>
      <c r="G37" s="49">
        <f t="shared" si="16"/>
        <v>1.0069444444444444</v>
      </c>
      <c r="H37" s="49">
        <v>98250000</v>
      </c>
      <c r="I37" s="49"/>
      <c r="J37" s="49"/>
      <c r="K37" s="49"/>
      <c r="L37" s="49">
        <f t="shared" si="11"/>
        <v>142462500</v>
      </c>
      <c r="M37" s="49">
        <f t="shared" si="12"/>
        <v>0.44999999999999996</v>
      </c>
      <c r="N37" s="49">
        <f t="shared" si="13"/>
        <v>148554000</v>
      </c>
      <c r="O37" s="49">
        <f t="shared" si="14"/>
        <v>1.512</v>
      </c>
      <c r="P37" s="49" t="e">
        <f t="shared" si="17"/>
        <v>#DIV/0!</v>
      </c>
      <c r="Q37" s="50" t="e">
        <f t="shared" si="18"/>
        <v>#DIV/0!</v>
      </c>
    </row>
    <row r="38" spans="1:17">
      <c r="A38" s="40" t="s">
        <v>1678</v>
      </c>
      <c r="B38" s="96" t="s">
        <v>1679</v>
      </c>
      <c r="C38" s="42" t="s">
        <v>881</v>
      </c>
      <c r="D38" s="43"/>
      <c r="E38" s="43"/>
      <c r="F38" s="43">
        <f t="shared" si="15"/>
        <v>165191250</v>
      </c>
      <c r="G38" s="43">
        <f t="shared" si="16"/>
        <v>1.0069444444444444</v>
      </c>
      <c r="H38" s="43">
        <v>108500000</v>
      </c>
      <c r="I38" s="43"/>
      <c r="J38" s="43"/>
      <c r="K38" s="43"/>
      <c r="L38" s="43">
        <f t="shared" si="11"/>
        <v>157325000</v>
      </c>
      <c r="M38" s="43">
        <f t="shared" si="12"/>
        <v>0.44999999999999996</v>
      </c>
      <c r="N38" s="43">
        <f t="shared" si="13"/>
        <v>164052000</v>
      </c>
      <c r="O38" s="43">
        <f t="shared" si="14"/>
        <v>1.512</v>
      </c>
      <c r="P38" s="43" t="e">
        <f t="shared" si="17"/>
        <v>#DIV/0!</v>
      </c>
      <c r="Q38" s="44" t="e">
        <f t="shared" si="18"/>
        <v>#DIV/0!</v>
      </c>
    </row>
    <row r="39" spans="1:17">
      <c r="A39" s="46" t="s">
        <v>1680</v>
      </c>
      <c r="B39" s="97" t="s">
        <v>1681</v>
      </c>
      <c r="C39" s="48" t="s">
        <v>881</v>
      </c>
      <c r="D39" s="49"/>
      <c r="E39" s="49"/>
      <c r="F39" s="49">
        <f t="shared" si="15"/>
        <v>213150000</v>
      </c>
      <c r="G39" s="49">
        <f t="shared" si="16"/>
        <v>1.0069444444444444</v>
      </c>
      <c r="H39" s="49">
        <v>140000000</v>
      </c>
      <c r="I39" s="49"/>
      <c r="J39" s="49"/>
      <c r="K39" s="49"/>
      <c r="L39" s="49">
        <f t="shared" si="11"/>
        <v>203000000</v>
      </c>
      <c r="M39" s="49">
        <f t="shared" si="12"/>
        <v>0.44999999999999996</v>
      </c>
      <c r="N39" s="49">
        <f t="shared" si="13"/>
        <v>211680000</v>
      </c>
      <c r="O39" s="49">
        <f t="shared" si="14"/>
        <v>1.512</v>
      </c>
      <c r="P39" s="49" t="e">
        <f t="shared" si="17"/>
        <v>#DIV/0!</v>
      </c>
      <c r="Q39" s="50" t="e">
        <f t="shared" si="18"/>
        <v>#DIV/0!</v>
      </c>
    </row>
    <row r="40" spans="1:17">
      <c r="A40" s="40" t="s">
        <v>1682</v>
      </c>
      <c r="B40" s="96" t="s">
        <v>1683</v>
      </c>
      <c r="C40" s="42" t="s">
        <v>881</v>
      </c>
      <c r="D40" s="43"/>
      <c r="E40" s="43"/>
      <c r="F40" s="43">
        <f t="shared" si="15"/>
        <v>293081250</v>
      </c>
      <c r="G40" s="43">
        <f t="shared" si="16"/>
        <v>1.0069444444444444</v>
      </c>
      <c r="H40" s="43">
        <v>192500000</v>
      </c>
      <c r="I40" s="43"/>
      <c r="J40" s="43"/>
      <c r="K40" s="43"/>
      <c r="L40" s="43">
        <f t="shared" si="11"/>
        <v>279125000</v>
      </c>
      <c r="M40" s="43">
        <f t="shared" si="12"/>
        <v>0.44999999999999996</v>
      </c>
      <c r="N40" s="43">
        <f t="shared" si="13"/>
        <v>291060000</v>
      </c>
      <c r="O40" s="43">
        <f t="shared" si="14"/>
        <v>1.512</v>
      </c>
      <c r="P40" s="43" t="e">
        <f t="shared" si="17"/>
        <v>#DIV/0!</v>
      </c>
      <c r="Q40" s="44" t="e">
        <f t="shared" si="18"/>
        <v>#DIV/0!</v>
      </c>
    </row>
    <row r="41" spans="1:17">
      <c r="A41" s="46" t="s">
        <v>1684</v>
      </c>
      <c r="B41" s="97" t="s">
        <v>1685</v>
      </c>
      <c r="C41" s="48" t="s">
        <v>881</v>
      </c>
      <c r="D41" s="49"/>
      <c r="E41" s="49"/>
      <c r="F41" s="49">
        <f t="shared" si="15"/>
        <v>399656250</v>
      </c>
      <c r="G41" s="49">
        <f t="shared" si="16"/>
        <v>1.0069444444444444</v>
      </c>
      <c r="H41" s="49">
        <v>262500000</v>
      </c>
      <c r="I41" s="49"/>
      <c r="J41" s="49"/>
      <c r="K41" s="49"/>
      <c r="L41" s="49">
        <f t="shared" si="11"/>
        <v>380625000</v>
      </c>
      <c r="M41" s="49">
        <f t="shared" si="12"/>
        <v>0.44999999999999996</v>
      </c>
      <c r="N41" s="49">
        <f t="shared" si="13"/>
        <v>396900000</v>
      </c>
      <c r="O41" s="49">
        <f t="shared" si="14"/>
        <v>1.512</v>
      </c>
      <c r="P41" s="49" t="e">
        <f t="shared" si="17"/>
        <v>#DIV/0!</v>
      </c>
      <c r="Q41" s="50" t="e">
        <f t="shared" si="18"/>
        <v>#DIV/0!</v>
      </c>
    </row>
    <row r="42" spans="1:17">
      <c r="A42" s="40" t="s">
        <v>1686</v>
      </c>
      <c r="B42" s="96" t="s">
        <v>1687</v>
      </c>
      <c r="C42" s="42" t="s">
        <v>881</v>
      </c>
      <c r="D42" s="43"/>
      <c r="E42" s="43"/>
      <c r="F42" s="43">
        <f t="shared" si="15"/>
        <v>479587500</v>
      </c>
      <c r="G42" s="43">
        <f t="shared" si="16"/>
        <v>1.0069444444444444</v>
      </c>
      <c r="H42" s="43">
        <v>315000000</v>
      </c>
      <c r="I42" s="43"/>
      <c r="J42" s="43"/>
      <c r="K42" s="43"/>
      <c r="L42" s="43">
        <f t="shared" si="11"/>
        <v>456750000</v>
      </c>
      <c r="M42" s="43">
        <f t="shared" si="12"/>
        <v>0.44999999999999996</v>
      </c>
      <c r="N42" s="43">
        <f t="shared" si="13"/>
        <v>476280000</v>
      </c>
      <c r="O42" s="43">
        <f t="shared" si="14"/>
        <v>1.512</v>
      </c>
      <c r="P42" s="43" t="e">
        <f t="shared" si="17"/>
        <v>#DIV/0!</v>
      </c>
      <c r="Q42" s="44" t="e">
        <f t="shared" si="18"/>
        <v>#DIV/0!</v>
      </c>
    </row>
    <row r="43" spans="1:17" ht="51" customHeight="1">
      <c r="A43" s="46" t="s">
        <v>1688</v>
      </c>
      <c r="B43" s="97" t="s">
        <v>1689</v>
      </c>
      <c r="C43" s="48" t="s">
        <v>881</v>
      </c>
      <c r="D43" s="49"/>
      <c r="E43" s="49"/>
      <c r="F43" s="49">
        <f t="shared" si="15"/>
        <v>586162500</v>
      </c>
      <c r="G43" s="49">
        <f t="shared" si="16"/>
        <v>1.0069444444444444</v>
      </c>
      <c r="H43" s="49">
        <v>385000000</v>
      </c>
      <c r="I43" s="49"/>
      <c r="J43" s="49"/>
      <c r="K43" s="49"/>
      <c r="L43" s="49">
        <f t="shared" si="11"/>
        <v>558250000</v>
      </c>
      <c r="M43" s="49">
        <f t="shared" si="12"/>
        <v>0.44999999999999996</v>
      </c>
      <c r="N43" s="49">
        <f t="shared" si="13"/>
        <v>582120000</v>
      </c>
      <c r="O43" s="49">
        <f t="shared" si="14"/>
        <v>1.512</v>
      </c>
      <c r="P43" s="49" t="e">
        <f t="shared" si="17"/>
        <v>#DIV/0!</v>
      </c>
      <c r="Q43" s="50" t="e">
        <f t="shared" si="18"/>
        <v>#DIV/0!</v>
      </c>
    </row>
    <row r="44" spans="1:17" ht="51" customHeight="1">
      <c r="A44" s="40" t="s">
        <v>1690</v>
      </c>
      <c r="B44" s="96" t="s">
        <v>1691</v>
      </c>
      <c r="C44" s="42" t="s">
        <v>881</v>
      </c>
      <c r="D44" s="43"/>
      <c r="E44" s="43"/>
      <c r="F44" s="43">
        <f t="shared" si="15"/>
        <v>746025000</v>
      </c>
      <c r="G44" s="43">
        <f t="shared" si="16"/>
        <v>1.0069444444444444</v>
      </c>
      <c r="H44" s="43">
        <v>490000000</v>
      </c>
      <c r="I44" s="43"/>
      <c r="J44" s="43"/>
      <c r="K44" s="43"/>
      <c r="L44" s="43">
        <f t="shared" si="11"/>
        <v>710500000</v>
      </c>
      <c r="M44" s="43">
        <f t="shared" si="12"/>
        <v>0.44999999999999996</v>
      </c>
      <c r="N44" s="43">
        <f t="shared" si="13"/>
        <v>740880000</v>
      </c>
      <c r="O44" s="43">
        <f t="shared" si="14"/>
        <v>1.512</v>
      </c>
      <c r="P44" s="43" t="e">
        <f t="shared" si="17"/>
        <v>#DIV/0!</v>
      </c>
      <c r="Q44" s="44" t="e">
        <f t="shared" si="18"/>
        <v>#DIV/0!</v>
      </c>
    </row>
    <row r="45" spans="1:17">
      <c r="A45" s="46" t="s">
        <v>1692</v>
      </c>
      <c r="B45" s="97" t="s">
        <v>1693</v>
      </c>
      <c r="C45" s="48" t="s">
        <v>881</v>
      </c>
      <c r="D45" s="49"/>
      <c r="E45" s="49"/>
      <c r="F45" s="49">
        <f t="shared" si="15"/>
        <v>905887500</v>
      </c>
      <c r="G45" s="49">
        <f t="shared" si="16"/>
        <v>1.0069444444444444</v>
      </c>
      <c r="H45" s="49">
        <v>595000000</v>
      </c>
      <c r="I45" s="49"/>
      <c r="J45" s="49"/>
      <c r="K45" s="49"/>
      <c r="L45" s="49">
        <f t="shared" si="11"/>
        <v>862750000</v>
      </c>
      <c r="M45" s="49">
        <f t="shared" si="12"/>
        <v>0.44999999999999996</v>
      </c>
      <c r="N45" s="49">
        <f t="shared" si="13"/>
        <v>899640000</v>
      </c>
      <c r="O45" s="49">
        <f t="shared" si="14"/>
        <v>1.512</v>
      </c>
      <c r="P45" s="49" t="e">
        <f t="shared" si="17"/>
        <v>#DIV/0!</v>
      </c>
      <c r="Q45" s="50" t="e">
        <f t="shared" si="18"/>
        <v>#DIV/0!</v>
      </c>
    </row>
    <row r="46" spans="1:17" ht="38.25" customHeight="1">
      <c r="A46" s="40" t="s">
        <v>1694</v>
      </c>
      <c r="B46" s="96" t="s">
        <v>1695</v>
      </c>
      <c r="C46" s="42" t="s">
        <v>881</v>
      </c>
      <c r="D46" s="43"/>
      <c r="E46" s="43"/>
      <c r="F46" s="43">
        <f t="shared" ref="F46:F65" si="19">N46*1.06</f>
        <v>74045664</v>
      </c>
      <c r="G46" s="43">
        <f t="shared" si="16"/>
        <v>1.06</v>
      </c>
      <c r="H46" s="43">
        <v>46200000</v>
      </c>
      <c r="I46" s="43"/>
      <c r="J46" s="43">
        <f>K46/N46</f>
        <v>1.0736617879475023</v>
      </c>
      <c r="K46" s="43">
        <v>75000000</v>
      </c>
      <c r="L46" s="43">
        <f t="shared" si="11"/>
        <v>66990000</v>
      </c>
      <c r="M46" s="43">
        <f t="shared" si="12"/>
        <v>0.44999999999999996</v>
      </c>
      <c r="N46" s="43">
        <f t="shared" si="13"/>
        <v>69854400</v>
      </c>
      <c r="O46" s="43">
        <f t="shared" si="14"/>
        <v>1.512</v>
      </c>
      <c r="P46" s="43" t="e">
        <f t="shared" si="17"/>
        <v>#DIV/0!</v>
      </c>
      <c r="Q46" s="44" t="e">
        <f t="shared" si="18"/>
        <v>#DIV/0!</v>
      </c>
    </row>
    <row r="47" spans="1:17" ht="38.25" customHeight="1">
      <c r="A47" s="46" t="s">
        <v>1696</v>
      </c>
      <c r="B47" s="97" t="s">
        <v>1697</v>
      </c>
      <c r="C47" s="48" t="s">
        <v>881</v>
      </c>
      <c r="D47" s="49"/>
      <c r="E47" s="49"/>
      <c r="F47" s="49">
        <f t="shared" si="19"/>
        <v>88854796.799999997</v>
      </c>
      <c r="G47" s="49">
        <f t="shared" si="16"/>
        <v>1.06</v>
      </c>
      <c r="H47" s="49">
        <v>55440000</v>
      </c>
      <c r="I47" s="49"/>
      <c r="J47" s="49"/>
      <c r="K47" s="49"/>
      <c r="L47" s="49">
        <f t="shared" si="11"/>
        <v>80388000</v>
      </c>
      <c r="M47" s="49">
        <f t="shared" si="12"/>
        <v>0.44999999999999996</v>
      </c>
      <c r="N47" s="49">
        <f t="shared" si="13"/>
        <v>83825280</v>
      </c>
      <c r="O47" s="49">
        <f t="shared" si="14"/>
        <v>1.512</v>
      </c>
      <c r="P47" s="49" t="e">
        <f t="shared" si="17"/>
        <v>#DIV/0!</v>
      </c>
      <c r="Q47" s="50" t="e">
        <f t="shared" si="18"/>
        <v>#DIV/0!</v>
      </c>
    </row>
    <row r="48" spans="1:17" ht="38.25" customHeight="1">
      <c r="A48" s="40" t="s">
        <v>1698</v>
      </c>
      <c r="B48" s="96" t="s">
        <v>1699</v>
      </c>
      <c r="C48" s="42" t="s">
        <v>881</v>
      </c>
      <c r="D48" s="43"/>
      <c r="E48" s="43"/>
      <c r="F48" s="43">
        <f t="shared" si="19"/>
        <v>102253536</v>
      </c>
      <c r="G48" s="43">
        <f t="shared" si="16"/>
        <v>1.06</v>
      </c>
      <c r="H48" s="43">
        <v>63800000</v>
      </c>
      <c r="I48" s="43"/>
      <c r="J48" s="43"/>
      <c r="K48" s="43"/>
      <c r="L48" s="43">
        <f t="shared" si="11"/>
        <v>92510000</v>
      </c>
      <c r="M48" s="43">
        <f t="shared" si="12"/>
        <v>0.44999999999999996</v>
      </c>
      <c r="N48" s="43">
        <f t="shared" si="13"/>
        <v>96465600</v>
      </c>
      <c r="O48" s="43">
        <f t="shared" si="14"/>
        <v>1.512</v>
      </c>
      <c r="P48" s="43" t="e">
        <f t="shared" si="17"/>
        <v>#DIV/0!</v>
      </c>
      <c r="Q48" s="44" t="e">
        <f t="shared" si="18"/>
        <v>#DIV/0!</v>
      </c>
    </row>
    <row r="49" spans="1:17" ht="38.25" customHeight="1">
      <c r="A49" s="46" t="s">
        <v>1700</v>
      </c>
      <c r="B49" s="97" t="s">
        <v>1701</v>
      </c>
      <c r="C49" s="48" t="s">
        <v>881</v>
      </c>
      <c r="D49" s="49"/>
      <c r="E49" s="49"/>
      <c r="F49" s="49">
        <f t="shared" si="19"/>
        <v>123409440</v>
      </c>
      <c r="G49" s="49">
        <f t="shared" si="16"/>
        <v>1.06</v>
      </c>
      <c r="H49" s="49">
        <v>77000000</v>
      </c>
      <c r="I49" s="49"/>
      <c r="J49" s="49"/>
      <c r="K49" s="49"/>
      <c r="L49" s="49">
        <f t="shared" si="11"/>
        <v>111650000</v>
      </c>
      <c r="M49" s="49">
        <f t="shared" si="12"/>
        <v>0.44999999999999996</v>
      </c>
      <c r="N49" s="49">
        <f t="shared" si="13"/>
        <v>116424000</v>
      </c>
      <c r="O49" s="49">
        <f t="shared" si="14"/>
        <v>1.512</v>
      </c>
      <c r="P49" s="49" t="e">
        <f t="shared" si="17"/>
        <v>#DIV/0!</v>
      </c>
      <c r="Q49" s="50" t="e">
        <f t="shared" si="18"/>
        <v>#DIV/0!</v>
      </c>
    </row>
    <row r="50" spans="1:17" ht="38.25" customHeight="1">
      <c r="A50" s="40" t="s">
        <v>1702</v>
      </c>
      <c r="B50" s="96" t="s">
        <v>1703</v>
      </c>
      <c r="C50" s="42" t="s">
        <v>881</v>
      </c>
      <c r="D50" s="43"/>
      <c r="E50" s="43"/>
      <c r="F50" s="43">
        <f t="shared" si="19"/>
        <v>138218572.80000001</v>
      </c>
      <c r="G50" s="43">
        <f t="shared" si="16"/>
        <v>1.06</v>
      </c>
      <c r="H50" s="43">
        <v>86240000</v>
      </c>
      <c r="I50" s="43"/>
      <c r="J50" s="43"/>
      <c r="K50" s="43"/>
      <c r="L50" s="43">
        <f t="shared" si="11"/>
        <v>125048000</v>
      </c>
      <c r="M50" s="43">
        <f t="shared" si="12"/>
        <v>0.44999999999999996</v>
      </c>
      <c r="N50" s="43">
        <f t="shared" si="13"/>
        <v>130394880</v>
      </c>
      <c r="O50" s="43">
        <f t="shared" si="14"/>
        <v>1.512</v>
      </c>
      <c r="P50" s="43" t="e">
        <f t="shared" si="17"/>
        <v>#DIV/0!</v>
      </c>
      <c r="Q50" s="44" t="e">
        <f t="shared" si="18"/>
        <v>#DIV/0!</v>
      </c>
    </row>
    <row r="51" spans="1:17" ht="76.5" customHeight="1">
      <c r="A51" s="46" t="s">
        <v>1704</v>
      </c>
      <c r="B51" s="97" t="s">
        <v>1705</v>
      </c>
      <c r="C51" s="48" t="s">
        <v>881</v>
      </c>
      <c r="D51" s="49"/>
      <c r="E51" s="49"/>
      <c r="F51" s="49">
        <f t="shared" si="19"/>
        <v>153027705.59999999</v>
      </c>
      <c r="G51" s="49">
        <f t="shared" si="16"/>
        <v>1.06</v>
      </c>
      <c r="H51" s="49">
        <v>95480000</v>
      </c>
      <c r="I51" s="49"/>
      <c r="J51" s="49"/>
      <c r="K51" s="49"/>
      <c r="L51" s="49">
        <f t="shared" si="11"/>
        <v>138446000</v>
      </c>
      <c r="M51" s="49">
        <f t="shared" si="12"/>
        <v>0.44999999999999996</v>
      </c>
      <c r="N51" s="49">
        <f t="shared" si="13"/>
        <v>144365760</v>
      </c>
      <c r="O51" s="49">
        <f t="shared" si="14"/>
        <v>1.512</v>
      </c>
      <c r="P51" s="49" t="e">
        <f t="shared" si="17"/>
        <v>#DIV/0!</v>
      </c>
      <c r="Q51" s="50" t="e">
        <f t="shared" si="18"/>
        <v>#DIV/0!</v>
      </c>
    </row>
    <row r="52" spans="1:17" ht="38.25" customHeight="1">
      <c r="A52" s="40" t="s">
        <v>1706</v>
      </c>
      <c r="B52" s="96" t="s">
        <v>1707</v>
      </c>
      <c r="C52" s="42" t="s">
        <v>881</v>
      </c>
      <c r="D52" s="43"/>
      <c r="E52" s="43"/>
      <c r="F52" s="43">
        <f t="shared" si="19"/>
        <v>167836838.40000001</v>
      </c>
      <c r="G52" s="43">
        <f t="shared" si="16"/>
        <v>1.06</v>
      </c>
      <c r="H52" s="43">
        <v>104720000</v>
      </c>
      <c r="I52" s="43"/>
      <c r="J52" s="43"/>
      <c r="K52" s="43"/>
      <c r="L52" s="43">
        <f t="shared" si="11"/>
        <v>151844000</v>
      </c>
      <c r="M52" s="43">
        <f t="shared" si="12"/>
        <v>0.44999999999999996</v>
      </c>
      <c r="N52" s="43">
        <f t="shared" si="13"/>
        <v>158336640</v>
      </c>
      <c r="O52" s="43">
        <f t="shared" si="14"/>
        <v>1.512</v>
      </c>
      <c r="P52" s="43" t="e">
        <f t="shared" si="17"/>
        <v>#DIV/0!</v>
      </c>
      <c r="Q52" s="44" t="e">
        <f t="shared" si="18"/>
        <v>#DIV/0!</v>
      </c>
    </row>
    <row r="53" spans="1:17" ht="38.25" customHeight="1">
      <c r="A53" s="46" t="s">
        <v>1708</v>
      </c>
      <c r="B53" s="97" t="s">
        <v>1709</v>
      </c>
      <c r="C53" s="48" t="s">
        <v>881</v>
      </c>
      <c r="D53" s="49"/>
      <c r="E53" s="49"/>
      <c r="F53" s="49">
        <f t="shared" si="19"/>
        <v>187582348.80000001</v>
      </c>
      <c r="G53" s="49">
        <f t="shared" si="16"/>
        <v>1.06</v>
      </c>
      <c r="H53" s="49">
        <v>117040000</v>
      </c>
      <c r="I53" s="49"/>
      <c r="J53" s="49"/>
      <c r="K53" s="49"/>
      <c r="L53" s="49">
        <f t="shared" si="11"/>
        <v>169708000</v>
      </c>
      <c r="M53" s="49">
        <f t="shared" si="12"/>
        <v>0.44999999999999996</v>
      </c>
      <c r="N53" s="49">
        <f t="shared" si="13"/>
        <v>176964480</v>
      </c>
      <c r="O53" s="49">
        <f t="shared" si="14"/>
        <v>1.512</v>
      </c>
      <c r="P53" s="49" t="e">
        <f t="shared" si="17"/>
        <v>#DIV/0!</v>
      </c>
      <c r="Q53" s="50" t="e">
        <f t="shared" si="18"/>
        <v>#DIV/0!</v>
      </c>
    </row>
    <row r="54" spans="1:17" ht="76.5" customHeight="1">
      <c r="A54" s="40" t="s">
        <v>1710</v>
      </c>
      <c r="B54" s="96" t="s">
        <v>1711</v>
      </c>
      <c r="C54" s="42" t="s">
        <v>881</v>
      </c>
      <c r="D54" s="43"/>
      <c r="E54" s="43"/>
      <c r="F54" s="43">
        <f t="shared" si="19"/>
        <v>232009747.20000002</v>
      </c>
      <c r="G54" s="43">
        <f t="shared" si="16"/>
        <v>1.06</v>
      </c>
      <c r="H54" s="43">
        <v>144760000</v>
      </c>
      <c r="I54" s="43"/>
      <c r="J54" s="43"/>
      <c r="K54" s="43"/>
      <c r="L54" s="43">
        <f t="shared" si="11"/>
        <v>209902000</v>
      </c>
      <c r="M54" s="43">
        <f t="shared" si="12"/>
        <v>0.44999999999999996</v>
      </c>
      <c r="N54" s="43">
        <f t="shared" si="13"/>
        <v>218877120</v>
      </c>
      <c r="O54" s="43">
        <f t="shared" si="14"/>
        <v>1.512</v>
      </c>
      <c r="P54" s="43" t="e">
        <f t="shared" si="17"/>
        <v>#DIV/0!</v>
      </c>
      <c r="Q54" s="44" t="e">
        <f t="shared" si="18"/>
        <v>#DIV/0!</v>
      </c>
    </row>
    <row r="55" spans="1:17" ht="38.25" customHeight="1">
      <c r="A55" s="46" t="s">
        <v>1712</v>
      </c>
      <c r="B55" s="97" t="s">
        <v>1713</v>
      </c>
      <c r="C55" s="48" t="s">
        <v>881</v>
      </c>
      <c r="D55" s="49"/>
      <c r="E55" s="49"/>
      <c r="F55" s="49">
        <f t="shared" si="19"/>
        <v>246818880</v>
      </c>
      <c r="G55" s="49">
        <f t="shared" si="16"/>
        <v>1.06</v>
      </c>
      <c r="H55" s="49">
        <v>154000000</v>
      </c>
      <c r="I55" s="49"/>
      <c r="J55" s="49"/>
      <c r="K55" s="49"/>
      <c r="L55" s="49">
        <f t="shared" si="11"/>
        <v>223300000</v>
      </c>
      <c r="M55" s="49">
        <f t="shared" si="12"/>
        <v>0.44999999999999996</v>
      </c>
      <c r="N55" s="49">
        <f t="shared" si="13"/>
        <v>232848000</v>
      </c>
      <c r="O55" s="49">
        <f t="shared" si="14"/>
        <v>1.512</v>
      </c>
      <c r="P55" s="49" t="e">
        <f t="shared" si="17"/>
        <v>#DIV/0!</v>
      </c>
      <c r="Q55" s="50" t="e">
        <f t="shared" si="18"/>
        <v>#DIV/0!</v>
      </c>
    </row>
    <row r="56" spans="1:17" ht="76.5" customHeight="1">
      <c r="A56" s="40" t="s">
        <v>1714</v>
      </c>
      <c r="B56" s="96" t="s">
        <v>1715</v>
      </c>
      <c r="C56" s="42" t="s">
        <v>881</v>
      </c>
      <c r="D56" s="43"/>
      <c r="E56" s="43"/>
      <c r="F56" s="43">
        <f t="shared" si="19"/>
        <v>284194310.40000004</v>
      </c>
      <c r="G56" s="43">
        <f t="shared" si="16"/>
        <v>1.06</v>
      </c>
      <c r="H56" s="43">
        <v>177320000</v>
      </c>
      <c r="I56" s="43"/>
      <c r="J56" s="43"/>
      <c r="K56" s="43"/>
      <c r="L56" s="43">
        <f t="shared" si="11"/>
        <v>257114000</v>
      </c>
      <c r="M56" s="43">
        <f t="shared" si="12"/>
        <v>0.44999999999999996</v>
      </c>
      <c r="N56" s="43">
        <f t="shared" si="13"/>
        <v>268107840</v>
      </c>
      <c r="O56" s="43">
        <f t="shared" si="14"/>
        <v>1.512</v>
      </c>
      <c r="P56" s="43" t="e">
        <f t="shared" si="17"/>
        <v>#DIV/0!</v>
      </c>
      <c r="Q56" s="44" t="e">
        <f t="shared" si="18"/>
        <v>#DIV/0!</v>
      </c>
    </row>
    <row r="57" spans="1:17" ht="38.25" customHeight="1">
      <c r="A57" s="46" t="s">
        <v>1716</v>
      </c>
      <c r="B57" s="97" t="s">
        <v>1717</v>
      </c>
      <c r="C57" s="48" t="s">
        <v>881</v>
      </c>
      <c r="D57" s="49"/>
      <c r="E57" s="49"/>
      <c r="F57" s="49">
        <f t="shared" si="19"/>
        <v>320864544</v>
      </c>
      <c r="G57" s="49">
        <f t="shared" si="16"/>
        <v>1.06</v>
      </c>
      <c r="H57" s="49">
        <v>200200000</v>
      </c>
      <c r="I57" s="49"/>
      <c r="J57" s="49"/>
      <c r="K57" s="49"/>
      <c r="L57" s="49">
        <f t="shared" si="11"/>
        <v>290290000</v>
      </c>
      <c r="M57" s="49">
        <f t="shared" si="12"/>
        <v>0.44999999999999996</v>
      </c>
      <c r="N57" s="49">
        <f t="shared" si="13"/>
        <v>302702400</v>
      </c>
      <c r="O57" s="49">
        <f t="shared" si="14"/>
        <v>1.512</v>
      </c>
      <c r="P57" s="49" t="e">
        <f t="shared" si="17"/>
        <v>#DIV/0!</v>
      </c>
      <c r="Q57" s="50" t="e">
        <f t="shared" si="18"/>
        <v>#DIV/0!</v>
      </c>
    </row>
    <row r="58" spans="1:17" ht="76.5" customHeight="1">
      <c r="A58" s="40" t="s">
        <v>1718</v>
      </c>
      <c r="B58" s="96" t="s">
        <v>1719</v>
      </c>
      <c r="C58" s="42" t="s">
        <v>881</v>
      </c>
      <c r="D58" s="43"/>
      <c r="E58" s="43"/>
      <c r="F58" s="43">
        <f t="shared" si="19"/>
        <v>345546432</v>
      </c>
      <c r="G58" s="43">
        <f t="shared" si="16"/>
        <v>1.06</v>
      </c>
      <c r="H58" s="43">
        <v>215600000</v>
      </c>
      <c r="I58" s="43"/>
      <c r="J58" s="43"/>
      <c r="K58" s="43"/>
      <c r="L58" s="43">
        <f t="shared" si="11"/>
        <v>312620000</v>
      </c>
      <c r="M58" s="43">
        <f t="shared" si="12"/>
        <v>0.44999999999999996</v>
      </c>
      <c r="N58" s="43">
        <f t="shared" si="13"/>
        <v>325987200</v>
      </c>
      <c r="O58" s="43">
        <f t="shared" si="14"/>
        <v>1.512</v>
      </c>
      <c r="P58" s="43" t="e">
        <f t="shared" si="17"/>
        <v>#DIV/0!</v>
      </c>
      <c r="Q58" s="44" t="e">
        <f t="shared" si="18"/>
        <v>#DIV/0!</v>
      </c>
    </row>
    <row r="59" spans="1:17" ht="38.25" customHeight="1">
      <c r="A59" s="46" t="s">
        <v>1720</v>
      </c>
      <c r="B59" s="97" t="s">
        <v>1721</v>
      </c>
      <c r="C59" s="48" t="s">
        <v>881</v>
      </c>
      <c r="D59" s="49"/>
      <c r="E59" s="49"/>
      <c r="F59" s="49">
        <f t="shared" si="19"/>
        <v>370228320</v>
      </c>
      <c r="G59" s="49">
        <f t="shared" si="16"/>
        <v>1.06</v>
      </c>
      <c r="H59" s="49">
        <v>231000000</v>
      </c>
      <c r="I59" s="49"/>
      <c r="J59" s="49"/>
      <c r="K59" s="49"/>
      <c r="L59" s="49">
        <f t="shared" si="11"/>
        <v>334950000</v>
      </c>
      <c r="M59" s="49">
        <f t="shared" si="12"/>
        <v>0.44999999999999996</v>
      </c>
      <c r="N59" s="49">
        <f t="shared" si="13"/>
        <v>349272000</v>
      </c>
      <c r="O59" s="49">
        <f t="shared" si="14"/>
        <v>1.512</v>
      </c>
      <c r="P59" s="49" t="e">
        <f t="shared" si="17"/>
        <v>#DIV/0!</v>
      </c>
      <c r="Q59" s="50" t="e">
        <f t="shared" si="18"/>
        <v>#DIV/0!</v>
      </c>
    </row>
    <row r="60" spans="1:17" ht="38.25" customHeight="1">
      <c r="A60" s="40" t="s">
        <v>1722</v>
      </c>
      <c r="B60" s="96" t="s">
        <v>1723</v>
      </c>
      <c r="C60" s="42" t="s">
        <v>881</v>
      </c>
      <c r="D60" s="43"/>
      <c r="E60" s="43"/>
      <c r="F60" s="43">
        <f t="shared" si="19"/>
        <v>434401228.80000001</v>
      </c>
      <c r="G60" s="43">
        <f t="shared" si="16"/>
        <v>1.06</v>
      </c>
      <c r="H60" s="43">
        <v>271040000</v>
      </c>
      <c r="I60" s="43"/>
      <c r="J60" s="43"/>
      <c r="K60" s="43"/>
      <c r="L60" s="43">
        <f t="shared" ref="L60:L89" si="20">H60*1.45</f>
        <v>393008000</v>
      </c>
      <c r="M60" s="43">
        <f t="shared" ref="M60:M91" si="21">L60/H60-1</f>
        <v>0.44999999999999996</v>
      </c>
      <c r="N60" s="43">
        <f t="shared" ref="N60:N89" si="22">H60*1.512</f>
        <v>409812480</v>
      </c>
      <c r="O60" s="43">
        <f t="shared" ref="O60:O91" si="23">N60/H60</f>
        <v>1.512</v>
      </c>
      <c r="P60" s="43" t="e">
        <f t="shared" si="17"/>
        <v>#DIV/0!</v>
      </c>
      <c r="Q60" s="44" t="e">
        <f t="shared" si="18"/>
        <v>#DIV/0!</v>
      </c>
    </row>
    <row r="61" spans="1:17" ht="76.5" customHeight="1">
      <c r="A61" s="46" t="s">
        <v>1724</v>
      </c>
      <c r="B61" s="97" t="s">
        <v>1725</v>
      </c>
      <c r="C61" s="48" t="s">
        <v>881</v>
      </c>
      <c r="D61" s="49"/>
      <c r="E61" s="49"/>
      <c r="F61" s="49">
        <f t="shared" si="19"/>
        <v>497868940.80000001</v>
      </c>
      <c r="G61" s="49">
        <f t="shared" si="16"/>
        <v>1.06</v>
      </c>
      <c r="H61" s="49">
        <v>310640000</v>
      </c>
      <c r="I61" s="49"/>
      <c r="J61" s="49"/>
      <c r="K61" s="49"/>
      <c r="L61" s="49">
        <f t="shared" si="20"/>
        <v>450428000</v>
      </c>
      <c r="M61" s="49">
        <f t="shared" si="21"/>
        <v>0.44999999999999996</v>
      </c>
      <c r="N61" s="49">
        <f t="shared" si="22"/>
        <v>469687680</v>
      </c>
      <c r="O61" s="49">
        <f t="shared" si="23"/>
        <v>1.512</v>
      </c>
      <c r="P61" s="49" t="e">
        <f t="shared" si="17"/>
        <v>#DIV/0!</v>
      </c>
      <c r="Q61" s="50" t="e">
        <f t="shared" si="18"/>
        <v>#DIV/0!</v>
      </c>
    </row>
    <row r="62" spans="1:17" ht="38.25" customHeight="1">
      <c r="A62" s="40" t="s">
        <v>1726</v>
      </c>
      <c r="B62" s="96" t="s">
        <v>1727</v>
      </c>
      <c r="C62" s="42" t="s">
        <v>881</v>
      </c>
      <c r="D62" s="43"/>
      <c r="E62" s="43"/>
      <c r="F62" s="43">
        <f t="shared" si="19"/>
        <v>578261376</v>
      </c>
      <c r="G62" s="43">
        <f t="shared" si="16"/>
        <v>1.06</v>
      </c>
      <c r="H62" s="43">
        <v>360800000</v>
      </c>
      <c r="I62" s="43"/>
      <c r="J62" s="43"/>
      <c r="K62" s="43"/>
      <c r="L62" s="43">
        <f t="shared" si="20"/>
        <v>523160000</v>
      </c>
      <c r="M62" s="43">
        <f t="shared" si="21"/>
        <v>0.44999999999999996</v>
      </c>
      <c r="N62" s="43">
        <f t="shared" si="22"/>
        <v>545529600</v>
      </c>
      <c r="O62" s="43">
        <f t="shared" si="23"/>
        <v>1.512</v>
      </c>
      <c r="P62" s="43" t="e">
        <f t="shared" si="17"/>
        <v>#DIV/0!</v>
      </c>
      <c r="Q62" s="44" t="e">
        <f t="shared" si="18"/>
        <v>#DIV/0!</v>
      </c>
    </row>
    <row r="63" spans="1:17" ht="76.5" customHeight="1">
      <c r="A63" s="46" t="s">
        <v>1728</v>
      </c>
      <c r="B63" s="97" t="s">
        <v>1729</v>
      </c>
      <c r="C63" s="48" t="s">
        <v>881</v>
      </c>
      <c r="D63" s="49"/>
      <c r="E63" s="49"/>
      <c r="F63" s="49">
        <f t="shared" si="19"/>
        <v>669936960</v>
      </c>
      <c r="G63" s="49">
        <f t="shared" ref="G63:G94" si="24">F63/N63</f>
        <v>1.06</v>
      </c>
      <c r="H63" s="49">
        <v>418000000</v>
      </c>
      <c r="I63" s="49"/>
      <c r="J63" s="49"/>
      <c r="K63" s="49"/>
      <c r="L63" s="49">
        <f t="shared" si="20"/>
        <v>606100000</v>
      </c>
      <c r="M63" s="49">
        <f t="shared" si="21"/>
        <v>0.44999999999999996</v>
      </c>
      <c r="N63" s="49">
        <f t="shared" si="22"/>
        <v>632016000</v>
      </c>
      <c r="O63" s="49">
        <f t="shared" si="23"/>
        <v>1.512</v>
      </c>
      <c r="P63" s="49" t="e">
        <f t="shared" si="17"/>
        <v>#DIV/0!</v>
      </c>
      <c r="Q63" s="50" t="e">
        <f t="shared" si="18"/>
        <v>#DIV/0!</v>
      </c>
    </row>
    <row r="64" spans="1:17" ht="38.25" customHeight="1">
      <c r="A64" s="40" t="s">
        <v>1730</v>
      </c>
      <c r="B64" s="96" t="s">
        <v>1731</v>
      </c>
      <c r="C64" s="42" t="s">
        <v>881</v>
      </c>
      <c r="D64" s="43"/>
      <c r="E64" s="43"/>
      <c r="F64" s="43">
        <f t="shared" si="19"/>
        <v>740456640</v>
      </c>
      <c r="G64" s="43">
        <f t="shared" si="24"/>
        <v>1.06</v>
      </c>
      <c r="H64" s="43">
        <v>462000000</v>
      </c>
      <c r="I64" s="43"/>
      <c r="J64" s="43"/>
      <c r="K64" s="43"/>
      <c r="L64" s="43">
        <f t="shared" si="20"/>
        <v>669900000</v>
      </c>
      <c r="M64" s="43">
        <f t="shared" si="21"/>
        <v>0.44999999999999996</v>
      </c>
      <c r="N64" s="43">
        <f t="shared" si="22"/>
        <v>698544000</v>
      </c>
      <c r="O64" s="43">
        <f t="shared" si="23"/>
        <v>1.512</v>
      </c>
      <c r="P64" s="43" t="e">
        <f t="shared" si="17"/>
        <v>#DIV/0!</v>
      </c>
      <c r="Q64" s="44" t="e">
        <f t="shared" si="18"/>
        <v>#DIV/0!</v>
      </c>
    </row>
    <row r="65" spans="1:17" ht="38.25" customHeight="1">
      <c r="A65" s="46" t="s">
        <v>1732</v>
      </c>
      <c r="B65" s="97" t="s">
        <v>1733</v>
      </c>
      <c r="C65" s="48" t="s">
        <v>881</v>
      </c>
      <c r="D65" s="49"/>
      <c r="E65" s="49"/>
      <c r="F65" s="49">
        <f t="shared" si="19"/>
        <v>888547968</v>
      </c>
      <c r="G65" s="49">
        <f t="shared" si="24"/>
        <v>1.06</v>
      </c>
      <c r="H65" s="49">
        <v>554400000</v>
      </c>
      <c r="I65" s="49"/>
      <c r="J65" s="49"/>
      <c r="K65" s="49"/>
      <c r="L65" s="49">
        <f t="shared" si="20"/>
        <v>803880000</v>
      </c>
      <c r="M65" s="49">
        <f t="shared" si="21"/>
        <v>0.44999999999999996</v>
      </c>
      <c r="N65" s="49">
        <f t="shared" si="22"/>
        <v>838252800</v>
      </c>
      <c r="O65" s="49">
        <f t="shared" si="23"/>
        <v>1.512</v>
      </c>
      <c r="P65" s="49" t="e">
        <f t="shared" si="17"/>
        <v>#DIV/0!</v>
      </c>
      <c r="Q65" s="50" t="e">
        <f t="shared" si="18"/>
        <v>#DIV/0!</v>
      </c>
    </row>
    <row r="66" spans="1:17" ht="38.25" customHeight="1">
      <c r="A66" s="40" t="s">
        <v>1734</v>
      </c>
      <c r="B66" s="96" t="s">
        <v>1735</v>
      </c>
      <c r="C66" s="42" t="s">
        <v>881</v>
      </c>
      <c r="D66" s="43"/>
      <c r="E66" s="43"/>
      <c r="F66" s="43">
        <f t="shared" ref="F66:F73" si="25">N66*1.33</f>
        <v>12387513.600000001</v>
      </c>
      <c r="G66" s="43">
        <f t="shared" si="24"/>
        <v>1.33</v>
      </c>
      <c r="H66" s="43">
        <v>6160000</v>
      </c>
      <c r="I66" s="43"/>
      <c r="J66" s="43"/>
      <c r="K66" s="43"/>
      <c r="L66" s="43">
        <f t="shared" si="20"/>
        <v>8932000</v>
      </c>
      <c r="M66" s="43">
        <f t="shared" si="21"/>
        <v>0.44999999999999996</v>
      </c>
      <c r="N66" s="43">
        <f t="shared" si="22"/>
        <v>9313920</v>
      </c>
      <c r="O66" s="43">
        <f t="shared" si="23"/>
        <v>1.512</v>
      </c>
      <c r="P66" s="43" t="e">
        <f t="shared" si="17"/>
        <v>#DIV/0!</v>
      </c>
      <c r="Q66" s="44" t="e">
        <f t="shared" si="18"/>
        <v>#DIV/0!</v>
      </c>
    </row>
    <row r="67" spans="1:17">
      <c r="A67" s="46" t="s">
        <v>1736</v>
      </c>
      <c r="B67" s="97" t="s">
        <v>1737</v>
      </c>
      <c r="C67" s="48" t="s">
        <v>881</v>
      </c>
      <c r="D67" s="49"/>
      <c r="E67" s="49"/>
      <c r="F67" s="49">
        <f t="shared" si="25"/>
        <v>13935952.800000001</v>
      </c>
      <c r="G67" s="49">
        <f t="shared" si="24"/>
        <v>1.33</v>
      </c>
      <c r="H67" s="49">
        <v>6930000</v>
      </c>
      <c r="I67" s="49"/>
      <c r="J67" s="49"/>
      <c r="K67" s="49"/>
      <c r="L67" s="49">
        <f t="shared" si="20"/>
        <v>10048500</v>
      </c>
      <c r="M67" s="49">
        <f t="shared" si="21"/>
        <v>0.44999999999999996</v>
      </c>
      <c r="N67" s="49">
        <f t="shared" si="22"/>
        <v>10478160</v>
      </c>
      <c r="O67" s="49">
        <f t="shared" si="23"/>
        <v>1.512</v>
      </c>
      <c r="P67" s="49" t="e">
        <f t="shared" ref="P67:P89" si="26">E67/D67</f>
        <v>#DIV/0!</v>
      </c>
      <c r="Q67" s="50" t="e">
        <f t="shared" ref="Q67:Q89" si="27">F67/D67</f>
        <v>#DIV/0!</v>
      </c>
    </row>
    <row r="68" spans="1:17">
      <c r="A68" s="40" t="s">
        <v>1738</v>
      </c>
      <c r="B68" s="96" t="s">
        <v>1739</v>
      </c>
      <c r="C68" s="42" t="s">
        <v>881</v>
      </c>
      <c r="D68" s="43"/>
      <c r="E68" s="43"/>
      <c r="F68" s="43">
        <f t="shared" si="25"/>
        <v>15484392</v>
      </c>
      <c r="G68" s="43">
        <f t="shared" si="24"/>
        <v>1.33</v>
      </c>
      <c r="H68" s="43">
        <v>7700000</v>
      </c>
      <c r="I68" s="43"/>
      <c r="J68" s="43"/>
      <c r="K68" s="43"/>
      <c r="L68" s="43">
        <f t="shared" si="20"/>
        <v>11165000</v>
      </c>
      <c r="M68" s="43">
        <f t="shared" si="21"/>
        <v>0.44999999999999996</v>
      </c>
      <c r="N68" s="43">
        <f t="shared" si="22"/>
        <v>11642400</v>
      </c>
      <c r="O68" s="43">
        <f t="shared" si="23"/>
        <v>1.512</v>
      </c>
      <c r="P68" s="43" t="e">
        <f t="shared" si="26"/>
        <v>#DIV/0!</v>
      </c>
      <c r="Q68" s="44" t="e">
        <f t="shared" si="27"/>
        <v>#DIV/0!</v>
      </c>
    </row>
    <row r="69" spans="1:17">
      <c r="A69" s="46" t="s">
        <v>1740</v>
      </c>
      <c r="B69" s="97" t="s">
        <v>1741</v>
      </c>
      <c r="C69" s="48" t="s">
        <v>881</v>
      </c>
      <c r="D69" s="49"/>
      <c r="E69" s="49"/>
      <c r="F69" s="49">
        <f t="shared" si="25"/>
        <v>17342519.039999999</v>
      </c>
      <c r="G69" s="49">
        <f t="shared" si="24"/>
        <v>1.3299999999999998</v>
      </c>
      <c r="H69" s="49">
        <v>8624000</v>
      </c>
      <c r="I69" s="49"/>
      <c r="J69" s="49"/>
      <c r="K69" s="49"/>
      <c r="L69" s="49">
        <f t="shared" si="20"/>
        <v>12504800</v>
      </c>
      <c r="M69" s="49">
        <f t="shared" si="21"/>
        <v>0.44999999999999996</v>
      </c>
      <c r="N69" s="49">
        <f t="shared" si="22"/>
        <v>13039488</v>
      </c>
      <c r="O69" s="49">
        <f t="shared" si="23"/>
        <v>1.512</v>
      </c>
      <c r="P69" s="49" t="e">
        <f t="shared" si="26"/>
        <v>#DIV/0!</v>
      </c>
      <c r="Q69" s="50" t="e">
        <f t="shared" si="27"/>
        <v>#DIV/0!</v>
      </c>
    </row>
    <row r="70" spans="1:17">
      <c r="A70" s="40" t="s">
        <v>1742</v>
      </c>
      <c r="B70" s="96" t="s">
        <v>1743</v>
      </c>
      <c r="C70" s="42" t="s">
        <v>881</v>
      </c>
      <c r="D70" s="43"/>
      <c r="E70" s="43"/>
      <c r="F70" s="43">
        <f t="shared" si="25"/>
        <v>19200646.080000002</v>
      </c>
      <c r="G70" s="43">
        <f t="shared" si="24"/>
        <v>1.33</v>
      </c>
      <c r="H70" s="43">
        <v>9548000</v>
      </c>
      <c r="I70" s="43"/>
      <c r="J70" s="43"/>
      <c r="K70" s="43"/>
      <c r="L70" s="43">
        <f t="shared" si="20"/>
        <v>13844600</v>
      </c>
      <c r="M70" s="43">
        <f t="shared" si="21"/>
        <v>0.44999999999999996</v>
      </c>
      <c r="N70" s="43">
        <f t="shared" si="22"/>
        <v>14436576</v>
      </c>
      <c r="O70" s="43">
        <f t="shared" si="23"/>
        <v>1.512</v>
      </c>
      <c r="P70" s="43" t="e">
        <f t="shared" si="26"/>
        <v>#DIV/0!</v>
      </c>
      <c r="Q70" s="44" t="e">
        <f t="shared" si="27"/>
        <v>#DIV/0!</v>
      </c>
    </row>
    <row r="71" spans="1:17" ht="38.25" customHeight="1">
      <c r="A71" s="46" t="s">
        <v>1744</v>
      </c>
      <c r="B71" s="97" t="s">
        <v>1745</v>
      </c>
      <c r="C71" s="48" t="s">
        <v>881</v>
      </c>
      <c r="D71" s="49"/>
      <c r="E71" s="49"/>
      <c r="F71" s="49">
        <f t="shared" si="25"/>
        <v>23226588</v>
      </c>
      <c r="G71" s="49">
        <f t="shared" si="24"/>
        <v>1.33</v>
      </c>
      <c r="H71" s="49">
        <v>11550000</v>
      </c>
      <c r="I71" s="49"/>
      <c r="J71" s="49"/>
      <c r="K71" s="49"/>
      <c r="L71" s="49">
        <f t="shared" si="20"/>
        <v>16747500</v>
      </c>
      <c r="M71" s="49">
        <f t="shared" si="21"/>
        <v>0.44999999999999996</v>
      </c>
      <c r="N71" s="49">
        <f t="shared" si="22"/>
        <v>17463600</v>
      </c>
      <c r="O71" s="49">
        <f t="shared" si="23"/>
        <v>1.512</v>
      </c>
      <c r="P71" s="49" t="e">
        <f t="shared" si="26"/>
        <v>#DIV/0!</v>
      </c>
      <c r="Q71" s="50" t="e">
        <f t="shared" si="27"/>
        <v>#DIV/0!</v>
      </c>
    </row>
    <row r="72" spans="1:17" ht="38.25" customHeight="1">
      <c r="A72" s="40" t="s">
        <v>1746</v>
      </c>
      <c r="B72" s="96" t="s">
        <v>1747</v>
      </c>
      <c r="C72" s="42" t="s">
        <v>881</v>
      </c>
      <c r="D72" s="43"/>
      <c r="E72" s="43"/>
      <c r="F72" s="43">
        <f t="shared" si="25"/>
        <v>27871905.600000001</v>
      </c>
      <c r="G72" s="43">
        <f t="shared" si="24"/>
        <v>1.33</v>
      </c>
      <c r="H72" s="43">
        <v>13860000</v>
      </c>
      <c r="I72" s="43"/>
      <c r="J72" s="43"/>
      <c r="K72" s="43"/>
      <c r="L72" s="43">
        <f t="shared" si="20"/>
        <v>20097000</v>
      </c>
      <c r="M72" s="43">
        <f t="shared" si="21"/>
        <v>0.44999999999999996</v>
      </c>
      <c r="N72" s="43">
        <f t="shared" si="22"/>
        <v>20956320</v>
      </c>
      <c r="O72" s="43">
        <f t="shared" si="23"/>
        <v>1.512</v>
      </c>
      <c r="P72" s="43" t="e">
        <f t="shared" si="26"/>
        <v>#DIV/0!</v>
      </c>
      <c r="Q72" s="44" t="e">
        <f t="shared" si="27"/>
        <v>#DIV/0!</v>
      </c>
    </row>
    <row r="73" spans="1:17" ht="38.25" customHeight="1">
      <c r="A73" s="46" t="s">
        <v>1748</v>
      </c>
      <c r="B73" s="97" t="s">
        <v>1749</v>
      </c>
      <c r="C73" s="48" t="s">
        <v>881</v>
      </c>
      <c r="D73" s="49"/>
      <c r="E73" s="49"/>
      <c r="F73" s="49">
        <f t="shared" si="25"/>
        <v>32517223.200000003</v>
      </c>
      <c r="G73" s="49">
        <f t="shared" si="24"/>
        <v>1.33</v>
      </c>
      <c r="H73" s="49">
        <v>16170000</v>
      </c>
      <c r="I73" s="49"/>
      <c r="J73" s="49"/>
      <c r="K73" s="49"/>
      <c r="L73" s="49">
        <f t="shared" si="20"/>
        <v>23446500</v>
      </c>
      <c r="M73" s="49">
        <f t="shared" si="21"/>
        <v>0.44999999999999996</v>
      </c>
      <c r="N73" s="49">
        <f t="shared" si="22"/>
        <v>24449040</v>
      </c>
      <c r="O73" s="49">
        <f t="shared" si="23"/>
        <v>1.512</v>
      </c>
      <c r="P73" s="49" t="e">
        <f t="shared" si="26"/>
        <v>#DIV/0!</v>
      </c>
      <c r="Q73" s="50" t="e">
        <f t="shared" si="27"/>
        <v>#DIV/0!</v>
      </c>
    </row>
    <row r="74" spans="1:17" ht="38.25" customHeight="1">
      <c r="A74" s="40" t="s">
        <v>1750</v>
      </c>
      <c r="B74" s="96" t="s">
        <v>1751</v>
      </c>
      <c r="C74" s="42" t="s">
        <v>881</v>
      </c>
      <c r="D74" s="43"/>
      <c r="E74" s="43"/>
      <c r="F74" s="43">
        <f t="shared" ref="F74:F81" si="28">N74</f>
        <v>25401600</v>
      </c>
      <c r="G74" s="43">
        <f t="shared" si="24"/>
        <v>1</v>
      </c>
      <c r="H74" s="43">
        <v>16800000</v>
      </c>
      <c r="I74" s="43"/>
      <c r="J74" s="43"/>
      <c r="K74" s="43"/>
      <c r="L74" s="43">
        <f t="shared" si="20"/>
        <v>24360000</v>
      </c>
      <c r="M74" s="43">
        <f t="shared" si="21"/>
        <v>0.44999999999999996</v>
      </c>
      <c r="N74" s="43">
        <f t="shared" si="22"/>
        <v>25401600</v>
      </c>
      <c r="O74" s="43">
        <f t="shared" si="23"/>
        <v>1.512</v>
      </c>
      <c r="P74" s="43" t="e">
        <f t="shared" si="26"/>
        <v>#DIV/0!</v>
      </c>
      <c r="Q74" s="44" t="e">
        <f t="shared" si="27"/>
        <v>#DIV/0!</v>
      </c>
    </row>
    <row r="75" spans="1:17" ht="38.25" customHeight="1">
      <c r="A75" s="46" t="s">
        <v>1752</v>
      </c>
      <c r="B75" s="97" t="s">
        <v>1753</v>
      </c>
      <c r="C75" s="48" t="s">
        <v>881</v>
      </c>
      <c r="D75" s="49"/>
      <c r="E75" s="49"/>
      <c r="F75" s="49">
        <f t="shared" si="28"/>
        <v>33747840</v>
      </c>
      <c r="G75" s="49">
        <f t="shared" si="24"/>
        <v>1</v>
      </c>
      <c r="H75" s="49">
        <v>22320000</v>
      </c>
      <c r="I75" s="49"/>
      <c r="J75" s="49"/>
      <c r="K75" s="49"/>
      <c r="L75" s="49">
        <f t="shared" si="20"/>
        <v>32364000</v>
      </c>
      <c r="M75" s="49">
        <f t="shared" si="21"/>
        <v>0.44999999999999996</v>
      </c>
      <c r="N75" s="49">
        <f t="shared" si="22"/>
        <v>33747840</v>
      </c>
      <c r="O75" s="49">
        <f t="shared" si="23"/>
        <v>1.512</v>
      </c>
      <c r="P75" s="49" t="e">
        <f t="shared" si="26"/>
        <v>#DIV/0!</v>
      </c>
      <c r="Q75" s="50" t="e">
        <f t="shared" si="27"/>
        <v>#DIV/0!</v>
      </c>
    </row>
    <row r="76" spans="1:17" ht="38.25" customHeight="1">
      <c r="A76" s="40" t="s">
        <v>1754</v>
      </c>
      <c r="B76" s="96" t="s">
        <v>1755</v>
      </c>
      <c r="C76" s="42" t="s">
        <v>881</v>
      </c>
      <c r="D76" s="43"/>
      <c r="E76" s="43"/>
      <c r="F76" s="43">
        <f t="shared" si="28"/>
        <v>43545600</v>
      </c>
      <c r="G76" s="43">
        <f t="shared" si="24"/>
        <v>1</v>
      </c>
      <c r="H76" s="43">
        <v>28800000</v>
      </c>
      <c r="I76" s="43"/>
      <c r="J76" s="43"/>
      <c r="K76" s="43"/>
      <c r="L76" s="43">
        <f t="shared" si="20"/>
        <v>41760000</v>
      </c>
      <c r="M76" s="43">
        <f t="shared" si="21"/>
        <v>0.44999999999999996</v>
      </c>
      <c r="N76" s="43">
        <f t="shared" si="22"/>
        <v>43545600</v>
      </c>
      <c r="O76" s="43">
        <f t="shared" si="23"/>
        <v>1.512</v>
      </c>
      <c r="P76" s="43" t="e">
        <f t="shared" si="26"/>
        <v>#DIV/0!</v>
      </c>
      <c r="Q76" s="44" t="e">
        <f t="shared" si="27"/>
        <v>#DIV/0!</v>
      </c>
    </row>
    <row r="77" spans="1:17" ht="38.25" customHeight="1">
      <c r="A77" s="46" t="s">
        <v>1756</v>
      </c>
      <c r="B77" s="97" t="s">
        <v>1757</v>
      </c>
      <c r="C77" s="48" t="s">
        <v>881</v>
      </c>
      <c r="D77" s="49"/>
      <c r="E77" s="49"/>
      <c r="F77" s="49">
        <f t="shared" si="28"/>
        <v>56609280</v>
      </c>
      <c r="G77" s="49">
        <f t="shared" si="24"/>
        <v>1</v>
      </c>
      <c r="H77" s="49">
        <v>37440000</v>
      </c>
      <c r="I77" s="49"/>
      <c r="J77" s="49"/>
      <c r="K77" s="49"/>
      <c r="L77" s="49">
        <f t="shared" si="20"/>
        <v>54288000</v>
      </c>
      <c r="M77" s="49">
        <f t="shared" si="21"/>
        <v>0.44999999999999996</v>
      </c>
      <c r="N77" s="49">
        <f t="shared" si="22"/>
        <v>56609280</v>
      </c>
      <c r="O77" s="49">
        <f t="shared" si="23"/>
        <v>1.512</v>
      </c>
      <c r="P77" s="49" t="e">
        <f t="shared" si="26"/>
        <v>#DIV/0!</v>
      </c>
      <c r="Q77" s="50" t="e">
        <f t="shared" si="27"/>
        <v>#DIV/0!</v>
      </c>
    </row>
    <row r="78" spans="1:17" ht="38.25" customHeight="1">
      <c r="A78" s="40" t="s">
        <v>1758</v>
      </c>
      <c r="B78" s="96" t="s">
        <v>1759</v>
      </c>
      <c r="C78" s="42" t="s">
        <v>881</v>
      </c>
      <c r="D78" s="43"/>
      <c r="E78" s="43"/>
      <c r="F78" s="43">
        <f t="shared" si="28"/>
        <v>66044160</v>
      </c>
      <c r="G78" s="43">
        <f t="shared" si="24"/>
        <v>1</v>
      </c>
      <c r="H78" s="43">
        <v>43680000</v>
      </c>
      <c r="I78" s="43"/>
      <c r="J78" s="43"/>
      <c r="K78" s="43"/>
      <c r="L78" s="43">
        <f t="shared" si="20"/>
        <v>63336000</v>
      </c>
      <c r="M78" s="43">
        <f t="shared" si="21"/>
        <v>0.44999999999999996</v>
      </c>
      <c r="N78" s="43">
        <f t="shared" si="22"/>
        <v>66044160</v>
      </c>
      <c r="O78" s="43">
        <f t="shared" si="23"/>
        <v>1.512</v>
      </c>
      <c r="P78" s="43" t="e">
        <f t="shared" si="26"/>
        <v>#DIV/0!</v>
      </c>
      <c r="Q78" s="44" t="e">
        <f t="shared" si="27"/>
        <v>#DIV/0!</v>
      </c>
    </row>
    <row r="79" spans="1:17" ht="38.25" customHeight="1">
      <c r="A79" s="46" t="s">
        <v>1760</v>
      </c>
      <c r="B79" s="97" t="s">
        <v>1761</v>
      </c>
      <c r="C79" s="48" t="s">
        <v>881</v>
      </c>
      <c r="D79" s="49"/>
      <c r="E79" s="49"/>
      <c r="F79" s="49">
        <f t="shared" si="28"/>
        <v>76204800</v>
      </c>
      <c r="G79" s="49">
        <f t="shared" si="24"/>
        <v>1</v>
      </c>
      <c r="H79" s="49">
        <v>50400000</v>
      </c>
      <c r="I79" s="49"/>
      <c r="J79" s="49"/>
      <c r="K79" s="49"/>
      <c r="L79" s="49">
        <f t="shared" si="20"/>
        <v>73080000</v>
      </c>
      <c r="M79" s="49">
        <f t="shared" si="21"/>
        <v>0.44999999999999996</v>
      </c>
      <c r="N79" s="49">
        <f t="shared" si="22"/>
        <v>76204800</v>
      </c>
      <c r="O79" s="49">
        <f t="shared" si="23"/>
        <v>1.512</v>
      </c>
      <c r="P79" s="49" t="e">
        <f t="shared" si="26"/>
        <v>#DIV/0!</v>
      </c>
      <c r="Q79" s="50" t="e">
        <f t="shared" si="27"/>
        <v>#DIV/0!</v>
      </c>
    </row>
    <row r="80" spans="1:17" ht="38.25" customHeight="1">
      <c r="A80" s="40" t="s">
        <v>1762</v>
      </c>
      <c r="B80" s="96" t="s">
        <v>1763</v>
      </c>
      <c r="C80" s="42" t="s">
        <v>881</v>
      </c>
      <c r="D80" s="43"/>
      <c r="E80" s="43"/>
      <c r="F80" s="43">
        <f t="shared" si="28"/>
        <v>101606400</v>
      </c>
      <c r="G80" s="43">
        <f t="shared" si="24"/>
        <v>1</v>
      </c>
      <c r="H80" s="43">
        <v>67200000</v>
      </c>
      <c r="I80" s="43"/>
      <c r="J80" s="43"/>
      <c r="K80" s="43"/>
      <c r="L80" s="43">
        <f t="shared" si="20"/>
        <v>97440000</v>
      </c>
      <c r="M80" s="43">
        <f t="shared" si="21"/>
        <v>0.44999999999999996</v>
      </c>
      <c r="N80" s="43">
        <f t="shared" si="22"/>
        <v>101606400</v>
      </c>
      <c r="O80" s="43">
        <f t="shared" si="23"/>
        <v>1.512</v>
      </c>
      <c r="P80" s="43" t="e">
        <f t="shared" si="26"/>
        <v>#DIV/0!</v>
      </c>
      <c r="Q80" s="44" t="e">
        <f t="shared" si="27"/>
        <v>#DIV/0!</v>
      </c>
    </row>
    <row r="81" spans="1:17" ht="38.25" customHeight="1">
      <c r="A81" s="46" t="s">
        <v>1764</v>
      </c>
      <c r="B81" s="97" t="s">
        <v>1765</v>
      </c>
      <c r="C81" s="48" t="s">
        <v>881</v>
      </c>
      <c r="D81" s="49"/>
      <c r="E81" s="49"/>
      <c r="F81" s="49">
        <f t="shared" si="28"/>
        <v>127008000</v>
      </c>
      <c r="G81" s="49">
        <f t="shared" si="24"/>
        <v>1</v>
      </c>
      <c r="H81" s="49">
        <v>84000000</v>
      </c>
      <c r="I81" s="49"/>
      <c r="J81" s="49"/>
      <c r="K81" s="49"/>
      <c r="L81" s="49">
        <f t="shared" si="20"/>
        <v>121800000</v>
      </c>
      <c r="M81" s="49">
        <f t="shared" si="21"/>
        <v>0.44999999999999996</v>
      </c>
      <c r="N81" s="49">
        <f t="shared" si="22"/>
        <v>127008000</v>
      </c>
      <c r="O81" s="49">
        <f t="shared" si="23"/>
        <v>1.512</v>
      </c>
      <c r="P81" s="49" t="e">
        <f t="shared" si="26"/>
        <v>#DIV/0!</v>
      </c>
      <c r="Q81" s="50" t="e">
        <f t="shared" si="27"/>
        <v>#DIV/0!</v>
      </c>
    </row>
    <row r="82" spans="1:17" ht="51" customHeight="1">
      <c r="A82" s="40" t="s">
        <v>1766</v>
      </c>
      <c r="B82" s="96" t="s">
        <v>1767</v>
      </c>
      <c r="C82" s="42" t="s">
        <v>881</v>
      </c>
      <c r="D82" s="43"/>
      <c r="E82" s="43"/>
      <c r="F82" s="43">
        <f t="shared" ref="F82:F88" si="29">N82*0.6</f>
        <v>25909632</v>
      </c>
      <c r="G82" s="43">
        <f t="shared" si="24"/>
        <v>0.6</v>
      </c>
      <c r="H82" s="43">
        <v>28560000</v>
      </c>
      <c r="I82" s="43"/>
      <c r="J82" s="43"/>
      <c r="K82" s="43"/>
      <c r="L82" s="43">
        <f t="shared" si="20"/>
        <v>41412000</v>
      </c>
      <c r="M82" s="43">
        <f t="shared" si="21"/>
        <v>0.44999999999999996</v>
      </c>
      <c r="N82" s="43">
        <f t="shared" si="22"/>
        <v>43182720</v>
      </c>
      <c r="O82" s="43">
        <f t="shared" si="23"/>
        <v>1.512</v>
      </c>
      <c r="P82" s="43" t="e">
        <f t="shared" si="26"/>
        <v>#DIV/0!</v>
      </c>
      <c r="Q82" s="44" t="e">
        <f t="shared" si="27"/>
        <v>#DIV/0!</v>
      </c>
    </row>
    <row r="83" spans="1:17" ht="51" customHeight="1">
      <c r="A83" s="46" t="s">
        <v>1768</v>
      </c>
      <c r="B83" s="97" t="s">
        <v>1769</v>
      </c>
      <c r="C83" s="48" t="s">
        <v>881</v>
      </c>
      <c r="D83" s="49"/>
      <c r="E83" s="49"/>
      <c r="F83" s="49">
        <f t="shared" si="29"/>
        <v>28957824</v>
      </c>
      <c r="G83" s="49">
        <f t="shared" si="24"/>
        <v>0.6</v>
      </c>
      <c r="H83" s="49">
        <v>31920000</v>
      </c>
      <c r="I83" s="49"/>
      <c r="J83" s="49"/>
      <c r="K83" s="49"/>
      <c r="L83" s="49">
        <f t="shared" si="20"/>
        <v>46284000</v>
      </c>
      <c r="M83" s="49">
        <f t="shared" si="21"/>
        <v>0.44999999999999996</v>
      </c>
      <c r="N83" s="49">
        <f t="shared" si="22"/>
        <v>48263040</v>
      </c>
      <c r="O83" s="49">
        <f t="shared" si="23"/>
        <v>1.512</v>
      </c>
      <c r="P83" s="49" t="e">
        <f t="shared" si="26"/>
        <v>#DIV/0!</v>
      </c>
      <c r="Q83" s="50" t="e">
        <f t="shared" si="27"/>
        <v>#DIV/0!</v>
      </c>
    </row>
    <row r="84" spans="1:17" ht="51" customHeight="1">
      <c r="A84" s="40" t="s">
        <v>1770</v>
      </c>
      <c r="B84" s="96" t="s">
        <v>1771</v>
      </c>
      <c r="C84" s="42" t="s">
        <v>881</v>
      </c>
      <c r="D84" s="43"/>
      <c r="E84" s="43"/>
      <c r="F84" s="43">
        <f t="shared" si="29"/>
        <v>33530112</v>
      </c>
      <c r="G84" s="43">
        <f t="shared" si="24"/>
        <v>0.6</v>
      </c>
      <c r="H84" s="43">
        <v>36960000</v>
      </c>
      <c r="I84" s="43"/>
      <c r="J84" s="43"/>
      <c r="K84" s="43"/>
      <c r="L84" s="43">
        <f t="shared" si="20"/>
        <v>53592000</v>
      </c>
      <c r="M84" s="43">
        <f t="shared" si="21"/>
        <v>0.44999999999999996</v>
      </c>
      <c r="N84" s="43">
        <f t="shared" si="22"/>
        <v>55883520</v>
      </c>
      <c r="O84" s="43">
        <f t="shared" si="23"/>
        <v>1.512</v>
      </c>
      <c r="P84" s="43" t="e">
        <f t="shared" si="26"/>
        <v>#DIV/0!</v>
      </c>
      <c r="Q84" s="44" t="e">
        <f t="shared" si="27"/>
        <v>#DIV/0!</v>
      </c>
    </row>
    <row r="85" spans="1:17" ht="51" customHeight="1">
      <c r="A85" s="46" t="s">
        <v>1772</v>
      </c>
      <c r="B85" s="97" t="s">
        <v>1773</v>
      </c>
      <c r="C85" s="48" t="s">
        <v>881</v>
      </c>
      <c r="D85" s="49"/>
      <c r="E85" s="49"/>
      <c r="F85" s="49">
        <f t="shared" si="29"/>
        <v>41586048</v>
      </c>
      <c r="G85" s="49">
        <f t="shared" si="24"/>
        <v>0.6</v>
      </c>
      <c r="H85" s="49">
        <v>45840000</v>
      </c>
      <c r="I85" s="49"/>
      <c r="J85" s="49"/>
      <c r="K85" s="49"/>
      <c r="L85" s="49">
        <f t="shared" si="20"/>
        <v>66468000</v>
      </c>
      <c r="M85" s="49">
        <f t="shared" si="21"/>
        <v>0.44999999999999996</v>
      </c>
      <c r="N85" s="49">
        <f t="shared" si="22"/>
        <v>69310080</v>
      </c>
      <c r="O85" s="49">
        <f t="shared" si="23"/>
        <v>1.512</v>
      </c>
      <c r="P85" s="49" t="e">
        <f t="shared" si="26"/>
        <v>#DIV/0!</v>
      </c>
      <c r="Q85" s="50" t="e">
        <f t="shared" si="27"/>
        <v>#DIV/0!</v>
      </c>
    </row>
    <row r="86" spans="1:17" ht="51" customHeight="1">
      <c r="A86" s="40" t="s">
        <v>1774</v>
      </c>
      <c r="B86" s="96" t="s">
        <v>1775</v>
      </c>
      <c r="C86" s="42" t="s">
        <v>881</v>
      </c>
      <c r="D86" s="43"/>
      <c r="E86" s="43"/>
      <c r="F86" s="43">
        <f t="shared" si="29"/>
        <v>51166080</v>
      </c>
      <c r="G86" s="43">
        <f t="shared" si="24"/>
        <v>0.6</v>
      </c>
      <c r="H86" s="43">
        <v>56400000</v>
      </c>
      <c r="I86" s="43"/>
      <c r="J86" s="43"/>
      <c r="K86" s="43"/>
      <c r="L86" s="43">
        <f t="shared" si="20"/>
        <v>81780000</v>
      </c>
      <c r="M86" s="43">
        <f t="shared" si="21"/>
        <v>0.44999999999999996</v>
      </c>
      <c r="N86" s="43">
        <f t="shared" si="22"/>
        <v>85276800</v>
      </c>
      <c r="O86" s="43">
        <f t="shared" si="23"/>
        <v>1.512</v>
      </c>
      <c r="P86" s="43" t="e">
        <f t="shared" si="26"/>
        <v>#DIV/0!</v>
      </c>
      <c r="Q86" s="44" t="e">
        <f t="shared" si="27"/>
        <v>#DIV/0!</v>
      </c>
    </row>
    <row r="87" spans="1:17" ht="51" customHeight="1">
      <c r="A87" s="46" t="s">
        <v>1776</v>
      </c>
      <c r="B87" s="97" t="s">
        <v>1777</v>
      </c>
      <c r="C87" s="48" t="s">
        <v>881</v>
      </c>
      <c r="D87" s="49"/>
      <c r="E87" s="49"/>
      <c r="F87" s="49">
        <f t="shared" si="29"/>
        <v>60963840</v>
      </c>
      <c r="G87" s="49">
        <f t="shared" si="24"/>
        <v>0.6</v>
      </c>
      <c r="H87" s="49">
        <v>67200000</v>
      </c>
      <c r="I87" s="49"/>
      <c r="J87" s="49"/>
      <c r="K87" s="49"/>
      <c r="L87" s="49">
        <f t="shared" si="20"/>
        <v>97440000</v>
      </c>
      <c r="M87" s="49">
        <f t="shared" si="21"/>
        <v>0.44999999999999996</v>
      </c>
      <c r="N87" s="49">
        <f t="shared" si="22"/>
        <v>101606400</v>
      </c>
      <c r="O87" s="49">
        <f t="shared" si="23"/>
        <v>1.512</v>
      </c>
      <c r="P87" s="49" t="e">
        <f t="shared" si="26"/>
        <v>#DIV/0!</v>
      </c>
      <c r="Q87" s="50" t="e">
        <f t="shared" si="27"/>
        <v>#DIV/0!</v>
      </c>
    </row>
    <row r="88" spans="1:17" ht="51" customHeight="1">
      <c r="A88" s="40" t="s">
        <v>1778</v>
      </c>
      <c r="B88" s="96" t="s">
        <v>1779</v>
      </c>
      <c r="C88" s="42" t="s">
        <v>881</v>
      </c>
      <c r="D88" s="43"/>
      <c r="E88" s="43"/>
      <c r="F88" s="43">
        <f t="shared" si="29"/>
        <v>76204800</v>
      </c>
      <c r="G88" s="43">
        <f t="shared" si="24"/>
        <v>0.6</v>
      </c>
      <c r="H88" s="43">
        <v>84000000</v>
      </c>
      <c r="I88" s="43"/>
      <c r="J88" s="43"/>
      <c r="K88" s="43"/>
      <c r="L88" s="43">
        <f t="shared" si="20"/>
        <v>121800000</v>
      </c>
      <c r="M88" s="43">
        <f t="shared" si="21"/>
        <v>0.44999999999999996</v>
      </c>
      <c r="N88" s="43">
        <f t="shared" si="22"/>
        <v>127008000</v>
      </c>
      <c r="O88" s="43">
        <f t="shared" si="23"/>
        <v>1.512</v>
      </c>
      <c r="P88" s="43" t="e">
        <f t="shared" si="26"/>
        <v>#DIV/0!</v>
      </c>
      <c r="Q88" s="44" t="e">
        <f t="shared" si="27"/>
        <v>#DIV/0!</v>
      </c>
    </row>
    <row r="89" spans="1:17" ht="51.4" customHeight="1">
      <c r="A89" s="61" t="s">
        <v>1780</v>
      </c>
      <c r="B89" s="98" t="s">
        <v>1781</v>
      </c>
      <c r="C89" s="78" t="s">
        <v>881</v>
      </c>
      <c r="D89" s="64"/>
      <c r="E89" s="64"/>
      <c r="F89" s="64">
        <f>N89*0.78</f>
        <v>118879488</v>
      </c>
      <c r="G89" s="64">
        <f t="shared" si="24"/>
        <v>0.78</v>
      </c>
      <c r="H89" s="64">
        <v>100800000</v>
      </c>
      <c r="I89" s="64"/>
      <c r="J89" s="64"/>
      <c r="K89" s="64"/>
      <c r="L89" s="64">
        <f t="shared" si="20"/>
        <v>146160000</v>
      </c>
      <c r="M89" s="64">
        <f t="shared" si="21"/>
        <v>0.44999999999999996</v>
      </c>
      <c r="N89" s="64">
        <f t="shared" si="22"/>
        <v>152409600</v>
      </c>
      <c r="O89" s="64">
        <f t="shared" si="23"/>
        <v>1.512</v>
      </c>
      <c r="P89" s="64" t="e">
        <f t="shared" si="26"/>
        <v>#DIV/0!</v>
      </c>
      <c r="Q89" s="65" t="e">
        <f t="shared" si="27"/>
        <v>#DIV/0!</v>
      </c>
    </row>
  </sheetData>
  <mergeCells count="1">
    <mergeCell ref="D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theme="9" tint="-0.499984740745262"/>
  </sheetPr>
  <dimension ref="A1:R39"/>
  <sheetViews>
    <sheetView rightToLeft="1" workbookViewId="0">
      <pane ySplit="2" topLeftCell="A3" activePane="bottomLeft" state="frozen"/>
      <selection pane="bottomLeft"/>
    </sheetView>
  </sheetViews>
  <sheetFormatPr defaultRowHeight="13.5"/>
  <cols>
    <col min="1" max="1" width="14.1875" customWidth="1"/>
    <col min="2" max="2" width="46.6875" customWidth="1"/>
    <col min="3" max="3" width="10.8125" customWidth="1"/>
    <col min="4" max="6" width="18.3125" customWidth="1"/>
    <col min="10" max="11" width="18.3125" customWidth="1"/>
  </cols>
  <sheetData>
    <row r="1" spans="1:18" ht="32" customHeight="1">
      <c r="A1" s="27"/>
      <c r="B1" s="28"/>
      <c r="C1" s="28"/>
      <c r="D1" s="28"/>
      <c r="E1" s="28"/>
      <c r="F1" s="28"/>
      <c r="G1" s="28"/>
      <c r="H1" s="28"/>
      <c r="I1" s="28"/>
      <c r="J1" s="81"/>
      <c r="K1" s="28"/>
      <c r="L1" s="28"/>
      <c r="M1" s="28"/>
      <c r="N1" s="28"/>
      <c r="O1" s="28"/>
      <c r="P1" s="28"/>
      <c r="Q1" s="28"/>
      <c r="R1" s="72"/>
    </row>
    <row r="2" spans="1:18" ht="28.05" customHeight="1">
      <c r="A2" s="73" t="s">
        <v>868</v>
      </c>
      <c r="B2" s="31" t="s">
        <v>869</v>
      </c>
      <c r="C2" s="31" t="s">
        <v>871</v>
      </c>
      <c r="D2" s="31" t="s">
        <v>872</v>
      </c>
      <c r="E2" s="31" t="s">
        <v>873</v>
      </c>
      <c r="F2" s="31" t="s">
        <v>1318</v>
      </c>
      <c r="G2" s="31" t="s">
        <v>1782</v>
      </c>
      <c r="H2" s="31" t="s">
        <v>875</v>
      </c>
      <c r="I2" s="31" t="s">
        <v>876</v>
      </c>
      <c r="J2" s="32" t="s">
        <v>877</v>
      </c>
      <c r="K2" s="31" t="s">
        <v>878</v>
      </c>
      <c r="L2" s="31"/>
      <c r="M2" s="31"/>
      <c r="N2" s="31"/>
      <c r="O2" s="31"/>
      <c r="P2" s="31"/>
      <c r="Q2" s="31"/>
      <c r="R2" s="74"/>
    </row>
    <row r="3" spans="1:18" ht="25.5" customHeight="1">
      <c r="A3" s="99" t="s">
        <v>1783</v>
      </c>
      <c r="B3" s="95" t="s">
        <v>1784</v>
      </c>
      <c r="C3" s="100"/>
      <c r="D3" s="37"/>
      <c r="E3" s="37">
        <f>J3*1.3</f>
        <v>20930000</v>
      </c>
      <c r="F3" s="37">
        <f t="shared" ref="F3:F38" si="0">E3/J3</f>
        <v>1.3</v>
      </c>
      <c r="G3" s="37">
        <v>14000000</v>
      </c>
      <c r="H3" s="37"/>
      <c r="I3" s="37"/>
      <c r="J3" s="37">
        <f t="shared" ref="J3:J38" si="1">G3*1.15</f>
        <v>16099999.999999998</v>
      </c>
      <c r="K3" s="37">
        <f t="shared" ref="K3:K38" si="2">J3/G3</f>
        <v>1.1499999999999999</v>
      </c>
      <c r="L3" s="37" t="s">
        <v>1785</v>
      </c>
      <c r="M3" s="37"/>
      <c r="N3" s="37"/>
      <c r="O3" s="37"/>
      <c r="P3" s="37"/>
      <c r="Q3" s="37"/>
      <c r="R3" s="38"/>
    </row>
    <row r="4" spans="1:18" ht="25.5" customHeight="1">
      <c r="A4" s="40" t="s">
        <v>1786</v>
      </c>
      <c r="B4" s="96" t="s">
        <v>1787</v>
      </c>
      <c r="C4" s="58"/>
      <c r="D4" s="43"/>
      <c r="E4" s="43">
        <f>J4*1.3</f>
        <v>29302000</v>
      </c>
      <c r="F4" s="43">
        <f t="shared" si="0"/>
        <v>1.3</v>
      </c>
      <c r="G4" s="43">
        <v>19600000</v>
      </c>
      <c r="H4" s="43"/>
      <c r="I4" s="43"/>
      <c r="J4" s="43">
        <f t="shared" si="1"/>
        <v>22540000</v>
      </c>
      <c r="K4" s="43">
        <f t="shared" si="2"/>
        <v>1.1499999999999999</v>
      </c>
      <c r="L4" s="43"/>
      <c r="M4" s="43"/>
      <c r="N4" s="43"/>
      <c r="O4" s="43"/>
      <c r="P4" s="43"/>
      <c r="Q4" s="43"/>
      <c r="R4" s="44"/>
    </row>
    <row r="5" spans="1:18" ht="25.5" customHeight="1">
      <c r="A5" s="46" t="s">
        <v>1788</v>
      </c>
      <c r="B5" s="97" t="s">
        <v>1789</v>
      </c>
      <c r="C5" s="60"/>
      <c r="D5" s="49"/>
      <c r="E5" s="49">
        <f t="shared" ref="E5:E21" si="3">J5*1.15</f>
        <v>4073299.9999999991</v>
      </c>
      <c r="F5" s="49">
        <f t="shared" si="0"/>
        <v>1.1499999999999999</v>
      </c>
      <c r="G5" s="49">
        <v>3080000</v>
      </c>
      <c r="H5" s="49"/>
      <c r="I5" s="49"/>
      <c r="J5" s="49">
        <f t="shared" si="1"/>
        <v>3541999.9999999995</v>
      </c>
      <c r="K5" s="49">
        <f t="shared" si="2"/>
        <v>1.1499999999999999</v>
      </c>
      <c r="L5" s="49"/>
      <c r="M5" s="49"/>
      <c r="N5" s="49"/>
      <c r="O5" s="49"/>
      <c r="P5" s="49"/>
      <c r="Q5" s="49"/>
      <c r="R5" s="50"/>
    </row>
    <row r="6" spans="1:18" ht="25.5" customHeight="1">
      <c r="A6" s="40" t="s">
        <v>1790</v>
      </c>
      <c r="B6" s="96" t="s">
        <v>1791</v>
      </c>
      <c r="C6" s="58"/>
      <c r="D6" s="43"/>
      <c r="E6" s="43">
        <f t="shared" si="3"/>
        <v>4786127.4999999991</v>
      </c>
      <c r="F6" s="43">
        <f t="shared" si="0"/>
        <v>1.1499999999999999</v>
      </c>
      <c r="G6" s="43">
        <v>3619000</v>
      </c>
      <c r="H6" s="43"/>
      <c r="I6" s="43"/>
      <c r="J6" s="43">
        <f t="shared" si="1"/>
        <v>4161849.9999999995</v>
      </c>
      <c r="K6" s="43">
        <f t="shared" si="2"/>
        <v>1.1499999999999999</v>
      </c>
      <c r="L6" s="43"/>
      <c r="M6" s="43"/>
      <c r="N6" s="43"/>
      <c r="O6" s="43"/>
      <c r="P6" s="43"/>
      <c r="Q6" s="43"/>
      <c r="R6" s="44"/>
    </row>
    <row r="7" spans="1:18" ht="25.5" customHeight="1">
      <c r="A7" s="46" t="s">
        <v>1792</v>
      </c>
      <c r="B7" s="97" t="s">
        <v>1793</v>
      </c>
      <c r="C7" s="60"/>
      <c r="D7" s="49"/>
      <c r="E7" s="49">
        <f t="shared" si="3"/>
        <v>5702620</v>
      </c>
      <c r="F7" s="49">
        <f t="shared" si="0"/>
        <v>1.1499999999999999</v>
      </c>
      <c r="G7" s="49">
        <v>4312000</v>
      </c>
      <c r="H7" s="49"/>
      <c r="I7" s="49"/>
      <c r="J7" s="49">
        <f t="shared" si="1"/>
        <v>4958800</v>
      </c>
      <c r="K7" s="49">
        <f t="shared" si="2"/>
        <v>1.1499999999999999</v>
      </c>
      <c r="L7" s="49"/>
      <c r="M7" s="49"/>
      <c r="N7" s="49"/>
      <c r="O7" s="49"/>
      <c r="P7" s="49"/>
      <c r="Q7" s="49"/>
      <c r="R7" s="50"/>
    </row>
    <row r="8" spans="1:18" ht="25.5" customHeight="1">
      <c r="A8" s="40" t="s">
        <v>1794</v>
      </c>
      <c r="B8" s="96" t="s">
        <v>1795</v>
      </c>
      <c r="C8" s="58"/>
      <c r="D8" s="43"/>
      <c r="E8" s="43">
        <f t="shared" si="3"/>
        <v>6517279.9999999991</v>
      </c>
      <c r="F8" s="43">
        <f t="shared" si="0"/>
        <v>1.1499999999999999</v>
      </c>
      <c r="G8" s="43">
        <v>4928000</v>
      </c>
      <c r="H8" s="43"/>
      <c r="I8" s="43"/>
      <c r="J8" s="43">
        <f t="shared" si="1"/>
        <v>5667200</v>
      </c>
      <c r="K8" s="43">
        <f t="shared" si="2"/>
        <v>1.1499999999999999</v>
      </c>
      <c r="L8" s="43"/>
      <c r="M8" s="43"/>
      <c r="N8" s="43"/>
      <c r="O8" s="43"/>
      <c r="P8" s="43"/>
      <c r="Q8" s="43"/>
      <c r="R8" s="44"/>
    </row>
    <row r="9" spans="1:18" ht="38.25" customHeight="1">
      <c r="A9" s="46" t="s">
        <v>1796</v>
      </c>
      <c r="B9" s="97" t="s">
        <v>1797</v>
      </c>
      <c r="C9" s="60"/>
      <c r="D9" s="49"/>
      <c r="E9" s="49">
        <f t="shared" si="3"/>
        <v>9164924.9999999981</v>
      </c>
      <c r="F9" s="49">
        <f t="shared" si="0"/>
        <v>1.1499999999999999</v>
      </c>
      <c r="G9" s="49">
        <v>6930000</v>
      </c>
      <c r="H9" s="49"/>
      <c r="I9" s="49"/>
      <c r="J9" s="49">
        <f t="shared" si="1"/>
        <v>7969499.9999999991</v>
      </c>
      <c r="K9" s="49">
        <f t="shared" si="2"/>
        <v>1.1499999999999999</v>
      </c>
      <c r="L9" s="49"/>
      <c r="M9" s="49"/>
      <c r="N9" s="49"/>
      <c r="O9" s="49"/>
      <c r="P9" s="49"/>
      <c r="Q9" s="49"/>
      <c r="R9" s="50"/>
    </row>
    <row r="10" spans="1:18" ht="38.25" customHeight="1">
      <c r="A10" s="40" t="s">
        <v>1798</v>
      </c>
      <c r="B10" s="96" t="s">
        <v>1799</v>
      </c>
      <c r="C10" s="58"/>
      <c r="D10" s="43"/>
      <c r="E10" s="43">
        <f t="shared" si="3"/>
        <v>9775920</v>
      </c>
      <c r="F10" s="43">
        <f t="shared" si="0"/>
        <v>1.1499999999999999</v>
      </c>
      <c r="G10" s="43">
        <v>7392000</v>
      </c>
      <c r="H10" s="43"/>
      <c r="I10" s="43"/>
      <c r="J10" s="43">
        <f t="shared" si="1"/>
        <v>8500800</v>
      </c>
      <c r="K10" s="43">
        <f t="shared" si="2"/>
        <v>1.1499999999999999</v>
      </c>
      <c r="L10" s="43"/>
      <c r="M10" s="43"/>
      <c r="N10" s="43"/>
      <c r="O10" s="43"/>
      <c r="P10" s="43"/>
      <c r="Q10" s="43"/>
      <c r="R10" s="44"/>
    </row>
    <row r="11" spans="1:18" ht="38.25" customHeight="1">
      <c r="A11" s="46" t="s">
        <v>1800</v>
      </c>
      <c r="B11" s="97" t="s">
        <v>1801</v>
      </c>
      <c r="C11" s="60"/>
      <c r="D11" s="49"/>
      <c r="E11" s="49">
        <f t="shared" si="3"/>
        <v>10386915</v>
      </c>
      <c r="F11" s="49">
        <f t="shared" si="0"/>
        <v>1.1499999999999999</v>
      </c>
      <c r="G11" s="49">
        <v>7854000</v>
      </c>
      <c r="H11" s="49"/>
      <c r="I11" s="49"/>
      <c r="J11" s="49">
        <f t="shared" si="1"/>
        <v>9032100</v>
      </c>
      <c r="K11" s="49">
        <f t="shared" si="2"/>
        <v>1.1499999999999999</v>
      </c>
      <c r="L11" s="49"/>
      <c r="M11" s="49"/>
      <c r="N11" s="49"/>
      <c r="O11" s="49"/>
      <c r="P11" s="49"/>
      <c r="Q11" s="49"/>
      <c r="R11" s="50"/>
    </row>
    <row r="12" spans="1:18" ht="38.25" customHeight="1">
      <c r="A12" s="40" t="s">
        <v>1802</v>
      </c>
      <c r="B12" s="96" t="s">
        <v>1803</v>
      </c>
      <c r="C12" s="58"/>
      <c r="D12" s="43"/>
      <c r="E12" s="43">
        <f t="shared" si="3"/>
        <v>11201575</v>
      </c>
      <c r="F12" s="43">
        <f t="shared" si="0"/>
        <v>1.1499999999999999</v>
      </c>
      <c r="G12" s="43">
        <v>8470000</v>
      </c>
      <c r="H12" s="43"/>
      <c r="I12" s="43"/>
      <c r="J12" s="43">
        <f t="shared" si="1"/>
        <v>9740500</v>
      </c>
      <c r="K12" s="43">
        <f t="shared" si="2"/>
        <v>1.1499999999999999</v>
      </c>
      <c r="L12" s="43"/>
      <c r="M12" s="43"/>
      <c r="N12" s="43"/>
      <c r="O12" s="43">
        <f>262/225</f>
        <v>1.1644444444444444</v>
      </c>
      <c r="P12" s="43"/>
      <c r="Q12" s="43"/>
      <c r="R12" s="44"/>
    </row>
    <row r="13" spans="1:18" ht="38.25" customHeight="1">
      <c r="A13" s="46" t="s">
        <v>1804</v>
      </c>
      <c r="B13" s="97" t="s">
        <v>1805</v>
      </c>
      <c r="C13" s="60"/>
      <c r="D13" s="49"/>
      <c r="E13" s="49">
        <f t="shared" si="3"/>
        <v>1745699.9999999995</v>
      </c>
      <c r="F13" s="49">
        <f t="shared" si="0"/>
        <v>1.1499999999999999</v>
      </c>
      <c r="G13" s="49">
        <v>1320000</v>
      </c>
      <c r="H13" s="49"/>
      <c r="I13" s="49"/>
      <c r="J13" s="49">
        <f t="shared" si="1"/>
        <v>1517999.9999999998</v>
      </c>
      <c r="K13" s="49">
        <f t="shared" si="2"/>
        <v>1.1499999999999999</v>
      </c>
      <c r="L13" s="49"/>
      <c r="M13" s="49"/>
      <c r="N13" s="49"/>
      <c r="O13" s="49"/>
      <c r="P13" s="49"/>
      <c r="Q13" s="49"/>
      <c r="R13" s="50"/>
    </row>
    <row r="14" spans="1:18" ht="38.25" customHeight="1">
      <c r="A14" s="40" t="s">
        <v>1806</v>
      </c>
      <c r="B14" s="96" t="s">
        <v>1807</v>
      </c>
      <c r="C14" s="58"/>
      <c r="D14" s="43"/>
      <c r="E14" s="43">
        <f t="shared" si="3"/>
        <v>2618550</v>
      </c>
      <c r="F14" s="43">
        <f t="shared" si="0"/>
        <v>1.1499999999999999</v>
      </c>
      <c r="G14" s="43">
        <v>1980000</v>
      </c>
      <c r="H14" s="43"/>
      <c r="I14" s="43"/>
      <c r="J14" s="43">
        <f t="shared" si="1"/>
        <v>2277000</v>
      </c>
      <c r="K14" s="43">
        <f t="shared" si="2"/>
        <v>1.1499999999999999</v>
      </c>
      <c r="L14" s="43"/>
      <c r="M14" s="43"/>
      <c r="N14" s="43"/>
      <c r="O14" s="43"/>
      <c r="P14" s="43"/>
      <c r="Q14" s="43"/>
      <c r="R14" s="44"/>
    </row>
    <row r="15" spans="1:18" ht="38.25" customHeight="1">
      <c r="A15" s="46" t="s">
        <v>1808</v>
      </c>
      <c r="B15" s="97" t="s">
        <v>1809</v>
      </c>
      <c r="C15" s="60"/>
      <c r="D15" s="49"/>
      <c r="E15" s="49">
        <f t="shared" si="3"/>
        <v>3702999.9999999991</v>
      </c>
      <c r="F15" s="49">
        <f t="shared" si="0"/>
        <v>1.1499999999999999</v>
      </c>
      <c r="G15" s="49">
        <v>2800000</v>
      </c>
      <c r="H15" s="49"/>
      <c r="I15" s="49"/>
      <c r="J15" s="49">
        <f t="shared" si="1"/>
        <v>3219999.9999999995</v>
      </c>
      <c r="K15" s="49">
        <f t="shared" si="2"/>
        <v>1.1499999999999999</v>
      </c>
      <c r="L15" s="49"/>
      <c r="M15" s="49"/>
      <c r="N15" s="49"/>
      <c r="O15" s="49"/>
      <c r="P15" s="49"/>
      <c r="Q15" s="49"/>
      <c r="R15" s="50">
        <f>140/126-1</f>
        <v>0.11111111111111116</v>
      </c>
    </row>
    <row r="16" spans="1:18" ht="38.25" customHeight="1">
      <c r="A16" s="40" t="s">
        <v>1810</v>
      </c>
      <c r="B16" s="96" t="s">
        <v>1811</v>
      </c>
      <c r="C16" s="58"/>
      <c r="D16" s="43"/>
      <c r="E16" s="43">
        <f t="shared" si="3"/>
        <v>1163799.9999999998</v>
      </c>
      <c r="F16" s="43">
        <f t="shared" si="0"/>
        <v>1.1499999999999999</v>
      </c>
      <c r="G16" s="43">
        <v>880000</v>
      </c>
      <c r="H16" s="43"/>
      <c r="I16" s="43"/>
      <c r="J16" s="43">
        <f t="shared" si="1"/>
        <v>1011999.9999999999</v>
      </c>
      <c r="K16" s="43">
        <f t="shared" si="2"/>
        <v>1.1499999999999999</v>
      </c>
      <c r="L16" s="43"/>
      <c r="M16" s="43"/>
      <c r="N16" s="43"/>
      <c r="O16" s="43"/>
      <c r="P16" s="43"/>
      <c r="Q16" s="43"/>
      <c r="R16" s="44"/>
    </row>
    <row r="17" spans="1:18" ht="38.25" customHeight="1">
      <c r="A17" s="46" t="s">
        <v>1812</v>
      </c>
      <c r="B17" s="97" t="s">
        <v>1813</v>
      </c>
      <c r="C17" s="60"/>
      <c r="D17" s="49"/>
      <c r="E17" s="49">
        <f t="shared" si="3"/>
        <v>1454750</v>
      </c>
      <c r="F17" s="49">
        <f t="shared" si="0"/>
        <v>1.1499999999999999</v>
      </c>
      <c r="G17" s="49">
        <v>1100000</v>
      </c>
      <c r="H17" s="49"/>
      <c r="I17" s="49"/>
      <c r="J17" s="49">
        <f t="shared" si="1"/>
        <v>1265000</v>
      </c>
      <c r="K17" s="49">
        <f t="shared" si="2"/>
        <v>1.1499999999999999</v>
      </c>
      <c r="L17" s="49"/>
      <c r="M17" s="49"/>
      <c r="N17" s="49"/>
      <c r="O17" s="49"/>
      <c r="P17" s="49"/>
      <c r="Q17" s="49"/>
      <c r="R17" s="50"/>
    </row>
    <row r="18" spans="1:18" ht="38.25" customHeight="1">
      <c r="A18" s="40" t="s">
        <v>1814</v>
      </c>
      <c r="B18" s="96" t="s">
        <v>1815</v>
      </c>
      <c r="C18" s="58"/>
      <c r="D18" s="43"/>
      <c r="E18" s="43">
        <f t="shared" si="3"/>
        <v>1745699.9999999995</v>
      </c>
      <c r="F18" s="43">
        <f t="shared" si="0"/>
        <v>1.1499999999999999</v>
      </c>
      <c r="G18" s="43">
        <v>1320000</v>
      </c>
      <c r="H18" s="43"/>
      <c r="I18" s="43"/>
      <c r="J18" s="43">
        <f t="shared" si="1"/>
        <v>1517999.9999999998</v>
      </c>
      <c r="K18" s="43">
        <f t="shared" si="2"/>
        <v>1.1499999999999999</v>
      </c>
      <c r="L18" s="43"/>
      <c r="M18" s="43"/>
      <c r="N18" s="43"/>
      <c r="O18" s="43"/>
      <c r="P18" s="43"/>
      <c r="Q18" s="43"/>
      <c r="R18" s="44"/>
    </row>
    <row r="19" spans="1:18" ht="38.25" customHeight="1">
      <c r="A19" s="46" t="s">
        <v>1816</v>
      </c>
      <c r="B19" s="97" t="s">
        <v>1817</v>
      </c>
      <c r="C19" s="60"/>
      <c r="D19" s="49"/>
      <c r="E19" s="49">
        <f t="shared" si="3"/>
        <v>2182124.9999999995</v>
      </c>
      <c r="F19" s="49">
        <f t="shared" si="0"/>
        <v>1.1499999999999999</v>
      </c>
      <c r="G19" s="49">
        <v>1650000</v>
      </c>
      <c r="H19" s="49"/>
      <c r="I19" s="49"/>
      <c r="J19" s="49">
        <f t="shared" si="1"/>
        <v>1897499.9999999998</v>
      </c>
      <c r="K19" s="49">
        <f t="shared" si="2"/>
        <v>1.1499999999999999</v>
      </c>
      <c r="L19" s="49"/>
      <c r="M19" s="49"/>
      <c r="N19" s="49"/>
      <c r="O19" s="49"/>
      <c r="P19" s="49"/>
      <c r="Q19" s="49"/>
      <c r="R19" s="50"/>
    </row>
    <row r="20" spans="1:18" ht="38.25" customHeight="1">
      <c r="A20" s="40" t="s">
        <v>1818</v>
      </c>
      <c r="B20" s="41" t="s">
        <v>1819</v>
      </c>
      <c r="C20" s="42"/>
      <c r="D20" s="43"/>
      <c r="E20" s="43">
        <f t="shared" si="3"/>
        <v>12219899.999999998</v>
      </c>
      <c r="F20" s="43">
        <f t="shared" si="0"/>
        <v>1.1499999999999999</v>
      </c>
      <c r="G20" s="43">
        <v>9240000</v>
      </c>
      <c r="H20" s="43"/>
      <c r="I20" s="43"/>
      <c r="J20" s="43">
        <f t="shared" si="1"/>
        <v>10626000</v>
      </c>
      <c r="K20" s="43">
        <f t="shared" si="2"/>
        <v>1.1499999999999999</v>
      </c>
      <c r="L20" s="43"/>
      <c r="M20" s="43"/>
      <c r="N20" s="43"/>
      <c r="O20" s="43"/>
      <c r="P20" s="43"/>
      <c r="Q20" s="43"/>
      <c r="R20" s="44"/>
    </row>
    <row r="21" spans="1:18" ht="38.25" customHeight="1">
      <c r="A21" s="46" t="s">
        <v>1820</v>
      </c>
      <c r="B21" s="47" t="s">
        <v>1821</v>
      </c>
      <c r="C21" s="48"/>
      <c r="D21" s="49"/>
      <c r="E21" s="49">
        <f t="shared" si="3"/>
        <v>14663879.999999996</v>
      </c>
      <c r="F21" s="49">
        <f t="shared" si="0"/>
        <v>1.1499999999999999</v>
      </c>
      <c r="G21" s="49">
        <v>11088000</v>
      </c>
      <c r="H21" s="49"/>
      <c r="I21" s="49"/>
      <c r="J21" s="49">
        <f t="shared" si="1"/>
        <v>12751199.999999998</v>
      </c>
      <c r="K21" s="49">
        <f t="shared" si="2"/>
        <v>1.1499999999999999</v>
      </c>
      <c r="L21" s="49"/>
      <c r="M21" s="49"/>
      <c r="N21" s="49"/>
      <c r="O21" s="49"/>
      <c r="P21" s="49"/>
      <c r="Q21" s="49"/>
      <c r="R21" s="50"/>
    </row>
    <row r="22" spans="1:18" ht="76.5" customHeight="1">
      <c r="A22" s="40" t="s">
        <v>1822</v>
      </c>
      <c r="B22" s="96" t="s">
        <v>1823</v>
      </c>
      <c r="C22" s="58"/>
      <c r="D22" s="43"/>
      <c r="E22" s="43">
        <f>J22*1.35</f>
        <v>20083140</v>
      </c>
      <c r="F22" s="43">
        <f t="shared" si="0"/>
        <v>1.35</v>
      </c>
      <c r="G22" s="43">
        <v>12936000</v>
      </c>
      <c r="H22" s="43"/>
      <c r="I22" s="43"/>
      <c r="J22" s="43">
        <f t="shared" si="1"/>
        <v>14876399.999999998</v>
      </c>
      <c r="K22" s="43">
        <f t="shared" si="2"/>
        <v>1.1499999999999999</v>
      </c>
      <c r="L22" s="43">
        <v>140</v>
      </c>
      <c r="M22" s="43">
        <v>155</v>
      </c>
      <c r="N22" s="43">
        <f>M22/L22</f>
        <v>1.1071428571428572</v>
      </c>
      <c r="O22" s="43">
        <f>N22*1.31</f>
        <v>1.4503571428571429</v>
      </c>
      <c r="P22" s="43"/>
      <c r="Q22" s="43"/>
      <c r="R22" s="44"/>
    </row>
    <row r="23" spans="1:18" ht="76.5" customHeight="1">
      <c r="A23" s="46" t="s">
        <v>1824</v>
      </c>
      <c r="B23" s="97" t="s">
        <v>1825</v>
      </c>
      <c r="C23" s="60"/>
      <c r="D23" s="49"/>
      <c r="E23" s="49">
        <f>J23*1.35</f>
        <v>30124710.000000004</v>
      </c>
      <c r="F23" s="49">
        <f t="shared" si="0"/>
        <v>1.35</v>
      </c>
      <c r="G23" s="49">
        <v>19404000</v>
      </c>
      <c r="H23" s="49"/>
      <c r="I23" s="49"/>
      <c r="J23" s="49">
        <f t="shared" si="1"/>
        <v>22314600</v>
      </c>
      <c r="K23" s="49">
        <f t="shared" si="2"/>
        <v>1.1499999999999999</v>
      </c>
      <c r="L23" s="49"/>
      <c r="M23" s="49"/>
      <c r="N23" s="49"/>
      <c r="O23" s="49"/>
      <c r="P23" s="49"/>
      <c r="Q23" s="49"/>
      <c r="R23" s="50"/>
    </row>
    <row r="24" spans="1:18" ht="76.5" customHeight="1">
      <c r="A24" s="40" t="s">
        <v>1826</v>
      </c>
      <c r="B24" s="96" t="s">
        <v>1827</v>
      </c>
      <c r="C24" s="58"/>
      <c r="D24" s="43"/>
      <c r="E24" s="43">
        <f>J24*1.35</f>
        <v>40166280</v>
      </c>
      <c r="F24" s="43">
        <f t="shared" si="0"/>
        <v>1.35</v>
      </c>
      <c r="G24" s="43">
        <v>25872000</v>
      </c>
      <c r="H24" s="43"/>
      <c r="I24" s="43"/>
      <c r="J24" s="43">
        <f t="shared" si="1"/>
        <v>29752799.999999996</v>
      </c>
      <c r="K24" s="43">
        <f t="shared" si="2"/>
        <v>1.1499999999999999</v>
      </c>
      <c r="L24" s="43"/>
      <c r="M24" s="43"/>
      <c r="N24" s="43"/>
      <c r="O24" s="43"/>
      <c r="P24" s="43"/>
      <c r="Q24" s="43"/>
      <c r="R24" s="44"/>
    </row>
    <row r="25" spans="1:18" ht="76.5" customHeight="1">
      <c r="A25" s="46" t="s">
        <v>1828</v>
      </c>
      <c r="B25" s="97" t="s">
        <v>1829</v>
      </c>
      <c r="C25" s="60"/>
      <c r="D25" s="49"/>
      <c r="E25" s="49">
        <f>J25*1.35</f>
        <v>60249420.000000007</v>
      </c>
      <c r="F25" s="49">
        <f t="shared" si="0"/>
        <v>1.35</v>
      </c>
      <c r="G25" s="49">
        <v>38808000</v>
      </c>
      <c r="H25" s="49"/>
      <c r="I25" s="49"/>
      <c r="J25" s="49">
        <f t="shared" si="1"/>
        <v>44629200</v>
      </c>
      <c r="K25" s="49">
        <f t="shared" si="2"/>
        <v>1.1499999999999999</v>
      </c>
      <c r="L25" s="49"/>
      <c r="M25" s="49"/>
      <c r="N25" s="49"/>
      <c r="O25" s="49"/>
      <c r="P25" s="49"/>
      <c r="Q25" s="49"/>
      <c r="R25" s="50"/>
    </row>
    <row r="26" spans="1:18" ht="76.5" customHeight="1">
      <c r="A26" s="40" t="s">
        <v>1830</v>
      </c>
      <c r="B26" s="96" t="s">
        <v>1831</v>
      </c>
      <c r="C26" s="58"/>
      <c r="D26" s="43"/>
      <c r="E26" s="43">
        <f>J26*1.35</f>
        <v>80332560</v>
      </c>
      <c r="F26" s="43">
        <f t="shared" si="0"/>
        <v>1.35</v>
      </c>
      <c r="G26" s="43">
        <v>51744000</v>
      </c>
      <c r="H26" s="43"/>
      <c r="I26" s="43"/>
      <c r="J26" s="43">
        <f t="shared" si="1"/>
        <v>59505599.999999993</v>
      </c>
      <c r="K26" s="43">
        <f t="shared" si="2"/>
        <v>1.1499999999999999</v>
      </c>
      <c r="L26" s="43"/>
      <c r="M26" s="43"/>
      <c r="N26" s="43"/>
      <c r="O26" s="43"/>
      <c r="P26" s="43"/>
      <c r="Q26" s="43"/>
      <c r="R26" s="44"/>
    </row>
    <row r="27" spans="1:18" ht="51" customHeight="1">
      <c r="A27" s="46" t="s">
        <v>1832</v>
      </c>
      <c r="B27" s="97" t="s">
        <v>1833</v>
      </c>
      <c r="C27" s="60"/>
      <c r="D27" s="49"/>
      <c r="E27" s="49">
        <f t="shared" ref="E27:E38" si="4">J27*1.15</f>
        <v>305497.5</v>
      </c>
      <c r="F27" s="49">
        <f t="shared" si="0"/>
        <v>1.1499999999999999</v>
      </c>
      <c r="G27" s="49">
        <v>231000</v>
      </c>
      <c r="H27" s="49"/>
      <c r="I27" s="49"/>
      <c r="J27" s="49">
        <f t="shared" si="1"/>
        <v>265650</v>
      </c>
      <c r="K27" s="49">
        <f t="shared" si="2"/>
        <v>1.1499999999999999</v>
      </c>
      <c r="L27" s="49"/>
      <c r="M27" s="49"/>
      <c r="N27" s="49"/>
      <c r="O27" s="49"/>
      <c r="P27" s="49"/>
      <c r="Q27" s="49"/>
      <c r="R27" s="50"/>
    </row>
    <row r="28" spans="1:18" ht="38.25" customHeight="1">
      <c r="A28" s="40" t="s">
        <v>1834</v>
      </c>
      <c r="B28" s="96" t="s">
        <v>1835</v>
      </c>
      <c r="C28" s="58"/>
      <c r="D28" s="43"/>
      <c r="E28" s="43">
        <f t="shared" si="4"/>
        <v>274947.74999999994</v>
      </c>
      <c r="F28" s="43">
        <f t="shared" si="0"/>
        <v>1.1499999999999999</v>
      </c>
      <c r="G28" s="43">
        <v>207900</v>
      </c>
      <c r="H28" s="43"/>
      <c r="I28" s="43"/>
      <c r="J28" s="43">
        <f t="shared" si="1"/>
        <v>239084.99999999997</v>
      </c>
      <c r="K28" s="43">
        <f t="shared" si="2"/>
        <v>1.1499999999999999</v>
      </c>
      <c r="L28" s="43"/>
      <c r="M28" s="43"/>
      <c r="N28" s="43"/>
      <c r="O28" s="43"/>
      <c r="P28" s="43"/>
      <c r="Q28" s="43"/>
      <c r="R28" s="44"/>
    </row>
    <row r="29" spans="1:18" ht="51" customHeight="1">
      <c r="A29" s="46" t="s">
        <v>1836</v>
      </c>
      <c r="B29" s="97" t="s">
        <v>1837</v>
      </c>
      <c r="C29" s="60"/>
      <c r="D29" s="49"/>
      <c r="E29" s="49">
        <f t="shared" si="4"/>
        <v>254581.24999999994</v>
      </c>
      <c r="F29" s="49">
        <f t="shared" si="0"/>
        <v>1.1499999999999999</v>
      </c>
      <c r="G29" s="49">
        <v>192500</v>
      </c>
      <c r="H29" s="49"/>
      <c r="I29" s="49"/>
      <c r="J29" s="49">
        <f t="shared" si="1"/>
        <v>221374.99999999997</v>
      </c>
      <c r="K29" s="49">
        <f t="shared" si="2"/>
        <v>1.1499999999999999</v>
      </c>
      <c r="L29" s="49"/>
      <c r="M29" s="49"/>
      <c r="N29" s="49"/>
      <c r="O29" s="49"/>
      <c r="P29" s="49"/>
      <c r="Q29" s="49"/>
      <c r="R29" s="50"/>
    </row>
    <row r="30" spans="1:18" ht="51" customHeight="1">
      <c r="A30" s="40" t="s">
        <v>1838</v>
      </c>
      <c r="B30" s="96" t="s">
        <v>1839</v>
      </c>
      <c r="C30" s="58"/>
      <c r="D30" s="43"/>
      <c r="E30" s="43">
        <f t="shared" si="4"/>
        <v>254581.24999999994</v>
      </c>
      <c r="F30" s="43">
        <f t="shared" si="0"/>
        <v>1.1499999999999999</v>
      </c>
      <c r="G30" s="43">
        <v>192500</v>
      </c>
      <c r="H30" s="43"/>
      <c r="I30" s="43"/>
      <c r="J30" s="43">
        <f t="shared" si="1"/>
        <v>221374.99999999997</v>
      </c>
      <c r="K30" s="43">
        <f t="shared" si="2"/>
        <v>1.1499999999999999</v>
      </c>
      <c r="L30" s="43"/>
      <c r="M30" s="43"/>
      <c r="N30" s="43"/>
      <c r="O30" s="43"/>
      <c r="P30" s="43"/>
      <c r="Q30" s="43"/>
      <c r="R30" s="44"/>
    </row>
    <row r="31" spans="1:18" ht="51" customHeight="1">
      <c r="A31" s="46" t="s">
        <v>1840</v>
      </c>
      <c r="B31" s="97" t="s">
        <v>1841</v>
      </c>
      <c r="C31" s="60"/>
      <c r="D31" s="49"/>
      <c r="E31" s="49">
        <f t="shared" si="4"/>
        <v>264764.49999999994</v>
      </c>
      <c r="F31" s="49">
        <f t="shared" si="0"/>
        <v>1.1499999999999999</v>
      </c>
      <c r="G31" s="49">
        <v>200200</v>
      </c>
      <c r="H31" s="49"/>
      <c r="I31" s="49"/>
      <c r="J31" s="49">
        <f t="shared" si="1"/>
        <v>230229.99999999997</v>
      </c>
      <c r="K31" s="49">
        <f t="shared" si="2"/>
        <v>1.1499999999999999</v>
      </c>
      <c r="L31" s="49"/>
      <c r="M31" s="49"/>
      <c r="N31" s="49"/>
      <c r="O31" s="49"/>
      <c r="P31" s="49"/>
      <c r="Q31" s="49"/>
      <c r="R31" s="50"/>
    </row>
    <row r="32" spans="1:18" ht="51" customHeight="1">
      <c r="A32" s="40" t="s">
        <v>1842</v>
      </c>
      <c r="B32" s="96" t="s">
        <v>1843</v>
      </c>
      <c r="C32" s="58"/>
      <c r="D32" s="43"/>
      <c r="E32" s="43">
        <f t="shared" si="4"/>
        <v>254581.24999999994</v>
      </c>
      <c r="F32" s="43">
        <f t="shared" si="0"/>
        <v>1.1499999999999999</v>
      </c>
      <c r="G32" s="43">
        <v>192500</v>
      </c>
      <c r="H32" s="43"/>
      <c r="I32" s="43"/>
      <c r="J32" s="43">
        <f t="shared" si="1"/>
        <v>221374.99999999997</v>
      </c>
      <c r="K32" s="43">
        <f t="shared" si="2"/>
        <v>1.1499999999999999</v>
      </c>
      <c r="L32" s="43"/>
      <c r="M32" s="43"/>
      <c r="N32" s="43"/>
      <c r="O32" s="43"/>
      <c r="P32" s="43"/>
      <c r="Q32" s="43"/>
      <c r="R32" s="44"/>
    </row>
    <row r="33" spans="1:18" ht="51" customHeight="1">
      <c r="A33" s="46" t="s">
        <v>1844</v>
      </c>
      <c r="B33" s="97" t="s">
        <v>1845</v>
      </c>
      <c r="C33" s="60"/>
      <c r="D33" s="49"/>
      <c r="E33" s="49">
        <f t="shared" si="4"/>
        <v>305497.5</v>
      </c>
      <c r="F33" s="49">
        <f t="shared" si="0"/>
        <v>1.1499999999999999</v>
      </c>
      <c r="G33" s="49">
        <v>231000</v>
      </c>
      <c r="H33" s="49"/>
      <c r="I33" s="49"/>
      <c r="J33" s="49">
        <f t="shared" si="1"/>
        <v>265650</v>
      </c>
      <c r="K33" s="49">
        <f t="shared" si="2"/>
        <v>1.1499999999999999</v>
      </c>
      <c r="L33" s="49"/>
      <c r="M33" s="49"/>
      <c r="N33" s="49"/>
      <c r="O33" s="49"/>
      <c r="P33" s="49"/>
      <c r="Q33" s="49"/>
      <c r="R33" s="50"/>
    </row>
    <row r="34" spans="1:18" ht="51" customHeight="1">
      <c r="A34" s="40" t="s">
        <v>1846</v>
      </c>
      <c r="B34" s="96" t="s">
        <v>1847</v>
      </c>
      <c r="C34" s="58"/>
      <c r="D34" s="43"/>
      <c r="E34" s="43">
        <f t="shared" si="4"/>
        <v>305497.5</v>
      </c>
      <c r="F34" s="43">
        <f t="shared" si="0"/>
        <v>1.1499999999999999</v>
      </c>
      <c r="G34" s="43">
        <v>231000</v>
      </c>
      <c r="H34" s="43"/>
      <c r="I34" s="43"/>
      <c r="J34" s="43">
        <f t="shared" si="1"/>
        <v>265650</v>
      </c>
      <c r="K34" s="43">
        <f t="shared" si="2"/>
        <v>1.1499999999999999</v>
      </c>
      <c r="L34" s="43"/>
      <c r="M34" s="43"/>
      <c r="N34" s="43"/>
      <c r="O34" s="43"/>
      <c r="P34" s="43"/>
      <c r="Q34" s="43"/>
      <c r="R34" s="44"/>
    </row>
    <row r="35" spans="1:18" ht="51" customHeight="1">
      <c r="A35" s="46" t="s">
        <v>1848</v>
      </c>
      <c r="B35" s="97" t="s">
        <v>1849</v>
      </c>
      <c r="C35" s="60"/>
      <c r="D35" s="49"/>
      <c r="E35" s="49">
        <f t="shared" si="4"/>
        <v>305497.5</v>
      </c>
      <c r="F35" s="49">
        <f t="shared" si="0"/>
        <v>1.1499999999999999</v>
      </c>
      <c r="G35" s="49">
        <v>231000</v>
      </c>
      <c r="H35" s="49"/>
      <c r="I35" s="49"/>
      <c r="J35" s="49">
        <f t="shared" si="1"/>
        <v>265650</v>
      </c>
      <c r="K35" s="49">
        <f t="shared" si="2"/>
        <v>1.1499999999999999</v>
      </c>
      <c r="L35" s="49"/>
      <c r="M35" s="49"/>
      <c r="N35" s="49"/>
      <c r="O35" s="49"/>
      <c r="P35" s="49"/>
      <c r="Q35" s="49"/>
      <c r="R35" s="50"/>
    </row>
    <row r="36" spans="1:18" ht="51" customHeight="1">
      <c r="A36" s="40" t="s">
        <v>1850</v>
      </c>
      <c r="B36" s="96" t="s">
        <v>1851</v>
      </c>
      <c r="C36" s="58"/>
      <c r="D36" s="43"/>
      <c r="E36" s="43">
        <f t="shared" si="4"/>
        <v>264764.49999999994</v>
      </c>
      <c r="F36" s="43">
        <f t="shared" si="0"/>
        <v>1.1499999999999999</v>
      </c>
      <c r="G36" s="43">
        <v>200200</v>
      </c>
      <c r="H36" s="43"/>
      <c r="I36" s="43"/>
      <c r="J36" s="43">
        <f t="shared" si="1"/>
        <v>230229.99999999997</v>
      </c>
      <c r="K36" s="43">
        <f t="shared" si="2"/>
        <v>1.1499999999999999</v>
      </c>
      <c r="L36" s="43"/>
      <c r="M36" s="43"/>
      <c r="N36" s="43"/>
      <c r="O36" s="43"/>
      <c r="P36" s="43"/>
      <c r="Q36" s="43"/>
      <c r="R36" s="44"/>
    </row>
    <row r="37" spans="1:18" ht="51" customHeight="1">
      <c r="A37" s="46" t="s">
        <v>1852</v>
      </c>
      <c r="B37" s="97" t="s">
        <v>1853</v>
      </c>
      <c r="C37" s="60"/>
      <c r="D37" s="49"/>
      <c r="E37" s="49">
        <f t="shared" si="4"/>
        <v>264764.49999999994</v>
      </c>
      <c r="F37" s="49">
        <f t="shared" si="0"/>
        <v>1.1499999999999999</v>
      </c>
      <c r="G37" s="49">
        <v>200200</v>
      </c>
      <c r="H37" s="49"/>
      <c r="I37" s="49"/>
      <c r="J37" s="49">
        <f t="shared" si="1"/>
        <v>230229.99999999997</v>
      </c>
      <c r="K37" s="49">
        <f t="shared" si="2"/>
        <v>1.1499999999999999</v>
      </c>
      <c r="L37" s="49"/>
      <c r="M37" s="49"/>
      <c r="N37" s="49"/>
      <c r="O37" s="49"/>
      <c r="P37" s="49"/>
      <c r="Q37" s="49"/>
      <c r="R37" s="50"/>
    </row>
    <row r="38" spans="1:18" ht="38.25" customHeight="1">
      <c r="A38" s="40" t="s">
        <v>1854</v>
      </c>
      <c r="B38" s="96" t="s">
        <v>1855</v>
      </c>
      <c r="C38" s="58"/>
      <c r="D38" s="43"/>
      <c r="E38" s="43">
        <f t="shared" si="4"/>
        <v>133572499.99999997</v>
      </c>
      <c r="F38" s="43">
        <f t="shared" si="0"/>
        <v>1.1499999999999999</v>
      </c>
      <c r="G38" s="43">
        <v>101000000</v>
      </c>
      <c r="H38" s="43"/>
      <c r="I38" s="43"/>
      <c r="J38" s="43">
        <f t="shared" si="1"/>
        <v>116149999.99999999</v>
      </c>
      <c r="K38" s="43">
        <f t="shared" si="2"/>
        <v>1.1499999999999999</v>
      </c>
      <c r="L38" s="43"/>
      <c r="M38" s="43"/>
      <c r="N38" s="43"/>
      <c r="O38" s="43"/>
      <c r="P38" s="43"/>
      <c r="Q38" s="43"/>
      <c r="R38" s="44"/>
    </row>
    <row r="39" spans="1:18" ht="13.9" customHeight="1">
      <c r="A39" s="84"/>
      <c r="B39" s="77"/>
      <c r="C39" s="78"/>
      <c r="D39" s="64"/>
      <c r="E39" s="64"/>
      <c r="F39" s="64"/>
      <c r="G39" s="64"/>
      <c r="H39" s="64"/>
      <c r="I39" s="64"/>
      <c r="J39" s="64"/>
      <c r="K39" s="64"/>
      <c r="L39" s="64"/>
      <c r="M39" s="64"/>
      <c r="N39" s="64"/>
      <c r="O39" s="64"/>
      <c r="P39" s="64"/>
      <c r="Q39" s="64"/>
      <c r="R39" s="65"/>
    </row>
  </sheetData>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theme="9" tint="-0.249977111117893"/>
  </sheetPr>
  <dimension ref="A1:P29"/>
  <sheetViews>
    <sheetView rightToLeft="1" workbookViewId="0">
      <pane ySplit="2" topLeftCell="A3" activePane="bottomLeft" state="frozen"/>
      <selection pane="bottomLeft"/>
    </sheetView>
  </sheetViews>
  <sheetFormatPr defaultRowHeight="13.5"/>
  <cols>
    <col min="1" max="1" width="14.1875" customWidth="1"/>
    <col min="2" max="2" width="46.6875" customWidth="1"/>
    <col min="3" max="3" width="10.8125" customWidth="1"/>
    <col min="4" max="4" width="18.3125" customWidth="1"/>
    <col min="6" max="7" width="18.3125" customWidth="1"/>
    <col min="10" max="11" width="18.3125" customWidth="1"/>
  </cols>
  <sheetData>
    <row r="1" spans="1:16" ht="32" customHeight="1">
      <c r="A1" s="27"/>
      <c r="B1" s="28"/>
      <c r="C1" s="28"/>
      <c r="D1" s="28"/>
      <c r="E1" s="28"/>
      <c r="F1" s="28"/>
      <c r="G1" s="28"/>
      <c r="H1" s="28"/>
      <c r="I1" s="28" t="s">
        <v>1213</v>
      </c>
      <c r="J1" s="28"/>
      <c r="K1" s="28"/>
      <c r="L1" s="28"/>
      <c r="M1" s="28"/>
      <c r="N1" s="28"/>
      <c r="O1" s="28"/>
      <c r="P1" s="72"/>
    </row>
    <row r="2" spans="1:16" ht="28.05" customHeight="1">
      <c r="A2" s="73" t="s">
        <v>868</v>
      </c>
      <c r="B2" s="31" t="s">
        <v>869</v>
      </c>
      <c r="C2" s="31" t="s">
        <v>1856</v>
      </c>
      <c r="D2" s="31" t="s">
        <v>871</v>
      </c>
      <c r="E2" s="31" t="s">
        <v>872</v>
      </c>
      <c r="F2" s="31" t="s">
        <v>873</v>
      </c>
      <c r="G2" s="31" t="s">
        <v>1318</v>
      </c>
      <c r="H2" s="31" t="s">
        <v>1606</v>
      </c>
      <c r="I2" s="31" t="s">
        <v>875</v>
      </c>
      <c r="J2" s="31" t="s">
        <v>1318</v>
      </c>
      <c r="K2" s="31" t="s">
        <v>876</v>
      </c>
      <c r="L2" s="31" t="s">
        <v>877</v>
      </c>
      <c r="M2" s="31" t="s">
        <v>1318</v>
      </c>
      <c r="N2" s="31" t="s">
        <v>1857</v>
      </c>
      <c r="O2" s="31" t="s">
        <v>878</v>
      </c>
      <c r="P2" s="74"/>
    </row>
    <row r="3" spans="1:16" ht="51" customHeight="1">
      <c r="A3" s="34" t="s">
        <v>1858</v>
      </c>
      <c r="B3" s="35" t="s">
        <v>1859</v>
      </c>
      <c r="C3" s="100" t="s">
        <v>881</v>
      </c>
      <c r="D3" s="37">
        <v>3270960000</v>
      </c>
      <c r="E3" s="37">
        <v>3948000000</v>
      </c>
      <c r="F3" s="37">
        <v>4342800000</v>
      </c>
      <c r="G3" s="37">
        <f>F3/D3</f>
        <v>1.3276836158192091</v>
      </c>
      <c r="H3" s="37">
        <v>1815000000</v>
      </c>
      <c r="I3" s="37">
        <v>2360000000</v>
      </c>
      <c r="J3" s="37">
        <f>I3/H3-1</f>
        <v>0.30027548209366395</v>
      </c>
      <c r="K3" s="37">
        <v>2862090000</v>
      </c>
      <c r="L3" s="37">
        <v>3270960000</v>
      </c>
      <c r="M3" s="37">
        <f>L3/I3-1</f>
        <v>0.3859999999999999</v>
      </c>
      <c r="N3" s="37">
        <f t="shared" ref="N3:N16" si="0">H3*1.38</f>
        <v>2504700000</v>
      </c>
      <c r="O3" s="37">
        <f t="shared" ref="O3:O29" si="1">N3/H3-1</f>
        <v>0.37999999999999989</v>
      </c>
      <c r="P3" s="38"/>
    </row>
    <row r="4" spans="1:16" ht="51" customHeight="1">
      <c r="A4" s="40" t="s">
        <v>1860</v>
      </c>
      <c r="B4" s="41" t="s">
        <v>1861</v>
      </c>
      <c r="C4" s="58" t="s">
        <v>881</v>
      </c>
      <c r="D4" s="43">
        <v>4338180000</v>
      </c>
      <c r="E4" s="43">
        <v>5229000000</v>
      </c>
      <c r="F4" s="43">
        <v>5751900000</v>
      </c>
      <c r="G4" s="43">
        <f>F4/D4</f>
        <v>1.3258785942492013</v>
      </c>
      <c r="H4" s="43">
        <v>2420000000</v>
      </c>
      <c r="I4" s="43">
        <v>3130000000</v>
      </c>
      <c r="J4" s="43">
        <f>I4/H4-1</f>
        <v>0.29338842975206614</v>
      </c>
      <c r="K4" s="43">
        <v>3795907500</v>
      </c>
      <c r="L4" s="43">
        <v>4338180000</v>
      </c>
      <c r="M4" s="43">
        <f>L4/I4-1</f>
        <v>0.3859999999999999</v>
      </c>
      <c r="N4" s="43">
        <f t="shared" si="0"/>
        <v>3339599999.9999995</v>
      </c>
      <c r="O4" s="43">
        <f t="shared" si="1"/>
        <v>0.37999999999999989</v>
      </c>
      <c r="P4" s="44"/>
    </row>
    <row r="5" spans="1:16" ht="51" customHeight="1">
      <c r="A5" s="46" t="s">
        <v>1862</v>
      </c>
      <c r="B5" s="47" t="s">
        <v>1863</v>
      </c>
      <c r="C5" s="60" t="s">
        <v>881</v>
      </c>
      <c r="D5" s="49">
        <v>5336100000.000001</v>
      </c>
      <c r="E5" s="49">
        <v>6447000000</v>
      </c>
      <c r="F5" s="49">
        <v>7091700000.000001</v>
      </c>
      <c r="G5" s="49">
        <f>F5/D5</f>
        <v>1.329004329004329</v>
      </c>
      <c r="H5" s="49">
        <v>2904000000</v>
      </c>
      <c r="I5" s="49">
        <v>3850000000</v>
      </c>
      <c r="J5" s="49">
        <f>I5/H5-1</f>
        <v>0.32575757575757569</v>
      </c>
      <c r="K5" s="49">
        <v>4669087500</v>
      </c>
      <c r="L5" s="49">
        <v>5336100000</v>
      </c>
      <c r="M5" s="49">
        <f>L5/I5-1</f>
        <v>0.3859999999999999</v>
      </c>
      <c r="N5" s="49">
        <f t="shared" si="0"/>
        <v>4007519999.9999995</v>
      </c>
      <c r="O5" s="49">
        <f t="shared" si="1"/>
        <v>0.37999999999999989</v>
      </c>
      <c r="P5" s="50"/>
    </row>
    <row r="6" spans="1:16" ht="51" customHeight="1">
      <c r="A6" s="40" t="s">
        <v>1864</v>
      </c>
      <c r="B6" s="41" t="s">
        <v>1865</v>
      </c>
      <c r="C6" s="58" t="s">
        <v>881</v>
      </c>
      <c r="D6" s="43">
        <v>6860700000</v>
      </c>
      <c r="E6" s="43">
        <v>8295000000</v>
      </c>
      <c r="F6" s="43">
        <v>9124500000</v>
      </c>
      <c r="G6" s="43">
        <f>F6/D6</f>
        <v>1.32996632996633</v>
      </c>
      <c r="H6" s="43">
        <v>3630000000</v>
      </c>
      <c r="I6" s="43">
        <v>4950000000</v>
      </c>
      <c r="J6" s="43">
        <f>I6/H6-1</f>
        <v>0.36363636363636354</v>
      </c>
      <c r="K6" s="43">
        <v>6003112500</v>
      </c>
      <c r="L6" s="43">
        <v>6860700000</v>
      </c>
      <c r="M6" s="43">
        <f>L6/I6-1</f>
        <v>0.3859999999999999</v>
      </c>
      <c r="N6" s="43">
        <f t="shared" si="0"/>
        <v>5009400000</v>
      </c>
      <c r="O6" s="43">
        <f t="shared" si="1"/>
        <v>0.37999999999999989</v>
      </c>
      <c r="P6" s="44"/>
    </row>
    <row r="7" spans="1:16" ht="63.75" customHeight="1">
      <c r="A7" s="51" t="s">
        <v>1866</v>
      </c>
      <c r="B7" s="47" t="s">
        <v>1867</v>
      </c>
      <c r="C7" s="60" t="s">
        <v>881</v>
      </c>
      <c r="D7" s="49"/>
      <c r="E7" s="49"/>
      <c r="F7" s="49">
        <f t="shared" ref="F7:F16" si="2">N7</f>
        <v>7650719999.999999</v>
      </c>
      <c r="G7" s="49">
        <f t="shared" ref="G7:G29" si="3">F7/N7</f>
        <v>1</v>
      </c>
      <c r="H7" s="49">
        <v>5544000000</v>
      </c>
      <c r="I7" s="49"/>
      <c r="J7" s="49"/>
      <c r="K7" s="49"/>
      <c r="L7" s="49"/>
      <c r="M7" s="49"/>
      <c r="N7" s="49">
        <f t="shared" si="0"/>
        <v>7650719999.999999</v>
      </c>
      <c r="O7" s="49">
        <f t="shared" si="1"/>
        <v>0.37999999999999989</v>
      </c>
      <c r="P7" s="50" t="s">
        <v>1868</v>
      </c>
    </row>
    <row r="8" spans="1:16" ht="63.75" customHeight="1">
      <c r="A8" s="52" t="s">
        <v>1869</v>
      </c>
      <c r="B8" s="41" t="s">
        <v>1870</v>
      </c>
      <c r="C8" s="58" t="s">
        <v>881</v>
      </c>
      <c r="D8" s="43"/>
      <c r="E8" s="43"/>
      <c r="F8" s="43">
        <f t="shared" si="2"/>
        <v>9180864000</v>
      </c>
      <c r="G8" s="43">
        <f t="shared" si="3"/>
        <v>1</v>
      </c>
      <c r="H8" s="43">
        <v>6652800000</v>
      </c>
      <c r="I8" s="43"/>
      <c r="J8" s="43"/>
      <c r="K8" s="43"/>
      <c r="L8" s="43"/>
      <c r="M8" s="43"/>
      <c r="N8" s="43">
        <f t="shared" si="0"/>
        <v>9180864000</v>
      </c>
      <c r="O8" s="43">
        <f t="shared" si="1"/>
        <v>0.37999999999999989</v>
      </c>
      <c r="P8" s="44"/>
    </row>
    <row r="9" spans="1:16" ht="63.75" customHeight="1">
      <c r="A9" s="51" t="s">
        <v>1871</v>
      </c>
      <c r="B9" s="47" t="s">
        <v>1872</v>
      </c>
      <c r="C9" s="60" t="s">
        <v>881</v>
      </c>
      <c r="D9" s="49"/>
      <c r="E9" s="49"/>
      <c r="F9" s="49">
        <f t="shared" si="2"/>
        <v>10711008000</v>
      </c>
      <c r="G9" s="49">
        <f t="shared" si="3"/>
        <v>1</v>
      </c>
      <c r="H9" s="49">
        <v>7761600000</v>
      </c>
      <c r="I9" s="49"/>
      <c r="J9" s="49"/>
      <c r="K9" s="49"/>
      <c r="L9" s="49"/>
      <c r="M9" s="49"/>
      <c r="N9" s="49">
        <f t="shared" si="0"/>
        <v>10711008000</v>
      </c>
      <c r="O9" s="49">
        <f t="shared" si="1"/>
        <v>0.37999999999999989</v>
      </c>
      <c r="P9" s="50"/>
    </row>
    <row r="10" spans="1:16" ht="63.75" customHeight="1">
      <c r="A10" s="52" t="s">
        <v>1873</v>
      </c>
      <c r="B10" s="41" t="s">
        <v>1874</v>
      </c>
      <c r="C10" s="58" t="s">
        <v>881</v>
      </c>
      <c r="D10" s="43"/>
      <c r="E10" s="43"/>
      <c r="F10" s="43">
        <f t="shared" si="2"/>
        <v>12241152000</v>
      </c>
      <c r="G10" s="43">
        <f t="shared" si="3"/>
        <v>1</v>
      </c>
      <c r="H10" s="43">
        <v>8870400000</v>
      </c>
      <c r="I10" s="43"/>
      <c r="J10" s="43"/>
      <c r="K10" s="43"/>
      <c r="L10" s="43"/>
      <c r="M10" s="43"/>
      <c r="N10" s="43">
        <f t="shared" si="0"/>
        <v>12241152000</v>
      </c>
      <c r="O10" s="43">
        <f t="shared" si="1"/>
        <v>0.37999999999999989</v>
      </c>
      <c r="P10" s="44"/>
    </row>
    <row r="11" spans="1:16" ht="63.75" customHeight="1">
      <c r="A11" s="51" t="s">
        <v>1875</v>
      </c>
      <c r="B11" s="47" t="s">
        <v>1876</v>
      </c>
      <c r="C11" s="60" t="s">
        <v>881</v>
      </c>
      <c r="D11" s="49"/>
      <c r="E11" s="49"/>
      <c r="F11" s="49">
        <f t="shared" si="2"/>
        <v>13771295999.999998</v>
      </c>
      <c r="G11" s="49">
        <f t="shared" si="3"/>
        <v>1</v>
      </c>
      <c r="H11" s="49">
        <v>9979200000</v>
      </c>
      <c r="I11" s="49"/>
      <c r="J11" s="49"/>
      <c r="K11" s="49"/>
      <c r="L11" s="49"/>
      <c r="M11" s="49"/>
      <c r="N11" s="49">
        <f t="shared" si="0"/>
        <v>13771295999.999998</v>
      </c>
      <c r="O11" s="49">
        <f t="shared" si="1"/>
        <v>0.37999999999999989</v>
      </c>
      <c r="P11" s="50" t="s">
        <v>1877</v>
      </c>
    </row>
    <row r="12" spans="1:16" ht="76.5" customHeight="1">
      <c r="A12" s="52" t="s">
        <v>1878</v>
      </c>
      <c r="B12" s="41" t="s">
        <v>1879</v>
      </c>
      <c r="C12" s="58" t="s">
        <v>881</v>
      </c>
      <c r="D12" s="43"/>
      <c r="E12" s="43"/>
      <c r="F12" s="43">
        <f t="shared" si="2"/>
        <v>14791391999.999998</v>
      </c>
      <c r="G12" s="43">
        <f t="shared" si="3"/>
        <v>1</v>
      </c>
      <c r="H12" s="43">
        <v>10718400000</v>
      </c>
      <c r="I12" s="43"/>
      <c r="J12" s="43"/>
      <c r="K12" s="43"/>
      <c r="L12" s="43"/>
      <c r="M12" s="43"/>
      <c r="N12" s="43">
        <f t="shared" si="0"/>
        <v>14791391999.999998</v>
      </c>
      <c r="O12" s="43">
        <f t="shared" si="1"/>
        <v>0.37999999999999989</v>
      </c>
      <c r="P12" s="44"/>
    </row>
    <row r="13" spans="1:16" ht="51" customHeight="1">
      <c r="A13" s="51" t="s">
        <v>1880</v>
      </c>
      <c r="B13" s="47" t="s">
        <v>1881</v>
      </c>
      <c r="C13" s="60" t="s">
        <v>881</v>
      </c>
      <c r="D13" s="49"/>
      <c r="E13" s="49"/>
      <c r="F13" s="49">
        <f t="shared" si="2"/>
        <v>18616752000</v>
      </c>
      <c r="G13" s="49">
        <f t="shared" si="3"/>
        <v>1</v>
      </c>
      <c r="H13" s="49">
        <v>13490400000</v>
      </c>
      <c r="I13" s="49"/>
      <c r="J13" s="49"/>
      <c r="K13" s="49"/>
      <c r="L13" s="49"/>
      <c r="M13" s="49"/>
      <c r="N13" s="49">
        <f t="shared" si="0"/>
        <v>18616752000</v>
      </c>
      <c r="O13" s="49">
        <f t="shared" si="1"/>
        <v>0.37999999999999989</v>
      </c>
      <c r="P13" s="50"/>
    </row>
    <row r="14" spans="1:16" ht="51" customHeight="1">
      <c r="A14" s="52" t="s">
        <v>1882</v>
      </c>
      <c r="B14" s="41" t="s">
        <v>1883</v>
      </c>
      <c r="C14" s="58" t="s">
        <v>881</v>
      </c>
      <c r="D14" s="43"/>
      <c r="E14" s="43"/>
      <c r="F14" s="43">
        <f t="shared" si="2"/>
        <v>22952160000</v>
      </c>
      <c r="G14" s="43">
        <f t="shared" si="3"/>
        <v>1</v>
      </c>
      <c r="H14" s="43">
        <v>16632000000</v>
      </c>
      <c r="I14" s="43"/>
      <c r="J14" s="43"/>
      <c r="K14" s="43"/>
      <c r="L14" s="43"/>
      <c r="M14" s="43"/>
      <c r="N14" s="43">
        <f t="shared" si="0"/>
        <v>22952160000</v>
      </c>
      <c r="O14" s="43">
        <f t="shared" si="1"/>
        <v>0.37999999999999989</v>
      </c>
      <c r="P14" s="44"/>
    </row>
    <row r="15" spans="1:16" ht="51" customHeight="1">
      <c r="A15" s="51" t="s">
        <v>1884</v>
      </c>
      <c r="B15" s="47" t="s">
        <v>1885</v>
      </c>
      <c r="C15" s="60" t="s">
        <v>881</v>
      </c>
      <c r="D15" s="49"/>
      <c r="E15" s="49"/>
      <c r="F15" s="49">
        <f t="shared" si="2"/>
        <v>25502399999.999996</v>
      </c>
      <c r="G15" s="49">
        <f t="shared" si="3"/>
        <v>1</v>
      </c>
      <c r="H15" s="49">
        <v>18480000000</v>
      </c>
      <c r="I15" s="49"/>
      <c r="J15" s="49"/>
      <c r="K15" s="49"/>
      <c r="L15" s="49"/>
      <c r="M15" s="49"/>
      <c r="N15" s="49">
        <f t="shared" si="0"/>
        <v>25502399999.999996</v>
      </c>
      <c r="O15" s="49">
        <f t="shared" si="1"/>
        <v>0.37999999999999989</v>
      </c>
      <c r="P15" s="50"/>
    </row>
    <row r="16" spans="1:16" ht="51" customHeight="1">
      <c r="A16" s="52" t="s">
        <v>1886</v>
      </c>
      <c r="B16" s="41" t="s">
        <v>1887</v>
      </c>
      <c r="C16" s="58" t="s">
        <v>881</v>
      </c>
      <c r="D16" s="43"/>
      <c r="E16" s="43"/>
      <c r="F16" s="43">
        <f t="shared" si="2"/>
        <v>30602879999.999996</v>
      </c>
      <c r="G16" s="43">
        <f t="shared" si="3"/>
        <v>1</v>
      </c>
      <c r="H16" s="43">
        <v>22176000000</v>
      </c>
      <c r="I16" s="43"/>
      <c r="J16" s="43"/>
      <c r="K16" s="43"/>
      <c r="L16" s="43"/>
      <c r="M16" s="43"/>
      <c r="N16" s="43">
        <f t="shared" si="0"/>
        <v>30602879999.999996</v>
      </c>
      <c r="O16" s="43">
        <f t="shared" si="1"/>
        <v>0.37999999999999989</v>
      </c>
      <c r="P16" s="44"/>
    </row>
    <row r="17" spans="1:16" ht="38.25" customHeight="1">
      <c r="A17" s="51" t="s">
        <v>1888</v>
      </c>
      <c r="B17" s="47" t="s">
        <v>1889</v>
      </c>
      <c r="C17" s="60" t="s">
        <v>881</v>
      </c>
      <c r="D17" s="49"/>
      <c r="E17" s="49"/>
      <c r="F17" s="49">
        <f t="shared" ref="F17:F29" si="4">N17*1.1</f>
        <v>9333940000</v>
      </c>
      <c r="G17" s="49">
        <f t="shared" si="3"/>
        <v>1.1000000000000001</v>
      </c>
      <c r="H17" s="49">
        <v>5852000000</v>
      </c>
      <c r="I17" s="49"/>
      <c r="J17" s="49"/>
      <c r="K17" s="49"/>
      <c r="L17" s="49"/>
      <c r="M17" s="49"/>
      <c r="N17" s="49">
        <f t="shared" ref="N17:N29" si="5">H17*1.45</f>
        <v>8485400000</v>
      </c>
      <c r="O17" s="49">
        <f t="shared" si="1"/>
        <v>0.44999999999999996</v>
      </c>
      <c r="P17" s="50"/>
    </row>
    <row r="18" spans="1:16" ht="38.25" customHeight="1">
      <c r="A18" s="52" t="s">
        <v>1890</v>
      </c>
      <c r="B18" s="41" t="s">
        <v>1891</v>
      </c>
      <c r="C18" s="58" t="s">
        <v>881</v>
      </c>
      <c r="D18" s="43"/>
      <c r="E18" s="43"/>
      <c r="F18" s="43">
        <f t="shared" si="4"/>
        <v>12772760000.000002</v>
      </c>
      <c r="G18" s="43">
        <f t="shared" si="3"/>
        <v>1.1000000000000001</v>
      </c>
      <c r="H18" s="43">
        <v>8008000000</v>
      </c>
      <c r="I18" s="43"/>
      <c r="J18" s="43"/>
      <c r="K18" s="43"/>
      <c r="L18" s="43"/>
      <c r="M18" s="43"/>
      <c r="N18" s="43">
        <f t="shared" si="5"/>
        <v>11611600000</v>
      </c>
      <c r="O18" s="43">
        <f t="shared" si="1"/>
        <v>0.44999999999999996</v>
      </c>
      <c r="P18" s="44"/>
    </row>
    <row r="19" spans="1:16" ht="38.25" customHeight="1">
      <c r="A19" s="51" t="s">
        <v>1892</v>
      </c>
      <c r="B19" s="47" t="s">
        <v>1893</v>
      </c>
      <c r="C19" s="60" t="s">
        <v>881</v>
      </c>
      <c r="D19" s="49"/>
      <c r="E19" s="49"/>
      <c r="F19" s="49">
        <f t="shared" si="4"/>
        <v>17194100000</v>
      </c>
      <c r="G19" s="49">
        <f t="shared" si="3"/>
        <v>1.1000000000000001</v>
      </c>
      <c r="H19" s="49">
        <v>10780000000</v>
      </c>
      <c r="I19" s="49"/>
      <c r="J19" s="49"/>
      <c r="K19" s="49"/>
      <c r="L19" s="49"/>
      <c r="M19" s="49"/>
      <c r="N19" s="49">
        <f t="shared" si="5"/>
        <v>15631000000</v>
      </c>
      <c r="O19" s="49">
        <f t="shared" si="1"/>
        <v>0.44999999999999996</v>
      </c>
      <c r="P19" s="50"/>
    </row>
    <row r="20" spans="1:16" ht="63.75" customHeight="1">
      <c r="A20" s="52" t="s">
        <v>1894</v>
      </c>
      <c r="B20" s="41" t="s">
        <v>1895</v>
      </c>
      <c r="C20" s="58" t="s">
        <v>881</v>
      </c>
      <c r="D20" s="43"/>
      <c r="E20" s="43"/>
      <c r="F20" s="43">
        <f t="shared" si="4"/>
        <v>20632920000</v>
      </c>
      <c r="G20" s="43">
        <f t="shared" si="3"/>
        <v>1.1000000000000001</v>
      </c>
      <c r="H20" s="43">
        <v>12936000000</v>
      </c>
      <c r="I20" s="43"/>
      <c r="J20" s="43"/>
      <c r="K20" s="43"/>
      <c r="L20" s="43"/>
      <c r="M20" s="43"/>
      <c r="N20" s="43">
        <f t="shared" si="5"/>
        <v>18757200000</v>
      </c>
      <c r="O20" s="43">
        <f t="shared" si="1"/>
        <v>0.44999999999999996</v>
      </c>
      <c r="P20" s="44"/>
    </row>
    <row r="21" spans="1:16" ht="38.25" customHeight="1">
      <c r="A21" s="51" t="s">
        <v>1896</v>
      </c>
      <c r="B21" s="47" t="s">
        <v>1897</v>
      </c>
      <c r="C21" s="60" t="s">
        <v>881</v>
      </c>
      <c r="D21" s="49"/>
      <c r="E21" s="49"/>
      <c r="F21" s="49">
        <f t="shared" si="4"/>
        <v>24563000000.000004</v>
      </c>
      <c r="G21" s="49">
        <f t="shared" si="3"/>
        <v>1.1000000000000001</v>
      </c>
      <c r="H21" s="49">
        <v>15400000000</v>
      </c>
      <c r="I21" s="49"/>
      <c r="J21" s="49"/>
      <c r="K21" s="49"/>
      <c r="L21" s="49"/>
      <c r="M21" s="49"/>
      <c r="N21" s="49">
        <f t="shared" si="5"/>
        <v>22330000000</v>
      </c>
      <c r="O21" s="49">
        <f t="shared" si="1"/>
        <v>0.44999999999999996</v>
      </c>
      <c r="P21" s="50"/>
    </row>
    <row r="22" spans="1:16" ht="51" customHeight="1">
      <c r="A22" s="52" t="s">
        <v>1898</v>
      </c>
      <c r="B22" s="41" t="s">
        <v>1899</v>
      </c>
      <c r="C22" s="58" t="s">
        <v>881</v>
      </c>
      <c r="D22" s="43"/>
      <c r="E22" s="43"/>
      <c r="F22" s="43">
        <f t="shared" si="4"/>
        <v>26528040000.000004</v>
      </c>
      <c r="G22" s="43">
        <f t="shared" si="3"/>
        <v>1.1000000000000001</v>
      </c>
      <c r="H22" s="43">
        <v>16632000000</v>
      </c>
      <c r="I22" s="43"/>
      <c r="J22" s="43"/>
      <c r="K22" s="43"/>
      <c r="L22" s="43"/>
      <c r="M22" s="43"/>
      <c r="N22" s="43">
        <f t="shared" si="5"/>
        <v>24116400000</v>
      </c>
      <c r="O22" s="43">
        <f t="shared" si="1"/>
        <v>0.44999999999999996</v>
      </c>
      <c r="P22" s="44"/>
    </row>
    <row r="23" spans="1:16" ht="89.25" customHeight="1">
      <c r="A23" s="51" t="s">
        <v>1900</v>
      </c>
      <c r="B23" s="47" t="s">
        <v>1901</v>
      </c>
      <c r="C23" s="60" t="s">
        <v>881</v>
      </c>
      <c r="D23" s="49"/>
      <c r="E23" s="49"/>
      <c r="F23" s="49">
        <f t="shared" si="4"/>
        <v>29475600000.000004</v>
      </c>
      <c r="G23" s="49">
        <f t="shared" si="3"/>
        <v>1.1000000000000001</v>
      </c>
      <c r="H23" s="49">
        <v>18480000000</v>
      </c>
      <c r="I23" s="49"/>
      <c r="J23" s="49"/>
      <c r="K23" s="49"/>
      <c r="L23" s="49"/>
      <c r="M23" s="49"/>
      <c r="N23" s="49">
        <f t="shared" si="5"/>
        <v>26796000000</v>
      </c>
      <c r="O23" s="49">
        <f t="shared" si="1"/>
        <v>0.44999999999999996</v>
      </c>
      <c r="P23" s="50"/>
    </row>
    <row r="24" spans="1:16" ht="51" customHeight="1">
      <c r="A24" s="52" t="s">
        <v>1902</v>
      </c>
      <c r="B24" s="41" t="s">
        <v>1903</v>
      </c>
      <c r="C24" s="58" t="s">
        <v>881</v>
      </c>
      <c r="D24" s="43"/>
      <c r="E24" s="43"/>
      <c r="F24" s="43">
        <f t="shared" si="4"/>
        <v>31317825000.000004</v>
      </c>
      <c r="G24" s="43">
        <f t="shared" si="3"/>
        <v>1.1000000000000001</v>
      </c>
      <c r="H24" s="43">
        <v>19635000000</v>
      </c>
      <c r="I24" s="43"/>
      <c r="J24" s="43"/>
      <c r="K24" s="43"/>
      <c r="L24" s="43"/>
      <c r="M24" s="43"/>
      <c r="N24" s="43">
        <f t="shared" si="5"/>
        <v>28470750000</v>
      </c>
      <c r="O24" s="43">
        <f t="shared" si="1"/>
        <v>0.44999999999999996</v>
      </c>
      <c r="P24" s="44"/>
    </row>
    <row r="25" spans="1:16" ht="89.25" customHeight="1">
      <c r="A25" s="51" t="s">
        <v>1904</v>
      </c>
      <c r="B25" s="47" t="s">
        <v>1905</v>
      </c>
      <c r="C25" s="60" t="s">
        <v>881</v>
      </c>
      <c r="D25" s="49"/>
      <c r="E25" s="49"/>
      <c r="F25" s="49">
        <f t="shared" si="4"/>
        <v>33160050000.000004</v>
      </c>
      <c r="G25" s="49">
        <f t="shared" si="3"/>
        <v>1.1000000000000001</v>
      </c>
      <c r="H25" s="49">
        <v>20790000000</v>
      </c>
      <c r="I25" s="49"/>
      <c r="J25" s="49"/>
      <c r="K25" s="49"/>
      <c r="L25" s="49"/>
      <c r="M25" s="49"/>
      <c r="N25" s="49">
        <f t="shared" si="5"/>
        <v>30145500000</v>
      </c>
      <c r="O25" s="49">
        <f t="shared" si="1"/>
        <v>0.44999999999999996</v>
      </c>
      <c r="P25" s="50"/>
    </row>
    <row r="26" spans="1:16" ht="51" customHeight="1">
      <c r="A26" s="52" t="s">
        <v>1906</v>
      </c>
      <c r="B26" s="41" t="s">
        <v>1907</v>
      </c>
      <c r="C26" s="58" t="s">
        <v>881</v>
      </c>
      <c r="D26" s="43"/>
      <c r="E26" s="43"/>
      <c r="F26" s="43">
        <f t="shared" si="4"/>
        <v>36844500000</v>
      </c>
      <c r="G26" s="43">
        <f t="shared" si="3"/>
        <v>1.1000000000000001</v>
      </c>
      <c r="H26" s="43">
        <v>23100000000</v>
      </c>
      <c r="I26" s="43"/>
      <c r="J26" s="43"/>
      <c r="K26" s="43"/>
      <c r="L26" s="43"/>
      <c r="M26" s="43"/>
      <c r="N26" s="43">
        <f t="shared" si="5"/>
        <v>33495000000</v>
      </c>
      <c r="O26" s="43">
        <f t="shared" si="1"/>
        <v>0.44999999999999996</v>
      </c>
      <c r="P26" s="44"/>
    </row>
    <row r="27" spans="1:16" ht="51" customHeight="1">
      <c r="A27" s="51" t="s">
        <v>1908</v>
      </c>
      <c r="B27" s="47" t="s">
        <v>1909</v>
      </c>
      <c r="C27" s="60" t="s">
        <v>881</v>
      </c>
      <c r="D27" s="49"/>
      <c r="E27" s="49"/>
      <c r="F27" s="49">
        <f t="shared" si="4"/>
        <v>40528950000</v>
      </c>
      <c r="G27" s="49">
        <f t="shared" si="3"/>
        <v>1.1000000000000001</v>
      </c>
      <c r="H27" s="49">
        <v>25410000000</v>
      </c>
      <c r="I27" s="49"/>
      <c r="J27" s="49"/>
      <c r="K27" s="49"/>
      <c r="L27" s="49"/>
      <c r="M27" s="49"/>
      <c r="N27" s="49">
        <f t="shared" si="5"/>
        <v>36844500000</v>
      </c>
      <c r="O27" s="49">
        <f t="shared" si="1"/>
        <v>0.44999999999999996</v>
      </c>
      <c r="P27" s="50"/>
    </row>
    <row r="28" spans="1:16" ht="51" customHeight="1">
      <c r="A28" s="52" t="s">
        <v>1910</v>
      </c>
      <c r="B28" s="41" t="s">
        <v>1911</v>
      </c>
      <c r="C28" s="58" t="s">
        <v>881</v>
      </c>
      <c r="D28" s="43"/>
      <c r="E28" s="43"/>
      <c r="F28" s="43">
        <f t="shared" si="4"/>
        <v>44213400000</v>
      </c>
      <c r="G28" s="43">
        <f t="shared" si="3"/>
        <v>1.1000000000000001</v>
      </c>
      <c r="H28" s="43">
        <v>27720000000</v>
      </c>
      <c r="I28" s="43"/>
      <c r="J28" s="43"/>
      <c r="K28" s="43"/>
      <c r="L28" s="43"/>
      <c r="M28" s="43"/>
      <c r="N28" s="43">
        <f t="shared" si="5"/>
        <v>40194000000</v>
      </c>
      <c r="O28" s="43">
        <f t="shared" si="1"/>
        <v>0.44999999999999996</v>
      </c>
      <c r="P28" s="44"/>
    </row>
    <row r="29" spans="1:16" ht="89.65" customHeight="1">
      <c r="A29" s="84" t="s">
        <v>1912</v>
      </c>
      <c r="B29" s="77" t="s">
        <v>1913</v>
      </c>
      <c r="C29" s="63" t="s">
        <v>881</v>
      </c>
      <c r="D29" s="64"/>
      <c r="E29" s="64"/>
      <c r="F29" s="64">
        <f t="shared" si="4"/>
        <v>47897850000.000008</v>
      </c>
      <c r="G29" s="64">
        <f t="shared" si="3"/>
        <v>1.1000000000000001</v>
      </c>
      <c r="H29" s="64">
        <v>30030000000</v>
      </c>
      <c r="I29" s="64"/>
      <c r="J29" s="64"/>
      <c r="K29" s="64"/>
      <c r="L29" s="64"/>
      <c r="M29" s="64"/>
      <c r="N29" s="64">
        <f t="shared" si="5"/>
        <v>43543500000</v>
      </c>
      <c r="O29" s="64">
        <f t="shared" si="1"/>
        <v>0.44999999999999996</v>
      </c>
      <c r="P29" s="65"/>
    </row>
  </sheetData>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9" tint="-0.499984740745262"/>
  </sheetPr>
  <dimension ref="A1:V39"/>
  <sheetViews>
    <sheetView rightToLeft="1" workbookViewId="0">
      <pane ySplit="2" topLeftCell="A3" activePane="bottomLeft" state="frozen"/>
      <selection pane="bottomLeft"/>
    </sheetView>
  </sheetViews>
  <sheetFormatPr defaultRowHeight="13.5"/>
  <cols>
    <col min="1" max="1" width="14.1875" customWidth="1"/>
    <col min="2" max="2" width="46.6875" customWidth="1"/>
    <col min="3" max="3" width="10.8125" customWidth="1"/>
    <col min="4" max="4" width="18.3125" customWidth="1"/>
    <col min="7" max="8" width="18.3125" customWidth="1"/>
    <col min="14" max="15" width="18.3125" customWidth="1"/>
    <col min="21" max="22" width="18.3125" customWidth="1"/>
  </cols>
  <sheetData>
    <row r="1" spans="1:22" ht="32" customHeight="1">
      <c r="A1" s="27"/>
      <c r="B1" s="28"/>
      <c r="C1" s="28"/>
      <c r="D1" s="28"/>
      <c r="E1" s="28"/>
      <c r="F1" s="28"/>
      <c r="G1" s="81"/>
      <c r="H1" s="28" t="s">
        <v>1914</v>
      </c>
      <c r="I1" s="28" t="s">
        <v>1914</v>
      </c>
      <c r="J1" s="28" t="s">
        <v>1914</v>
      </c>
      <c r="K1" s="28"/>
      <c r="L1" s="28"/>
      <c r="M1" s="28" t="s">
        <v>1915</v>
      </c>
      <c r="N1" s="28" t="s">
        <v>1916</v>
      </c>
      <c r="O1" s="28" t="s">
        <v>1914</v>
      </c>
      <c r="P1" s="28"/>
      <c r="Q1" s="28"/>
      <c r="R1" s="28"/>
      <c r="S1" s="28"/>
      <c r="T1" s="28"/>
      <c r="U1" s="28"/>
      <c r="V1" s="72"/>
    </row>
    <row r="2" spans="1:22" ht="28.05" customHeight="1">
      <c r="A2" s="73" t="s">
        <v>868</v>
      </c>
      <c r="B2" s="31" t="s">
        <v>869</v>
      </c>
      <c r="C2" s="31" t="s">
        <v>1856</v>
      </c>
      <c r="D2" s="31" t="s">
        <v>871</v>
      </c>
      <c r="E2" s="31" t="s">
        <v>872</v>
      </c>
      <c r="F2" s="31" t="s">
        <v>873</v>
      </c>
      <c r="G2" s="32" t="s">
        <v>1917</v>
      </c>
      <c r="H2" s="85" t="s">
        <v>1918</v>
      </c>
      <c r="I2" s="31" t="s">
        <v>1318</v>
      </c>
      <c r="J2" s="85" t="s">
        <v>1919</v>
      </c>
      <c r="K2" s="85" t="s">
        <v>1918</v>
      </c>
      <c r="L2" s="85" t="s">
        <v>1919</v>
      </c>
      <c r="M2" s="85" t="s">
        <v>1920</v>
      </c>
      <c r="N2" s="32" t="s">
        <v>1920</v>
      </c>
      <c r="O2" s="31" t="s">
        <v>1318</v>
      </c>
      <c r="P2" s="31" t="s">
        <v>878</v>
      </c>
      <c r="Q2" s="31"/>
      <c r="R2" s="31"/>
      <c r="S2" s="31" t="s">
        <v>1921</v>
      </c>
      <c r="T2" s="31" t="s">
        <v>1922</v>
      </c>
      <c r="U2" s="31" t="s">
        <v>1923</v>
      </c>
      <c r="V2" s="74" t="s">
        <v>1318</v>
      </c>
    </row>
    <row r="3" spans="1:22" ht="89.25" customHeight="1">
      <c r="A3" s="34" t="s">
        <v>1924</v>
      </c>
      <c r="B3" s="35" t="s">
        <v>1925</v>
      </c>
      <c r="C3" s="100" t="s">
        <v>881</v>
      </c>
      <c r="D3" s="37"/>
      <c r="E3" s="37"/>
      <c r="F3" s="37"/>
      <c r="G3" s="37">
        <v>818403000</v>
      </c>
      <c r="H3" s="37">
        <v>810300000</v>
      </c>
      <c r="I3" s="37">
        <f t="shared" ref="I3:I14" si="0">H3/G3-1</f>
        <v>-9.9009900990099098E-3</v>
      </c>
      <c r="J3" s="37">
        <v>972360000</v>
      </c>
      <c r="K3" s="37"/>
      <c r="L3" s="37"/>
      <c r="M3" s="37"/>
      <c r="N3" s="37">
        <v>1183038000</v>
      </c>
      <c r="O3" s="37">
        <f t="shared" ref="O3:O14" si="1">N3/H3-1</f>
        <v>0.45999999999999996</v>
      </c>
      <c r="P3" s="37">
        <f t="shared" ref="P3:P27" si="2">N3/G3</f>
        <v>1.4455445544554455</v>
      </c>
      <c r="Q3" s="37">
        <f t="shared" ref="Q3:Q14" si="3">N3/G3</f>
        <v>1.4455445544554455</v>
      </c>
      <c r="R3" s="37">
        <f t="shared" ref="R3:R14" si="4">T3/S3</f>
        <v>1.1600641737628039</v>
      </c>
      <c r="S3" s="37">
        <v>1183038000</v>
      </c>
      <c r="T3" s="37">
        <v>1372400000</v>
      </c>
      <c r="U3" s="37">
        <v>1619400000</v>
      </c>
      <c r="V3" s="38">
        <f t="shared" ref="V3:V14" si="5">U3/S3</f>
        <v>1.3688486760357657</v>
      </c>
    </row>
    <row r="4" spans="1:22" ht="89.25" customHeight="1">
      <c r="A4" s="40" t="s">
        <v>1926</v>
      </c>
      <c r="B4" s="41" t="s">
        <v>1927</v>
      </c>
      <c r="C4" s="58" t="s">
        <v>881</v>
      </c>
      <c r="D4" s="43"/>
      <c r="E4" s="43"/>
      <c r="F4" s="43"/>
      <c r="G4" s="43">
        <v>1177155000</v>
      </c>
      <c r="H4" s="43">
        <v>1165500000</v>
      </c>
      <c r="I4" s="43">
        <f t="shared" si="0"/>
        <v>-9.9009900990099098E-3</v>
      </c>
      <c r="J4" s="43">
        <v>1398600000</v>
      </c>
      <c r="K4" s="43"/>
      <c r="L4" s="43"/>
      <c r="M4" s="43"/>
      <c r="N4" s="43">
        <v>1701630000</v>
      </c>
      <c r="O4" s="43">
        <f t="shared" si="1"/>
        <v>0.45999999999999996</v>
      </c>
      <c r="P4" s="43">
        <f t="shared" si="2"/>
        <v>1.4455445544554455</v>
      </c>
      <c r="Q4" s="43">
        <f t="shared" si="3"/>
        <v>1.4455445544554455</v>
      </c>
      <c r="R4" s="43">
        <f t="shared" si="4"/>
        <v>1.160005406580749</v>
      </c>
      <c r="S4" s="43">
        <v>1701630000</v>
      </c>
      <c r="T4" s="43">
        <v>1973900000</v>
      </c>
      <c r="U4" s="43">
        <v>2329200000</v>
      </c>
      <c r="V4" s="44">
        <f t="shared" si="5"/>
        <v>1.3688052044216428</v>
      </c>
    </row>
    <row r="5" spans="1:22" ht="89.25" customHeight="1">
      <c r="A5" s="46" t="s">
        <v>1928</v>
      </c>
      <c r="B5" s="47" t="s">
        <v>1929</v>
      </c>
      <c r="C5" s="60" t="s">
        <v>881</v>
      </c>
      <c r="D5" s="49"/>
      <c r="E5" s="49"/>
      <c r="F5" s="49"/>
      <c r="G5" s="49">
        <v>1401375000</v>
      </c>
      <c r="H5" s="49">
        <v>1387500000</v>
      </c>
      <c r="I5" s="49">
        <f t="shared" si="0"/>
        <v>-9.9009900990099098E-3</v>
      </c>
      <c r="J5" s="49">
        <v>1665000000</v>
      </c>
      <c r="K5" s="49"/>
      <c r="L5" s="49"/>
      <c r="M5" s="49"/>
      <c r="N5" s="49">
        <v>2025750000</v>
      </c>
      <c r="O5" s="49">
        <f t="shared" si="1"/>
        <v>0.45999999999999996</v>
      </c>
      <c r="P5" s="49">
        <f t="shared" si="2"/>
        <v>1.4455445544554455</v>
      </c>
      <c r="Q5" s="49">
        <f t="shared" si="3"/>
        <v>1.4455445544554455</v>
      </c>
      <c r="R5" s="49">
        <f t="shared" si="4"/>
        <v>1.1600148093298779</v>
      </c>
      <c r="S5" s="49">
        <v>2025750000</v>
      </c>
      <c r="T5" s="49">
        <v>2349900000</v>
      </c>
      <c r="U5" s="49">
        <v>2772900000</v>
      </c>
      <c r="V5" s="50">
        <f t="shared" si="5"/>
        <v>1.3688263606071824</v>
      </c>
    </row>
    <row r="6" spans="1:22" ht="89.25" customHeight="1">
      <c r="A6" s="40" t="s">
        <v>1930</v>
      </c>
      <c r="B6" s="41" t="s">
        <v>1931</v>
      </c>
      <c r="C6" s="58" t="s">
        <v>881</v>
      </c>
      <c r="D6" s="43"/>
      <c r="E6" s="43"/>
      <c r="F6" s="43"/>
      <c r="G6" s="43">
        <v>1715283000</v>
      </c>
      <c r="H6" s="43">
        <v>1698300000</v>
      </c>
      <c r="I6" s="43">
        <f t="shared" si="0"/>
        <v>-9.9009900990099098E-3</v>
      </c>
      <c r="J6" s="43">
        <v>2037960000</v>
      </c>
      <c r="K6" s="43"/>
      <c r="L6" s="43"/>
      <c r="M6" s="43"/>
      <c r="N6" s="43">
        <v>2479518000</v>
      </c>
      <c r="O6" s="43">
        <f t="shared" si="1"/>
        <v>0.45999999999999996</v>
      </c>
      <c r="P6" s="43">
        <f t="shared" si="2"/>
        <v>1.4455445544554455</v>
      </c>
      <c r="Q6" s="43">
        <f t="shared" si="3"/>
        <v>1.4455445544554455</v>
      </c>
      <c r="R6" s="43">
        <f t="shared" si="4"/>
        <v>1.1600238433437466</v>
      </c>
      <c r="S6" s="43">
        <v>2479518000</v>
      </c>
      <c r="T6" s="43">
        <v>2876300000</v>
      </c>
      <c r="U6" s="43">
        <v>3394000000</v>
      </c>
      <c r="V6" s="44">
        <f t="shared" si="5"/>
        <v>1.3688144228031416</v>
      </c>
    </row>
    <row r="7" spans="1:22" ht="89.25" customHeight="1">
      <c r="A7" s="46" t="s">
        <v>1932</v>
      </c>
      <c r="B7" s="47" t="s">
        <v>1933</v>
      </c>
      <c r="C7" s="60" t="s">
        <v>881</v>
      </c>
      <c r="D7" s="49"/>
      <c r="E7" s="49"/>
      <c r="F7" s="49"/>
      <c r="G7" s="49">
        <v>2051613000</v>
      </c>
      <c r="H7" s="49">
        <v>2031300000</v>
      </c>
      <c r="I7" s="49">
        <f t="shared" si="0"/>
        <v>-9.9009900990099098E-3</v>
      </c>
      <c r="J7" s="49">
        <v>2437560000</v>
      </c>
      <c r="K7" s="49"/>
      <c r="L7" s="49"/>
      <c r="M7" s="49"/>
      <c r="N7" s="49">
        <v>2965698000</v>
      </c>
      <c r="O7" s="49">
        <f t="shared" si="1"/>
        <v>0.45999999999999996</v>
      </c>
      <c r="P7" s="49">
        <f t="shared" si="2"/>
        <v>1.4455445544554455</v>
      </c>
      <c r="Q7" s="49">
        <f t="shared" si="3"/>
        <v>1.4455445544554455</v>
      </c>
      <c r="R7" s="49">
        <f t="shared" si="4"/>
        <v>1.1600304548878544</v>
      </c>
      <c r="S7" s="49">
        <v>2965698000</v>
      </c>
      <c r="T7" s="49">
        <v>3440300000</v>
      </c>
      <c r="U7" s="49">
        <v>4059500000</v>
      </c>
      <c r="V7" s="50">
        <f t="shared" si="5"/>
        <v>1.3688177285751955</v>
      </c>
    </row>
    <row r="8" spans="1:22" ht="89.25" customHeight="1">
      <c r="A8" s="40" t="s">
        <v>1934</v>
      </c>
      <c r="B8" s="41" t="s">
        <v>1935</v>
      </c>
      <c r="C8" s="58" t="s">
        <v>881</v>
      </c>
      <c r="D8" s="43"/>
      <c r="E8" s="43"/>
      <c r="F8" s="43"/>
      <c r="G8" s="43">
        <v>3307245000</v>
      </c>
      <c r="H8" s="43">
        <v>3274500000</v>
      </c>
      <c r="I8" s="43">
        <f t="shared" si="0"/>
        <v>-9.9009900990099098E-3</v>
      </c>
      <c r="J8" s="43">
        <v>3929400000</v>
      </c>
      <c r="K8" s="43"/>
      <c r="L8" s="43"/>
      <c r="M8" s="43"/>
      <c r="N8" s="43">
        <v>4780770000</v>
      </c>
      <c r="O8" s="43">
        <f t="shared" si="1"/>
        <v>0.45999999999999996</v>
      </c>
      <c r="P8" s="43">
        <f t="shared" si="2"/>
        <v>1.4455445544554455</v>
      </c>
      <c r="Q8" s="43">
        <f t="shared" si="3"/>
        <v>1.4455445544554455</v>
      </c>
      <c r="R8" s="43">
        <f t="shared" si="4"/>
        <v>1.1600014223650166</v>
      </c>
      <c r="S8" s="43">
        <v>4780770000</v>
      </c>
      <c r="T8" s="43">
        <v>5545700000</v>
      </c>
      <c r="U8" s="43">
        <v>6554000000</v>
      </c>
      <c r="V8" s="44">
        <f t="shared" si="5"/>
        <v>1.3709088703284198</v>
      </c>
    </row>
    <row r="9" spans="1:22" ht="89.25" customHeight="1">
      <c r="A9" s="46" t="s">
        <v>1936</v>
      </c>
      <c r="B9" s="47" t="s">
        <v>1937</v>
      </c>
      <c r="C9" s="60" t="s">
        <v>881</v>
      </c>
      <c r="D9" s="49"/>
      <c r="E9" s="49"/>
      <c r="F9" s="49"/>
      <c r="G9" s="49">
        <v>18498150000</v>
      </c>
      <c r="H9" s="49">
        <v>18315000000</v>
      </c>
      <c r="I9" s="49">
        <f t="shared" si="0"/>
        <v>-9.9009900990099098E-3</v>
      </c>
      <c r="J9" s="49">
        <v>21978000000</v>
      </c>
      <c r="K9" s="49"/>
      <c r="L9" s="49"/>
      <c r="M9" s="49"/>
      <c r="N9" s="49">
        <v>26739900000</v>
      </c>
      <c r="O9" s="49">
        <f t="shared" si="1"/>
        <v>0.45999999999999996</v>
      </c>
      <c r="P9" s="49">
        <f t="shared" si="2"/>
        <v>1.4455445544554455</v>
      </c>
      <c r="Q9" s="49">
        <f t="shared" si="3"/>
        <v>1.4455445544554455</v>
      </c>
      <c r="R9" s="49">
        <f t="shared" si="4"/>
        <v>1.1600005983567627</v>
      </c>
      <c r="S9" s="49">
        <v>26739900000</v>
      </c>
      <c r="T9" s="49">
        <v>31018300000</v>
      </c>
      <c r="U9" s="49">
        <v>36601600000</v>
      </c>
      <c r="V9" s="50">
        <f t="shared" si="5"/>
        <v>1.3688009304447661</v>
      </c>
    </row>
    <row r="10" spans="1:22" ht="89.25" customHeight="1">
      <c r="A10" s="40" t="s">
        <v>1938</v>
      </c>
      <c r="B10" s="41" t="s">
        <v>1939</v>
      </c>
      <c r="C10" s="58" t="s">
        <v>881</v>
      </c>
      <c r="D10" s="43"/>
      <c r="E10" s="43"/>
      <c r="F10" s="43"/>
      <c r="G10" s="43">
        <v>26345850000</v>
      </c>
      <c r="H10" s="43">
        <v>26085000000</v>
      </c>
      <c r="I10" s="43">
        <f t="shared" si="0"/>
        <v>-9.9009900990099098E-3</v>
      </c>
      <c r="J10" s="43">
        <v>31302000000</v>
      </c>
      <c r="K10" s="43"/>
      <c r="L10" s="43"/>
      <c r="M10" s="43"/>
      <c r="N10" s="43">
        <v>38084100000</v>
      </c>
      <c r="O10" s="43">
        <f t="shared" si="1"/>
        <v>0.45999999999999996</v>
      </c>
      <c r="P10" s="43">
        <f t="shared" si="2"/>
        <v>1.4455445544554455</v>
      </c>
      <c r="Q10" s="43">
        <f t="shared" si="3"/>
        <v>1.4455445544554455</v>
      </c>
      <c r="R10" s="43">
        <f t="shared" si="4"/>
        <v>1.1600011553377918</v>
      </c>
      <c r="S10" s="43">
        <v>38084100000</v>
      </c>
      <c r="T10" s="43">
        <v>44177600000</v>
      </c>
      <c r="U10" s="43">
        <v>52129600000</v>
      </c>
      <c r="V10" s="44">
        <f t="shared" si="5"/>
        <v>1.3688022035442613</v>
      </c>
    </row>
    <row r="11" spans="1:22" ht="89.25" customHeight="1">
      <c r="A11" s="46" t="s">
        <v>1940</v>
      </c>
      <c r="B11" s="47" t="s">
        <v>1941</v>
      </c>
      <c r="C11" s="60" t="s">
        <v>881</v>
      </c>
      <c r="D11" s="49"/>
      <c r="E11" s="49"/>
      <c r="F11" s="49"/>
      <c r="G11" s="49">
        <v>38565840000</v>
      </c>
      <c r="H11" s="49">
        <v>38184000000</v>
      </c>
      <c r="I11" s="49">
        <f t="shared" si="0"/>
        <v>-9.9009900990099098E-3</v>
      </c>
      <c r="J11" s="49">
        <v>45820800000</v>
      </c>
      <c r="K11" s="49"/>
      <c r="L11" s="49"/>
      <c r="M11" s="49"/>
      <c r="N11" s="49">
        <v>55748640000</v>
      </c>
      <c r="O11" s="49">
        <f t="shared" si="1"/>
        <v>0.45999999999999996</v>
      </c>
      <c r="P11" s="49">
        <f t="shared" si="2"/>
        <v>1.4455445544554455</v>
      </c>
      <c r="Q11" s="49">
        <f t="shared" si="3"/>
        <v>1.4455445544554455</v>
      </c>
      <c r="R11" s="49">
        <f t="shared" si="4"/>
        <v>1.1600013919622074</v>
      </c>
      <c r="S11" s="49">
        <v>55748640000</v>
      </c>
      <c r="T11" s="49">
        <v>64668500000</v>
      </c>
      <c r="U11" s="49">
        <v>76308800000</v>
      </c>
      <c r="V11" s="50">
        <f t="shared" si="5"/>
        <v>1.3688011043856854</v>
      </c>
    </row>
    <row r="12" spans="1:22" ht="89.25" customHeight="1">
      <c r="A12" s="40" t="s">
        <v>1942</v>
      </c>
      <c r="B12" s="41" t="s">
        <v>1943</v>
      </c>
      <c r="C12" s="58" t="s">
        <v>881</v>
      </c>
      <c r="D12" s="43"/>
      <c r="E12" s="43"/>
      <c r="F12" s="43"/>
      <c r="G12" s="43">
        <v>54045231000</v>
      </c>
      <c r="H12" s="43">
        <v>53513100000</v>
      </c>
      <c r="I12" s="43">
        <f t="shared" si="0"/>
        <v>-9.8460306331191738E-3</v>
      </c>
      <c r="J12" s="43">
        <v>64215720000</v>
      </c>
      <c r="K12" s="43"/>
      <c r="L12" s="43"/>
      <c r="M12" s="43"/>
      <c r="N12" s="43">
        <v>78129126000</v>
      </c>
      <c r="O12" s="43">
        <f t="shared" si="1"/>
        <v>0.45999999999999996</v>
      </c>
      <c r="P12" s="43">
        <f t="shared" si="2"/>
        <v>1.445624795275646</v>
      </c>
      <c r="Q12" s="43">
        <f t="shared" si="3"/>
        <v>1.445624795275646</v>
      </c>
      <c r="R12" s="43">
        <f t="shared" si="4"/>
        <v>1.1600001771426447</v>
      </c>
      <c r="S12" s="43">
        <v>78129126000</v>
      </c>
      <c r="T12" s="43">
        <v>90629800000</v>
      </c>
      <c r="U12" s="43">
        <v>106943200000</v>
      </c>
      <c r="V12" s="44">
        <f t="shared" si="5"/>
        <v>1.3688006698039858</v>
      </c>
    </row>
    <row r="13" spans="1:22" ht="89.25" customHeight="1">
      <c r="A13" s="46" t="s">
        <v>1944</v>
      </c>
      <c r="B13" s="47" t="s">
        <v>1945</v>
      </c>
      <c r="C13" s="60" t="s">
        <v>881</v>
      </c>
      <c r="D13" s="49"/>
      <c r="E13" s="49"/>
      <c r="F13" s="49"/>
      <c r="G13" s="49">
        <v>88454790000</v>
      </c>
      <c r="H13" s="49">
        <v>87579000000</v>
      </c>
      <c r="I13" s="49">
        <f t="shared" si="0"/>
        <v>-9.9009900990099098E-3</v>
      </c>
      <c r="J13" s="49">
        <v>105094800000</v>
      </c>
      <c r="K13" s="49"/>
      <c r="L13" s="49"/>
      <c r="M13" s="49"/>
      <c r="N13" s="49">
        <v>127865340000</v>
      </c>
      <c r="O13" s="49">
        <f t="shared" si="1"/>
        <v>0.45999999999999996</v>
      </c>
      <c r="P13" s="49">
        <f t="shared" si="2"/>
        <v>1.4455445544554455</v>
      </c>
      <c r="Q13" s="49">
        <f t="shared" si="3"/>
        <v>1.4455445544554455</v>
      </c>
      <c r="R13" s="49">
        <f t="shared" si="4"/>
        <v>1.1600000437960749</v>
      </c>
      <c r="S13" s="49">
        <v>127865340000</v>
      </c>
      <c r="T13" s="49">
        <v>148323800000</v>
      </c>
      <c r="U13" s="49">
        <v>175022100000</v>
      </c>
      <c r="V13" s="50">
        <f t="shared" si="5"/>
        <v>1.3688001768110107</v>
      </c>
    </row>
    <row r="14" spans="1:22" ht="89.25" customHeight="1">
      <c r="A14" s="40" t="s">
        <v>1946</v>
      </c>
      <c r="B14" s="41" t="s">
        <v>1947</v>
      </c>
      <c r="C14" s="58" t="s">
        <v>881</v>
      </c>
      <c r="D14" s="43"/>
      <c r="E14" s="43"/>
      <c r="F14" s="43"/>
      <c r="G14" s="43">
        <v>121078800000</v>
      </c>
      <c r="H14" s="43">
        <v>119880000000</v>
      </c>
      <c r="I14" s="43">
        <f t="shared" si="0"/>
        <v>-9.9009900990099098E-3</v>
      </c>
      <c r="J14" s="43">
        <v>143856000000</v>
      </c>
      <c r="K14" s="43"/>
      <c r="L14" s="43"/>
      <c r="M14" s="43"/>
      <c r="N14" s="43">
        <v>175024800000</v>
      </c>
      <c r="O14" s="43">
        <f t="shared" si="1"/>
        <v>0.45999999999999996</v>
      </c>
      <c r="P14" s="43">
        <f t="shared" si="2"/>
        <v>1.4455445544554455</v>
      </c>
      <c r="Q14" s="43">
        <f t="shared" si="3"/>
        <v>1.4455445544554455</v>
      </c>
      <c r="R14" s="43">
        <f t="shared" si="4"/>
        <v>1.160000182831233</v>
      </c>
      <c r="S14" s="43">
        <v>175024800000</v>
      </c>
      <c r="T14" s="43">
        <v>203028800000</v>
      </c>
      <c r="U14" s="43">
        <v>239574000000</v>
      </c>
      <c r="V14" s="44">
        <f t="shared" si="5"/>
        <v>1.3688003071564716</v>
      </c>
    </row>
    <row r="15" spans="1:22" ht="51" customHeight="1">
      <c r="A15" s="46" t="s">
        <v>1948</v>
      </c>
      <c r="B15" s="47" t="s">
        <v>1949</v>
      </c>
      <c r="C15" s="60" t="s">
        <v>881</v>
      </c>
      <c r="D15" s="49"/>
      <c r="E15" s="49"/>
      <c r="F15" s="49"/>
      <c r="G15" s="49">
        <v>570000000</v>
      </c>
      <c r="H15" s="49"/>
      <c r="I15" s="49"/>
      <c r="J15" s="49"/>
      <c r="K15" s="49"/>
      <c r="L15" s="49">
        <v>6260000000</v>
      </c>
      <c r="M15" s="49">
        <v>7500000000</v>
      </c>
      <c r="N15" s="49">
        <f t="shared" ref="N15:N27" si="6">G15*1.45</f>
        <v>826500000</v>
      </c>
      <c r="O15" s="49">
        <f t="shared" ref="O15:O27" si="7">N15/G15-1</f>
        <v>0.44999999999999996</v>
      </c>
      <c r="P15" s="49">
        <f t="shared" si="2"/>
        <v>1.45</v>
      </c>
      <c r="Q15" s="49">
        <f t="shared" ref="Q15:Q27" si="8">M15/G15</f>
        <v>13.157894736842104</v>
      </c>
      <c r="R15" s="49" t="s">
        <v>1950</v>
      </c>
      <c r="S15" s="49"/>
      <c r="T15" s="49"/>
      <c r="U15" s="49">
        <f t="shared" ref="U15:U27" si="9">1.35*N15</f>
        <v>1115775000</v>
      </c>
      <c r="V15" s="50">
        <f t="shared" ref="V15:V27" si="10">U15/N15</f>
        <v>1.35</v>
      </c>
    </row>
    <row r="16" spans="1:22" ht="51" customHeight="1">
      <c r="A16" s="40" t="s">
        <v>1951</v>
      </c>
      <c r="B16" s="41" t="s">
        <v>1952</v>
      </c>
      <c r="C16" s="58" t="s">
        <v>881</v>
      </c>
      <c r="D16" s="43"/>
      <c r="E16" s="43"/>
      <c r="F16" s="43"/>
      <c r="G16" s="43">
        <v>820000000</v>
      </c>
      <c r="H16" s="43"/>
      <c r="I16" s="43"/>
      <c r="J16" s="43"/>
      <c r="K16" s="43"/>
      <c r="L16" s="43"/>
      <c r="M16" s="43">
        <v>8500000000</v>
      </c>
      <c r="N16" s="43">
        <f t="shared" si="6"/>
        <v>1189000000</v>
      </c>
      <c r="O16" s="43">
        <f t="shared" si="7"/>
        <v>0.44999999999999996</v>
      </c>
      <c r="P16" s="43">
        <f t="shared" si="2"/>
        <v>1.45</v>
      </c>
      <c r="Q16" s="43">
        <f t="shared" si="8"/>
        <v>10.365853658536585</v>
      </c>
      <c r="R16" s="43"/>
      <c r="S16" s="43"/>
      <c r="T16" s="43"/>
      <c r="U16" s="43">
        <f t="shared" si="9"/>
        <v>1605150000</v>
      </c>
      <c r="V16" s="44">
        <f t="shared" si="10"/>
        <v>1.35</v>
      </c>
    </row>
    <row r="17" spans="1:22" ht="51" customHeight="1">
      <c r="A17" s="46" t="s">
        <v>1953</v>
      </c>
      <c r="B17" s="47" t="s">
        <v>1954</v>
      </c>
      <c r="C17" s="60" t="s">
        <v>881</v>
      </c>
      <c r="D17" s="49"/>
      <c r="E17" s="49"/>
      <c r="F17" s="49"/>
      <c r="G17" s="49">
        <v>1150000000</v>
      </c>
      <c r="H17" s="49"/>
      <c r="I17" s="49"/>
      <c r="J17" s="49"/>
      <c r="K17" s="49"/>
      <c r="L17" s="49"/>
      <c r="M17" s="49">
        <v>10000000000</v>
      </c>
      <c r="N17" s="49">
        <f t="shared" si="6"/>
        <v>1667500000</v>
      </c>
      <c r="O17" s="49">
        <f t="shared" si="7"/>
        <v>0.44999999999999996</v>
      </c>
      <c r="P17" s="49">
        <f t="shared" si="2"/>
        <v>1.45</v>
      </c>
      <c r="Q17" s="49">
        <f t="shared" si="8"/>
        <v>8.695652173913043</v>
      </c>
      <c r="R17" s="49"/>
      <c r="S17" s="49"/>
      <c r="T17" s="49"/>
      <c r="U17" s="49">
        <f t="shared" si="9"/>
        <v>2251125000</v>
      </c>
      <c r="V17" s="50">
        <f t="shared" si="10"/>
        <v>1.35</v>
      </c>
    </row>
    <row r="18" spans="1:22" ht="51" customHeight="1">
      <c r="A18" s="40" t="s">
        <v>1955</v>
      </c>
      <c r="B18" s="41" t="s">
        <v>1956</v>
      </c>
      <c r="C18" s="58" t="s">
        <v>881</v>
      </c>
      <c r="D18" s="43"/>
      <c r="E18" s="43"/>
      <c r="F18" s="43"/>
      <c r="G18" s="43">
        <v>1500000000</v>
      </c>
      <c r="H18" s="43"/>
      <c r="I18" s="43"/>
      <c r="J18" s="43"/>
      <c r="K18" s="43"/>
      <c r="L18" s="43"/>
      <c r="M18" s="43">
        <v>11000000000</v>
      </c>
      <c r="N18" s="43">
        <f t="shared" si="6"/>
        <v>2175000000</v>
      </c>
      <c r="O18" s="43">
        <f t="shared" si="7"/>
        <v>0.44999999999999996</v>
      </c>
      <c r="P18" s="43">
        <f t="shared" si="2"/>
        <v>1.45</v>
      </c>
      <c r="Q18" s="43">
        <f t="shared" si="8"/>
        <v>7.333333333333333</v>
      </c>
      <c r="R18" s="43"/>
      <c r="S18" s="43"/>
      <c r="T18" s="43"/>
      <c r="U18" s="43">
        <f t="shared" si="9"/>
        <v>2936250000</v>
      </c>
      <c r="V18" s="44">
        <f t="shared" si="10"/>
        <v>1.35</v>
      </c>
    </row>
    <row r="19" spans="1:22" ht="51" customHeight="1">
      <c r="A19" s="46" t="s">
        <v>1957</v>
      </c>
      <c r="B19" s="47" t="s">
        <v>1958</v>
      </c>
      <c r="C19" s="60" t="s">
        <v>881</v>
      </c>
      <c r="D19" s="49"/>
      <c r="E19" s="49"/>
      <c r="F19" s="49"/>
      <c r="G19" s="49">
        <v>1650000000</v>
      </c>
      <c r="H19" s="49"/>
      <c r="I19" s="49"/>
      <c r="J19" s="49"/>
      <c r="K19" s="49"/>
      <c r="L19" s="49"/>
      <c r="M19" s="49">
        <v>13500000000</v>
      </c>
      <c r="N19" s="49">
        <f t="shared" si="6"/>
        <v>2392500000</v>
      </c>
      <c r="O19" s="49">
        <f t="shared" si="7"/>
        <v>0.44999999999999996</v>
      </c>
      <c r="P19" s="49">
        <f t="shared" si="2"/>
        <v>1.45</v>
      </c>
      <c r="Q19" s="49">
        <f t="shared" si="8"/>
        <v>8.1818181818181817</v>
      </c>
      <c r="R19" s="49"/>
      <c r="S19" s="49"/>
      <c r="T19" s="49"/>
      <c r="U19" s="49">
        <f t="shared" si="9"/>
        <v>3229875000</v>
      </c>
      <c r="V19" s="50">
        <f t="shared" si="10"/>
        <v>1.35</v>
      </c>
    </row>
    <row r="20" spans="1:22" ht="51" customHeight="1">
      <c r="A20" s="40" t="s">
        <v>1959</v>
      </c>
      <c r="B20" s="41" t="s">
        <v>1960</v>
      </c>
      <c r="C20" s="58" t="s">
        <v>881</v>
      </c>
      <c r="D20" s="43"/>
      <c r="E20" s="43"/>
      <c r="F20" s="43"/>
      <c r="G20" s="43">
        <v>2300000000</v>
      </c>
      <c r="H20" s="43"/>
      <c r="I20" s="43"/>
      <c r="J20" s="43"/>
      <c r="K20" s="43"/>
      <c r="L20" s="43"/>
      <c r="M20" s="43">
        <v>16500000000</v>
      </c>
      <c r="N20" s="43">
        <f t="shared" si="6"/>
        <v>3335000000</v>
      </c>
      <c r="O20" s="43">
        <f t="shared" si="7"/>
        <v>0.44999999999999996</v>
      </c>
      <c r="P20" s="43">
        <f t="shared" si="2"/>
        <v>1.45</v>
      </c>
      <c r="Q20" s="43">
        <f t="shared" si="8"/>
        <v>7.1739130434782608</v>
      </c>
      <c r="R20" s="43"/>
      <c r="S20" s="43"/>
      <c r="T20" s="43"/>
      <c r="U20" s="43">
        <f t="shared" si="9"/>
        <v>4502250000</v>
      </c>
      <c r="V20" s="44">
        <f t="shared" si="10"/>
        <v>1.35</v>
      </c>
    </row>
    <row r="21" spans="1:22" ht="51" customHeight="1">
      <c r="A21" s="46" t="s">
        <v>1961</v>
      </c>
      <c r="B21" s="47" t="s">
        <v>1962</v>
      </c>
      <c r="C21" s="60" t="s">
        <v>881</v>
      </c>
      <c r="D21" s="49"/>
      <c r="E21" s="49"/>
      <c r="F21" s="49"/>
      <c r="G21" s="49">
        <v>2450000000</v>
      </c>
      <c r="H21" s="49"/>
      <c r="I21" s="49"/>
      <c r="J21" s="49"/>
      <c r="K21" s="49"/>
      <c r="L21" s="49"/>
      <c r="M21" s="49">
        <v>20000000000</v>
      </c>
      <c r="N21" s="49">
        <f t="shared" si="6"/>
        <v>3552500000</v>
      </c>
      <c r="O21" s="49">
        <f t="shared" si="7"/>
        <v>0.44999999999999996</v>
      </c>
      <c r="P21" s="49">
        <f t="shared" si="2"/>
        <v>1.45</v>
      </c>
      <c r="Q21" s="49">
        <f t="shared" si="8"/>
        <v>8.1632653061224492</v>
      </c>
      <c r="R21" s="49"/>
      <c r="S21" s="49"/>
      <c r="T21" s="49"/>
      <c r="U21" s="49">
        <f t="shared" si="9"/>
        <v>4795875000</v>
      </c>
      <c r="V21" s="50">
        <f t="shared" si="10"/>
        <v>1.35</v>
      </c>
    </row>
    <row r="22" spans="1:22" ht="51" customHeight="1">
      <c r="A22" s="40" t="s">
        <v>1963</v>
      </c>
      <c r="B22" s="41" t="s">
        <v>1964</v>
      </c>
      <c r="C22" s="58" t="s">
        <v>881</v>
      </c>
      <c r="D22" s="43"/>
      <c r="E22" s="43"/>
      <c r="F22" s="43"/>
      <c r="G22" s="43">
        <v>2900000000</v>
      </c>
      <c r="H22" s="43"/>
      <c r="I22" s="43"/>
      <c r="J22" s="43"/>
      <c r="K22" s="43"/>
      <c r="L22" s="43"/>
      <c r="M22" s="43">
        <v>30000000000</v>
      </c>
      <c r="N22" s="43">
        <f t="shared" si="6"/>
        <v>4205000000</v>
      </c>
      <c r="O22" s="43">
        <f t="shared" si="7"/>
        <v>0.44999999999999996</v>
      </c>
      <c r="P22" s="43">
        <f t="shared" si="2"/>
        <v>1.45</v>
      </c>
      <c r="Q22" s="43">
        <f t="shared" si="8"/>
        <v>10.344827586206897</v>
      </c>
      <c r="R22" s="43"/>
      <c r="S22" s="43"/>
      <c r="T22" s="43"/>
      <c r="U22" s="43">
        <f t="shared" si="9"/>
        <v>5676750000</v>
      </c>
      <c r="V22" s="44">
        <f t="shared" si="10"/>
        <v>1.35</v>
      </c>
    </row>
    <row r="23" spans="1:22">
      <c r="A23" s="46" t="s">
        <v>1965</v>
      </c>
      <c r="B23" s="97" t="s">
        <v>1966</v>
      </c>
      <c r="C23" s="60" t="s">
        <v>1967</v>
      </c>
      <c r="D23" s="49"/>
      <c r="E23" s="49"/>
      <c r="F23" s="49"/>
      <c r="G23" s="49">
        <v>176000000</v>
      </c>
      <c r="H23" s="49"/>
      <c r="I23" s="49"/>
      <c r="J23" s="49"/>
      <c r="K23" s="49"/>
      <c r="L23" s="49"/>
      <c r="M23" s="49"/>
      <c r="N23" s="49">
        <f t="shared" si="6"/>
        <v>255200000</v>
      </c>
      <c r="O23" s="49">
        <f t="shared" si="7"/>
        <v>0.44999999999999996</v>
      </c>
      <c r="P23" s="49">
        <f t="shared" si="2"/>
        <v>1.45</v>
      </c>
      <c r="Q23" s="49">
        <f t="shared" si="8"/>
        <v>0</v>
      </c>
      <c r="R23" s="49"/>
      <c r="S23" s="49"/>
      <c r="T23" s="49"/>
      <c r="U23" s="49">
        <f t="shared" si="9"/>
        <v>344520000</v>
      </c>
      <c r="V23" s="50">
        <f t="shared" si="10"/>
        <v>1.35</v>
      </c>
    </row>
    <row r="24" spans="1:22">
      <c r="A24" s="40" t="s">
        <v>1968</v>
      </c>
      <c r="B24" s="96" t="s">
        <v>1969</v>
      </c>
      <c r="C24" s="58" t="s">
        <v>1967</v>
      </c>
      <c r="D24" s="43"/>
      <c r="E24" s="43"/>
      <c r="F24" s="43"/>
      <c r="G24" s="43">
        <v>680000000</v>
      </c>
      <c r="H24" s="43"/>
      <c r="I24" s="43"/>
      <c r="J24" s="43"/>
      <c r="K24" s="43"/>
      <c r="L24" s="43"/>
      <c r="M24" s="43">
        <v>800000000</v>
      </c>
      <c r="N24" s="43">
        <f t="shared" si="6"/>
        <v>986000000</v>
      </c>
      <c r="O24" s="43">
        <f t="shared" si="7"/>
        <v>0.44999999999999996</v>
      </c>
      <c r="P24" s="43">
        <f t="shared" si="2"/>
        <v>1.45</v>
      </c>
      <c r="Q24" s="43">
        <f t="shared" si="8"/>
        <v>1.1764705882352942</v>
      </c>
      <c r="R24" s="43"/>
      <c r="S24" s="43"/>
      <c r="T24" s="43"/>
      <c r="U24" s="43">
        <f t="shared" si="9"/>
        <v>1331100000</v>
      </c>
      <c r="V24" s="44">
        <f t="shared" si="10"/>
        <v>1.35</v>
      </c>
    </row>
    <row r="25" spans="1:22">
      <c r="A25" s="46" t="s">
        <v>1970</v>
      </c>
      <c r="B25" s="97" t="s">
        <v>1971</v>
      </c>
      <c r="C25" s="60" t="s">
        <v>881</v>
      </c>
      <c r="D25" s="49"/>
      <c r="E25" s="49"/>
      <c r="F25" s="49"/>
      <c r="G25" s="49">
        <v>220000000</v>
      </c>
      <c r="H25" s="49"/>
      <c r="I25" s="49"/>
      <c r="J25" s="49"/>
      <c r="K25" s="49"/>
      <c r="L25" s="49"/>
      <c r="M25" s="49">
        <v>750000000</v>
      </c>
      <c r="N25" s="49">
        <f t="shared" si="6"/>
        <v>319000000</v>
      </c>
      <c r="O25" s="49">
        <f t="shared" si="7"/>
        <v>0.44999999999999996</v>
      </c>
      <c r="P25" s="49">
        <f t="shared" si="2"/>
        <v>1.45</v>
      </c>
      <c r="Q25" s="49">
        <f t="shared" si="8"/>
        <v>3.4090909090909092</v>
      </c>
      <c r="R25" s="49"/>
      <c r="S25" s="49"/>
      <c r="T25" s="49"/>
      <c r="U25" s="49">
        <f t="shared" si="9"/>
        <v>430650000</v>
      </c>
      <c r="V25" s="50">
        <f t="shared" si="10"/>
        <v>1.35</v>
      </c>
    </row>
    <row r="26" spans="1:22">
      <c r="A26" s="40" t="s">
        <v>1972</v>
      </c>
      <c r="B26" s="96" t="s">
        <v>1973</v>
      </c>
      <c r="C26" s="58" t="s">
        <v>881</v>
      </c>
      <c r="D26" s="43"/>
      <c r="E26" s="43"/>
      <c r="F26" s="43"/>
      <c r="G26" s="43">
        <v>506000000</v>
      </c>
      <c r="H26" s="43"/>
      <c r="I26" s="43"/>
      <c r="J26" s="43"/>
      <c r="K26" s="43"/>
      <c r="L26" s="43"/>
      <c r="M26" s="43">
        <v>950000000</v>
      </c>
      <c r="N26" s="43">
        <f t="shared" si="6"/>
        <v>733700000</v>
      </c>
      <c r="O26" s="43">
        <f t="shared" si="7"/>
        <v>0.44999999999999996</v>
      </c>
      <c r="P26" s="43">
        <f t="shared" si="2"/>
        <v>1.45</v>
      </c>
      <c r="Q26" s="43">
        <f t="shared" si="8"/>
        <v>1.8774703557312253</v>
      </c>
      <c r="R26" s="43"/>
      <c r="S26" s="43"/>
      <c r="T26" s="43"/>
      <c r="U26" s="43">
        <f t="shared" si="9"/>
        <v>990495000.00000012</v>
      </c>
      <c r="V26" s="44">
        <f t="shared" si="10"/>
        <v>1.35</v>
      </c>
    </row>
    <row r="27" spans="1:22">
      <c r="A27" s="46" t="s">
        <v>1974</v>
      </c>
      <c r="B27" s="97" t="s">
        <v>1975</v>
      </c>
      <c r="C27" s="60" t="s">
        <v>881</v>
      </c>
      <c r="D27" s="49"/>
      <c r="E27" s="49"/>
      <c r="F27" s="49"/>
      <c r="G27" s="49">
        <v>660000000</v>
      </c>
      <c r="H27" s="49"/>
      <c r="I27" s="49"/>
      <c r="J27" s="49"/>
      <c r="K27" s="49"/>
      <c r="L27" s="49"/>
      <c r="M27" s="49">
        <v>950000000</v>
      </c>
      <c r="N27" s="49">
        <f t="shared" si="6"/>
        <v>957000000</v>
      </c>
      <c r="O27" s="49">
        <f t="shared" si="7"/>
        <v>0.44999999999999996</v>
      </c>
      <c r="P27" s="49">
        <f t="shared" si="2"/>
        <v>1.45</v>
      </c>
      <c r="Q27" s="49">
        <f t="shared" si="8"/>
        <v>1.4393939393939394</v>
      </c>
      <c r="R27" s="49"/>
      <c r="S27" s="49"/>
      <c r="T27" s="49"/>
      <c r="U27" s="49">
        <f t="shared" si="9"/>
        <v>1291950000</v>
      </c>
      <c r="V27" s="50">
        <f t="shared" si="10"/>
        <v>1.35</v>
      </c>
    </row>
    <row r="28" spans="1:22">
      <c r="A28" s="52">
        <v>32370101</v>
      </c>
      <c r="B28" s="41"/>
      <c r="C28" s="42"/>
      <c r="D28" s="43"/>
      <c r="E28" s="43"/>
      <c r="F28" s="43"/>
      <c r="G28" s="43"/>
      <c r="H28" s="43"/>
      <c r="I28" s="43"/>
      <c r="J28" s="43"/>
      <c r="K28" s="43"/>
      <c r="L28" s="43"/>
      <c r="M28" s="43"/>
      <c r="N28" s="43"/>
      <c r="O28" s="43"/>
      <c r="P28" s="43"/>
      <c r="Q28" s="43"/>
      <c r="R28" s="43"/>
      <c r="S28" s="43"/>
      <c r="T28" s="43"/>
      <c r="U28" s="43"/>
      <c r="V28" s="44"/>
    </row>
    <row r="29" spans="1:22">
      <c r="A29" s="51">
        <v>32370102</v>
      </c>
      <c r="B29" s="47"/>
      <c r="C29" s="48"/>
      <c r="D29" s="49"/>
      <c r="E29" s="49"/>
      <c r="F29" s="49"/>
      <c r="G29" s="49"/>
      <c r="H29" s="49"/>
      <c r="I29" s="49"/>
      <c r="J29" s="49"/>
      <c r="K29" s="49"/>
      <c r="L29" s="49"/>
      <c r="M29" s="49"/>
      <c r="N29" s="49"/>
      <c r="O29" s="49"/>
      <c r="P29" s="49"/>
      <c r="Q29" s="49"/>
      <c r="R29" s="49"/>
      <c r="S29" s="49"/>
      <c r="T29" s="49"/>
      <c r="U29" s="49"/>
      <c r="V29" s="50"/>
    </row>
    <row r="30" spans="1:22">
      <c r="A30" s="52">
        <v>32370103</v>
      </c>
      <c r="B30" s="41"/>
      <c r="C30" s="42"/>
      <c r="D30" s="43"/>
      <c r="E30" s="43"/>
      <c r="F30" s="43"/>
      <c r="G30" s="43"/>
      <c r="H30" s="43"/>
      <c r="I30" s="43"/>
      <c r="J30" s="43"/>
      <c r="K30" s="43"/>
      <c r="L30" s="43"/>
      <c r="M30" s="43"/>
      <c r="N30" s="43"/>
      <c r="O30" s="43"/>
      <c r="P30" s="43"/>
      <c r="Q30" s="43"/>
      <c r="R30" s="43"/>
      <c r="S30" s="43"/>
      <c r="T30" s="43"/>
      <c r="U30" s="43"/>
      <c r="V30" s="44"/>
    </row>
    <row r="31" spans="1:22">
      <c r="A31" s="51">
        <v>32370104</v>
      </c>
      <c r="B31" s="47"/>
      <c r="C31" s="48"/>
      <c r="D31" s="49"/>
      <c r="E31" s="49"/>
      <c r="F31" s="49"/>
      <c r="G31" s="49"/>
      <c r="H31" s="49"/>
      <c r="I31" s="49"/>
      <c r="J31" s="49"/>
      <c r="K31" s="49"/>
      <c r="L31" s="49"/>
      <c r="M31" s="49"/>
      <c r="N31" s="49"/>
      <c r="O31" s="49"/>
      <c r="P31" s="49"/>
      <c r="Q31" s="49"/>
      <c r="R31" s="49"/>
      <c r="S31" s="49"/>
      <c r="T31" s="49"/>
      <c r="U31" s="49"/>
      <c r="V31" s="50"/>
    </row>
    <row r="32" spans="1:22">
      <c r="A32" s="52">
        <v>32370105</v>
      </c>
      <c r="B32" s="41"/>
      <c r="C32" s="42"/>
      <c r="D32" s="43"/>
      <c r="E32" s="43"/>
      <c r="F32" s="43"/>
      <c r="G32" s="43"/>
      <c r="H32" s="43"/>
      <c r="I32" s="43"/>
      <c r="J32" s="43"/>
      <c r="K32" s="43"/>
      <c r="L32" s="43"/>
      <c r="M32" s="43"/>
      <c r="N32" s="43"/>
      <c r="O32" s="43"/>
      <c r="P32" s="43"/>
      <c r="Q32" s="43"/>
      <c r="R32" s="43"/>
      <c r="S32" s="43"/>
      <c r="T32" s="43"/>
      <c r="U32" s="43"/>
      <c r="V32" s="44"/>
    </row>
    <row r="33" spans="1:22">
      <c r="A33" s="51">
        <v>32370106</v>
      </c>
      <c r="B33" s="47"/>
      <c r="C33" s="48"/>
      <c r="D33" s="49"/>
      <c r="E33" s="49"/>
      <c r="F33" s="49"/>
      <c r="G33" s="49"/>
      <c r="H33" s="49"/>
      <c r="I33" s="49"/>
      <c r="J33" s="49"/>
      <c r="K33" s="49"/>
      <c r="L33" s="49"/>
      <c r="M33" s="49"/>
      <c r="N33" s="49"/>
      <c r="O33" s="49"/>
      <c r="P33" s="49"/>
      <c r="Q33" s="49"/>
      <c r="R33" s="49"/>
      <c r="S33" s="49"/>
      <c r="T33" s="49"/>
      <c r="U33" s="49"/>
      <c r="V33" s="50"/>
    </row>
    <row r="34" spans="1:22">
      <c r="A34" s="52">
        <v>32370107</v>
      </c>
      <c r="B34" s="41"/>
      <c r="C34" s="42"/>
      <c r="D34" s="43"/>
      <c r="E34" s="43"/>
      <c r="F34" s="43"/>
      <c r="G34" s="43"/>
      <c r="H34" s="43"/>
      <c r="I34" s="43"/>
      <c r="J34" s="43"/>
      <c r="K34" s="43"/>
      <c r="L34" s="43"/>
      <c r="M34" s="43"/>
      <c r="N34" s="43"/>
      <c r="O34" s="43"/>
      <c r="P34" s="43"/>
      <c r="Q34" s="43"/>
      <c r="R34" s="43"/>
      <c r="S34" s="43"/>
      <c r="T34" s="43"/>
      <c r="U34" s="43"/>
      <c r="V34" s="44"/>
    </row>
    <row r="35" spans="1:22">
      <c r="A35" s="51">
        <v>32370108</v>
      </c>
      <c r="B35" s="47"/>
      <c r="C35" s="48"/>
      <c r="D35" s="49"/>
      <c r="E35" s="49"/>
      <c r="F35" s="49"/>
      <c r="G35" s="49"/>
      <c r="H35" s="49"/>
      <c r="I35" s="49"/>
      <c r="J35" s="49"/>
      <c r="K35" s="49"/>
      <c r="L35" s="49"/>
      <c r="M35" s="49"/>
      <c r="N35" s="49"/>
      <c r="O35" s="49"/>
      <c r="P35" s="49"/>
      <c r="Q35" s="49"/>
      <c r="R35" s="49"/>
      <c r="S35" s="49"/>
      <c r="T35" s="49"/>
      <c r="U35" s="49"/>
      <c r="V35" s="50"/>
    </row>
    <row r="36" spans="1:22">
      <c r="A36" s="52">
        <v>32370109</v>
      </c>
      <c r="B36" s="41"/>
      <c r="C36" s="42"/>
      <c r="D36" s="43"/>
      <c r="E36" s="43"/>
      <c r="F36" s="43"/>
      <c r="G36" s="43"/>
      <c r="H36" s="43"/>
      <c r="I36" s="43"/>
      <c r="J36" s="43"/>
      <c r="K36" s="43"/>
      <c r="L36" s="43"/>
      <c r="M36" s="43"/>
      <c r="N36" s="43"/>
      <c r="O36" s="43"/>
      <c r="P36" s="43"/>
      <c r="Q36" s="43"/>
      <c r="R36" s="43"/>
      <c r="S36" s="43"/>
      <c r="T36" s="43"/>
      <c r="U36" s="43"/>
      <c r="V36" s="44"/>
    </row>
    <row r="37" spans="1:22">
      <c r="A37" s="51">
        <v>32370110</v>
      </c>
      <c r="B37" s="47"/>
      <c r="C37" s="48"/>
      <c r="D37" s="49"/>
      <c r="E37" s="49"/>
      <c r="F37" s="49"/>
      <c r="G37" s="49"/>
      <c r="H37" s="49"/>
      <c r="I37" s="49"/>
      <c r="J37" s="49"/>
      <c r="K37" s="49"/>
      <c r="L37" s="49"/>
      <c r="M37" s="49"/>
      <c r="N37" s="49"/>
      <c r="O37" s="49"/>
      <c r="P37" s="49"/>
      <c r="Q37" s="49"/>
      <c r="R37" s="49"/>
      <c r="S37" s="49"/>
      <c r="T37" s="49"/>
      <c r="U37" s="49"/>
      <c r="V37" s="50"/>
    </row>
    <row r="38" spans="1:22">
      <c r="A38" s="52">
        <v>32370111</v>
      </c>
      <c r="B38" s="41"/>
      <c r="C38" s="42"/>
      <c r="D38" s="43"/>
      <c r="E38" s="43"/>
      <c r="F38" s="43"/>
      <c r="G38" s="43"/>
      <c r="H38" s="43"/>
      <c r="I38" s="43"/>
      <c r="J38" s="43"/>
      <c r="K38" s="43"/>
      <c r="L38" s="43"/>
      <c r="M38" s="43"/>
      <c r="N38" s="43"/>
      <c r="O38" s="43"/>
      <c r="P38" s="43"/>
      <c r="Q38" s="43"/>
      <c r="R38" s="43"/>
      <c r="S38" s="43"/>
      <c r="T38" s="43"/>
      <c r="U38" s="43"/>
      <c r="V38" s="44"/>
    </row>
    <row r="39" spans="1:22" ht="13.9" customHeight="1">
      <c r="A39" s="84">
        <v>32370112</v>
      </c>
      <c r="B39" s="77"/>
      <c r="C39" s="78"/>
      <c r="D39" s="64"/>
      <c r="E39" s="64"/>
      <c r="F39" s="64"/>
      <c r="G39" s="64"/>
      <c r="H39" s="64"/>
      <c r="I39" s="64"/>
      <c r="J39" s="64"/>
      <c r="K39" s="64"/>
      <c r="L39" s="64"/>
      <c r="M39" s="64"/>
      <c r="N39" s="64"/>
      <c r="O39" s="64"/>
      <c r="P39" s="64"/>
      <c r="Q39" s="64"/>
      <c r="R39" s="64"/>
      <c r="S39" s="64"/>
      <c r="T39" s="64"/>
      <c r="U39" s="64"/>
      <c r="V39" s="65"/>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theme="9" tint="-0.249977111117893"/>
  </sheetPr>
  <dimension ref="A1:L35"/>
  <sheetViews>
    <sheetView rightToLeft="1" workbookViewId="0">
      <pane ySplit="2" topLeftCell="A3" activePane="bottomLeft" state="frozen"/>
      <selection pane="bottomLeft"/>
    </sheetView>
  </sheetViews>
  <sheetFormatPr defaultRowHeight="13.5"/>
  <cols>
    <col min="1" max="1" width="14.1875" customWidth="1"/>
    <col min="2" max="2" width="46.6875" customWidth="1"/>
    <col min="3" max="3" width="10.8125" customWidth="1"/>
    <col min="4" max="4" width="18.3125" customWidth="1"/>
    <col min="6" max="7" width="18.3125" customWidth="1"/>
  </cols>
  <sheetData>
    <row r="1" spans="1:12" ht="32" customHeight="1">
      <c r="A1" s="27" t="s">
        <v>868</v>
      </c>
      <c r="B1" s="28" t="s">
        <v>869</v>
      </c>
      <c r="C1" s="28" t="s">
        <v>1856</v>
      </c>
      <c r="D1" s="28" t="s">
        <v>871</v>
      </c>
      <c r="E1" s="28" t="s">
        <v>872</v>
      </c>
      <c r="F1" s="28" t="s">
        <v>873</v>
      </c>
      <c r="G1" s="28"/>
      <c r="H1" s="28" t="s">
        <v>1976</v>
      </c>
      <c r="I1" s="28" t="s">
        <v>1920</v>
      </c>
      <c r="J1" s="28"/>
      <c r="K1" s="28" t="s">
        <v>878</v>
      </c>
      <c r="L1" s="72"/>
    </row>
    <row r="2" spans="1:12" ht="28.05" customHeight="1">
      <c r="A2" s="73" t="s">
        <v>1977</v>
      </c>
      <c r="B2" s="31" t="s">
        <v>1978</v>
      </c>
      <c r="C2" s="31" t="s">
        <v>881</v>
      </c>
      <c r="D2" s="31"/>
      <c r="E2" s="31"/>
      <c r="F2" s="101">
        <f t="shared" ref="F2:F7" si="0">I2*1.05</f>
        <v>596820000</v>
      </c>
      <c r="G2" s="102">
        <f t="shared" ref="G2:G35" si="1">F2/I2</f>
        <v>1.05</v>
      </c>
      <c r="H2" s="31">
        <v>392000000</v>
      </c>
      <c r="I2" s="32">
        <f t="shared" ref="I2:I35" si="2">H2*1.45</f>
        <v>568400000</v>
      </c>
      <c r="J2" s="31"/>
      <c r="K2" s="31">
        <f t="shared" ref="K2:K35" si="3">I2/H2</f>
        <v>1.45</v>
      </c>
      <c r="L2" s="74" t="s">
        <v>1979</v>
      </c>
    </row>
    <row r="3" spans="1:12" ht="51" customHeight="1">
      <c r="A3" s="34" t="s">
        <v>1980</v>
      </c>
      <c r="B3" s="95" t="s">
        <v>1981</v>
      </c>
      <c r="C3" s="100" t="s">
        <v>881</v>
      </c>
      <c r="D3" s="37"/>
      <c r="E3" s="37"/>
      <c r="F3" s="37">
        <f t="shared" si="0"/>
        <v>746025000</v>
      </c>
      <c r="G3" s="37">
        <f t="shared" si="1"/>
        <v>1.05</v>
      </c>
      <c r="H3" s="37">
        <v>490000000</v>
      </c>
      <c r="I3" s="37">
        <f t="shared" si="2"/>
        <v>710500000</v>
      </c>
      <c r="J3" s="37"/>
      <c r="K3" s="37">
        <f t="shared" si="3"/>
        <v>1.45</v>
      </c>
      <c r="L3" s="38"/>
    </row>
    <row r="4" spans="1:12" ht="51" customHeight="1">
      <c r="A4" s="40" t="s">
        <v>1982</v>
      </c>
      <c r="B4" s="96" t="s">
        <v>1983</v>
      </c>
      <c r="C4" s="58" t="s">
        <v>881</v>
      </c>
      <c r="D4" s="43"/>
      <c r="E4" s="43"/>
      <c r="F4" s="43">
        <f t="shared" si="0"/>
        <v>954912000</v>
      </c>
      <c r="G4" s="43">
        <f t="shared" si="1"/>
        <v>1.05</v>
      </c>
      <c r="H4" s="43">
        <v>627200000</v>
      </c>
      <c r="I4" s="43">
        <f t="shared" si="2"/>
        <v>909440000</v>
      </c>
      <c r="J4" s="43"/>
      <c r="K4" s="43">
        <f t="shared" si="3"/>
        <v>1.45</v>
      </c>
      <c r="L4" s="44"/>
    </row>
    <row r="5" spans="1:12" ht="51" customHeight="1">
      <c r="A5" s="46" t="s">
        <v>1984</v>
      </c>
      <c r="B5" s="97" t="s">
        <v>1985</v>
      </c>
      <c r="C5" s="60" t="s">
        <v>881</v>
      </c>
      <c r="D5" s="49"/>
      <c r="E5" s="49"/>
      <c r="F5" s="49">
        <f t="shared" si="0"/>
        <v>1193640000</v>
      </c>
      <c r="G5" s="49">
        <f t="shared" si="1"/>
        <v>1.05</v>
      </c>
      <c r="H5" s="49">
        <v>784000000</v>
      </c>
      <c r="I5" s="49">
        <f t="shared" si="2"/>
        <v>1136800000</v>
      </c>
      <c r="J5" s="49"/>
      <c r="K5" s="49">
        <f t="shared" si="3"/>
        <v>1.45</v>
      </c>
      <c r="L5" s="50"/>
    </row>
    <row r="6" spans="1:12" ht="51" customHeight="1">
      <c r="A6" s="40" t="s">
        <v>1986</v>
      </c>
      <c r="B6" s="96" t="s">
        <v>1987</v>
      </c>
      <c r="C6" s="58" t="s">
        <v>881</v>
      </c>
      <c r="D6" s="43"/>
      <c r="E6" s="43"/>
      <c r="F6" s="43">
        <f t="shared" si="0"/>
        <v>1492050000</v>
      </c>
      <c r="G6" s="43">
        <f t="shared" si="1"/>
        <v>1.05</v>
      </c>
      <c r="H6" s="43">
        <v>980000000</v>
      </c>
      <c r="I6" s="43">
        <f t="shared" si="2"/>
        <v>1421000000</v>
      </c>
      <c r="J6" s="43"/>
      <c r="K6" s="43">
        <f t="shared" si="3"/>
        <v>1.45</v>
      </c>
      <c r="L6" s="44"/>
    </row>
    <row r="7" spans="1:12" ht="63.75" customHeight="1">
      <c r="A7" s="46" t="s">
        <v>1988</v>
      </c>
      <c r="B7" s="97" t="s">
        <v>1989</v>
      </c>
      <c r="C7" s="60" t="s">
        <v>881</v>
      </c>
      <c r="D7" s="49"/>
      <c r="E7" s="49"/>
      <c r="F7" s="49">
        <f t="shared" si="0"/>
        <v>4326945000</v>
      </c>
      <c r="G7" s="49">
        <f t="shared" si="1"/>
        <v>1.05</v>
      </c>
      <c r="H7" s="49">
        <v>2842000000</v>
      </c>
      <c r="I7" s="49">
        <f t="shared" si="2"/>
        <v>4120900000</v>
      </c>
      <c r="J7" s="49"/>
      <c r="K7" s="49">
        <f t="shared" si="3"/>
        <v>1.45</v>
      </c>
      <c r="L7" s="50"/>
    </row>
    <row r="8" spans="1:12" ht="63.75" customHeight="1">
      <c r="A8" s="40" t="s">
        <v>1990</v>
      </c>
      <c r="B8" s="96" t="s">
        <v>1991</v>
      </c>
      <c r="C8" s="58" t="s">
        <v>881</v>
      </c>
      <c r="D8" s="43"/>
      <c r="E8" s="43"/>
      <c r="F8" s="43">
        <f t="shared" ref="F8:F21" si="4">I8*1.07</f>
        <v>5169598000</v>
      </c>
      <c r="G8" s="43">
        <f t="shared" si="1"/>
        <v>1.07</v>
      </c>
      <c r="H8" s="43">
        <v>3332000000</v>
      </c>
      <c r="I8" s="43">
        <f t="shared" si="2"/>
        <v>4831400000</v>
      </c>
      <c r="J8" s="43"/>
      <c r="K8" s="43">
        <f t="shared" si="3"/>
        <v>1.45</v>
      </c>
      <c r="L8" s="44"/>
    </row>
    <row r="9" spans="1:12" ht="63.75" customHeight="1">
      <c r="A9" s="46" t="s">
        <v>1992</v>
      </c>
      <c r="B9" s="97" t="s">
        <v>1993</v>
      </c>
      <c r="C9" s="60" t="s">
        <v>881</v>
      </c>
      <c r="D9" s="49"/>
      <c r="E9" s="49"/>
      <c r="F9" s="49">
        <f t="shared" si="4"/>
        <v>6690068000</v>
      </c>
      <c r="G9" s="49">
        <f t="shared" si="1"/>
        <v>1.07</v>
      </c>
      <c r="H9" s="49">
        <v>4312000000</v>
      </c>
      <c r="I9" s="49">
        <f t="shared" si="2"/>
        <v>6252400000</v>
      </c>
      <c r="J9" s="49"/>
      <c r="K9" s="49">
        <f t="shared" si="3"/>
        <v>1.45</v>
      </c>
      <c r="L9" s="50"/>
    </row>
    <row r="10" spans="1:12" ht="63.75" customHeight="1">
      <c r="A10" s="40" t="s">
        <v>1994</v>
      </c>
      <c r="B10" s="96" t="s">
        <v>1995</v>
      </c>
      <c r="C10" s="58" t="s">
        <v>881</v>
      </c>
      <c r="D10" s="43"/>
      <c r="E10" s="43"/>
      <c r="F10" s="43">
        <f t="shared" si="4"/>
        <v>9122820000</v>
      </c>
      <c r="G10" s="43">
        <f t="shared" si="1"/>
        <v>1.07</v>
      </c>
      <c r="H10" s="43">
        <v>5880000000</v>
      </c>
      <c r="I10" s="43">
        <f t="shared" si="2"/>
        <v>8526000000</v>
      </c>
      <c r="J10" s="43"/>
      <c r="K10" s="43">
        <f t="shared" si="3"/>
        <v>1.45</v>
      </c>
      <c r="L10" s="44"/>
    </row>
    <row r="11" spans="1:12" ht="63.75" customHeight="1">
      <c r="A11" s="46" t="s">
        <v>1996</v>
      </c>
      <c r="B11" s="97" t="s">
        <v>1997</v>
      </c>
      <c r="C11" s="60" t="s">
        <v>881</v>
      </c>
      <c r="D11" s="49"/>
      <c r="E11" s="49"/>
      <c r="F11" s="49">
        <f t="shared" si="4"/>
        <v>10643290000</v>
      </c>
      <c r="G11" s="49">
        <f t="shared" si="1"/>
        <v>1.07</v>
      </c>
      <c r="H11" s="49">
        <v>6860000000</v>
      </c>
      <c r="I11" s="49">
        <f t="shared" si="2"/>
        <v>9947000000</v>
      </c>
      <c r="J11" s="49"/>
      <c r="K11" s="49">
        <f t="shared" si="3"/>
        <v>1.45</v>
      </c>
      <c r="L11" s="50"/>
    </row>
    <row r="12" spans="1:12" ht="63.75" customHeight="1">
      <c r="A12" s="40" t="s">
        <v>1998</v>
      </c>
      <c r="B12" s="96" t="s">
        <v>1999</v>
      </c>
      <c r="C12" s="58" t="s">
        <v>881</v>
      </c>
      <c r="D12" s="43"/>
      <c r="E12" s="43"/>
      <c r="F12" s="43">
        <f t="shared" si="4"/>
        <v>152047000</v>
      </c>
      <c r="G12" s="43">
        <f t="shared" si="1"/>
        <v>1.07</v>
      </c>
      <c r="H12" s="43">
        <v>98000000</v>
      </c>
      <c r="I12" s="43">
        <f t="shared" si="2"/>
        <v>142100000</v>
      </c>
      <c r="J12" s="43"/>
      <c r="K12" s="43">
        <f t="shared" si="3"/>
        <v>1.45</v>
      </c>
      <c r="L12" s="44"/>
    </row>
    <row r="13" spans="1:12" ht="63.75" customHeight="1">
      <c r="A13" s="46" t="s">
        <v>2000</v>
      </c>
      <c r="B13" s="97" t="s">
        <v>2001</v>
      </c>
      <c r="C13" s="60" t="s">
        <v>881</v>
      </c>
      <c r="D13" s="49"/>
      <c r="E13" s="49"/>
      <c r="F13" s="49">
        <f t="shared" si="4"/>
        <v>203742980</v>
      </c>
      <c r="G13" s="49">
        <f t="shared" si="1"/>
        <v>1.07</v>
      </c>
      <c r="H13" s="49">
        <v>131320000</v>
      </c>
      <c r="I13" s="49">
        <f t="shared" si="2"/>
        <v>190414000</v>
      </c>
      <c r="J13" s="49"/>
      <c r="K13" s="49">
        <f t="shared" si="3"/>
        <v>1.45</v>
      </c>
      <c r="L13" s="50"/>
    </row>
    <row r="14" spans="1:12" ht="63.75" customHeight="1">
      <c r="A14" s="40" t="s">
        <v>2002</v>
      </c>
      <c r="B14" s="96" t="s">
        <v>2003</v>
      </c>
      <c r="C14" s="58" t="s">
        <v>881</v>
      </c>
      <c r="D14" s="43"/>
      <c r="E14" s="43"/>
      <c r="F14" s="43">
        <f t="shared" si="4"/>
        <v>243275200</v>
      </c>
      <c r="G14" s="43">
        <f t="shared" si="1"/>
        <v>1.07</v>
      </c>
      <c r="H14" s="43">
        <v>156800000</v>
      </c>
      <c r="I14" s="43">
        <f t="shared" si="2"/>
        <v>227360000</v>
      </c>
      <c r="J14" s="43"/>
      <c r="K14" s="43">
        <f t="shared" si="3"/>
        <v>1.45</v>
      </c>
      <c r="L14" s="44"/>
    </row>
    <row r="15" spans="1:12" ht="63.75" customHeight="1">
      <c r="A15" s="46" t="s">
        <v>2004</v>
      </c>
      <c r="B15" s="97" t="s">
        <v>2005</v>
      </c>
      <c r="C15" s="60" t="s">
        <v>881</v>
      </c>
      <c r="D15" s="49"/>
      <c r="E15" s="49"/>
      <c r="F15" s="49">
        <f t="shared" si="4"/>
        <v>285848360</v>
      </c>
      <c r="G15" s="49">
        <f t="shared" si="1"/>
        <v>1.07</v>
      </c>
      <c r="H15" s="49">
        <v>184240000</v>
      </c>
      <c r="I15" s="49">
        <f t="shared" si="2"/>
        <v>267148000</v>
      </c>
      <c r="J15" s="49" t="s">
        <v>2006</v>
      </c>
      <c r="K15" s="49">
        <f t="shared" si="3"/>
        <v>1.45</v>
      </c>
      <c r="L15" s="50"/>
    </row>
    <row r="16" spans="1:12" ht="63.75" customHeight="1">
      <c r="A16" s="40" t="s">
        <v>2007</v>
      </c>
      <c r="B16" s="96" t="s">
        <v>2008</v>
      </c>
      <c r="C16" s="58" t="s">
        <v>881</v>
      </c>
      <c r="D16" s="43"/>
      <c r="E16" s="43"/>
      <c r="F16" s="43">
        <f t="shared" si="4"/>
        <v>364912800</v>
      </c>
      <c r="G16" s="43">
        <f t="shared" si="1"/>
        <v>1.07</v>
      </c>
      <c r="H16" s="43">
        <v>235200000</v>
      </c>
      <c r="I16" s="43">
        <f t="shared" si="2"/>
        <v>341040000</v>
      </c>
      <c r="J16" s="43"/>
      <c r="K16" s="43">
        <f t="shared" si="3"/>
        <v>1.45</v>
      </c>
      <c r="L16" s="44"/>
    </row>
    <row r="17" spans="1:12" ht="63.75" customHeight="1">
      <c r="A17" s="46" t="s">
        <v>2009</v>
      </c>
      <c r="B17" s="97" t="s">
        <v>2010</v>
      </c>
      <c r="C17" s="60" t="s">
        <v>881</v>
      </c>
      <c r="D17" s="49"/>
      <c r="E17" s="49"/>
      <c r="F17" s="49">
        <f t="shared" si="4"/>
        <v>456141000</v>
      </c>
      <c r="G17" s="49">
        <f t="shared" si="1"/>
        <v>1.07</v>
      </c>
      <c r="H17" s="49">
        <v>294000000</v>
      </c>
      <c r="I17" s="49">
        <f t="shared" si="2"/>
        <v>426300000</v>
      </c>
      <c r="J17" s="49"/>
      <c r="K17" s="49">
        <f t="shared" si="3"/>
        <v>1.45</v>
      </c>
      <c r="L17" s="50"/>
    </row>
    <row r="18" spans="1:12" ht="63.75" customHeight="1">
      <c r="A18" s="40" t="s">
        <v>2011</v>
      </c>
      <c r="B18" s="96" t="s">
        <v>2012</v>
      </c>
      <c r="C18" s="58" t="s">
        <v>881</v>
      </c>
      <c r="D18" s="43"/>
      <c r="E18" s="43"/>
      <c r="F18" s="43">
        <f t="shared" si="4"/>
        <v>760235000</v>
      </c>
      <c r="G18" s="43">
        <f t="shared" si="1"/>
        <v>1.07</v>
      </c>
      <c r="H18" s="43">
        <v>490000000</v>
      </c>
      <c r="I18" s="43">
        <f t="shared" si="2"/>
        <v>710500000</v>
      </c>
      <c r="J18" s="43"/>
      <c r="K18" s="43">
        <f t="shared" si="3"/>
        <v>1.45</v>
      </c>
      <c r="L18" s="44"/>
    </row>
    <row r="19" spans="1:12" ht="63.75" customHeight="1">
      <c r="A19" s="46" t="s">
        <v>2013</v>
      </c>
      <c r="B19" s="97" t="s">
        <v>2014</v>
      </c>
      <c r="C19" s="60" t="s">
        <v>881</v>
      </c>
      <c r="D19" s="49"/>
      <c r="E19" s="49"/>
      <c r="F19" s="49">
        <f t="shared" si="4"/>
        <v>912282000</v>
      </c>
      <c r="G19" s="49">
        <f t="shared" si="1"/>
        <v>1.07</v>
      </c>
      <c r="H19" s="49">
        <v>588000000</v>
      </c>
      <c r="I19" s="49">
        <f t="shared" si="2"/>
        <v>852600000</v>
      </c>
      <c r="J19" s="49"/>
      <c r="K19" s="49">
        <f t="shared" si="3"/>
        <v>1.45</v>
      </c>
      <c r="L19" s="50"/>
    </row>
    <row r="20" spans="1:12" ht="63.75" customHeight="1">
      <c r="A20" s="40" t="s">
        <v>2015</v>
      </c>
      <c r="B20" s="96" t="s">
        <v>2016</v>
      </c>
      <c r="C20" s="58" t="s">
        <v>881</v>
      </c>
      <c r="D20" s="43"/>
      <c r="E20" s="43"/>
      <c r="F20" s="43">
        <f t="shared" si="4"/>
        <v>1064329000.0000001</v>
      </c>
      <c r="G20" s="43">
        <f t="shared" si="1"/>
        <v>1.07</v>
      </c>
      <c r="H20" s="43">
        <v>686000000</v>
      </c>
      <c r="I20" s="43">
        <f t="shared" si="2"/>
        <v>994700000</v>
      </c>
      <c r="J20" s="43"/>
      <c r="K20" s="43">
        <f t="shared" si="3"/>
        <v>1.45</v>
      </c>
      <c r="L20" s="44"/>
    </row>
    <row r="21" spans="1:12" ht="63.75" customHeight="1">
      <c r="A21" s="46" t="s">
        <v>2017</v>
      </c>
      <c r="B21" s="97" t="s">
        <v>2018</v>
      </c>
      <c r="C21" s="60" t="s">
        <v>881</v>
      </c>
      <c r="D21" s="49"/>
      <c r="E21" s="49"/>
      <c r="F21" s="49">
        <f t="shared" si="4"/>
        <v>1216376000</v>
      </c>
      <c r="G21" s="49">
        <f t="shared" si="1"/>
        <v>1.07</v>
      </c>
      <c r="H21" s="49">
        <v>784000000</v>
      </c>
      <c r="I21" s="49">
        <f t="shared" si="2"/>
        <v>1136800000</v>
      </c>
      <c r="J21" s="49"/>
      <c r="K21" s="49">
        <f t="shared" si="3"/>
        <v>1.45</v>
      </c>
      <c r="L21" s="50"/>
    </row>
    <row r="22" spans="1:12" ht="63.75" customHeight="1">
      <c r="A22" s="40" t="s">
        <v>2019</v>
      </c>
      <c r="B22" s="96" t="s">
        <v>2020</v>
      </c>
      <c r="C22" s="58" t="s">
        <v>881</v>
      </c>
      <c r="D22" s="43"/>
      <c r="E22" s="43"/>
      <c r="F22" s="43">
        <f t="shared" ref="F22:F27" si="5">I22*1.02</f>
        <v>1449420000</v>
      </c>
      <c r="G22" s="43">
        <f t="shared" si="1"/>
        <v>1.02</v>
      </c>
      <c r="H22" s="43">
        <v>980000000</v>
      </c>
      <c r="I22" s="43">
        <f t="shared" si="2"/>
        <v>1421000000</v>
      </c>
      <c r="J22" s="43"/>
      <c r="K22" s="43">
        <f t="shared" si="3"/>
        <v>1.45</v>
      </c>
      <c r="L22" s="44"/>
    </row>
    <row r="23" spans="1:12" ht="63.75" customHeight="1">
      <c r="A23" s="46" t="s">
        <v>2021</v>
      </c>
      <c r="B23" s="97" t="s">
        <v>2022</v>
      </c>
      <c r="C23" s="60" t="s">
        <v>881</v>
      </c>
      <c r="D23" s="49"/>
      <c r="E23" s="49"/>
      <c r="F23" s="49">
        <f t="shared" si="5"/>
        <v>27331920000</v>
      </c>
      <c r="G23" s="49">
        <f t="shared" si="1"/>
        <v>1.02</v>
      </c>
      <c r="H23" s="49">
        <v>18480000000</v>
      </c>
      <c r="I23" s="49">
        <f t="shared" si="2"/>
        <v>26796000000</v>
      </c>
      <c r="J23" s="49"/>
      <c r="K23" s="49">
        <f t="shared" si="3"/>
        <v>1.45</v>
      </c>
      <c r="L23" s="50"/>
    </row>
    <row r="24" spans="1:12" ht="63.75" customHeight="1">
      <c r="A24" s="40" t="s">
        <v>2023</v>
      </c>
      <c r="B24" s="96" t="s">
        <v>2024</v>
      </c>
      <c r="C24" s="58" t="s">
        <v>881</v>
      </c>
      <c r="D24" s="43"/>
      <c r="E24" s="43"/>
      <c r="F24" s="43">
        <f t="shared" si="5"/>
        <v>40997880000</v>
      </c>
      <c r="G24" s="43">
        <f t="shared" si="1"/>
        <v>1.02</v>
      </c>
      <c r="H24" s="43">
        <v>27720000000</v>
      </c>
      <c r="I24" s="43">
        <f t="shared" si="2"/>
        <v>40194000000</v>
      </c>
      <c r="J24" s="43"/>
      <c r="K24" s="43">
        <f t="shared" si="3"/>
        <v>1.45</v>
      </c>
      <c r="L24" s="44"/>
    </row>
    <row r="25" spans="1:12" ht="63.75" customHeight="1">
      <c r="A25" s="46" t="s">
        <v>2025</v>
      </c>
      <c r="B25" s="97" t="s">
        <v>2026</v>
      </c>
      <c r="C25" s="60" t="s">
        <v>881</v>
      </c>
      <c r="D25" s="49"/>
      <c r="E25" s="49"/>
      <c r="F25" s="49">
        <f t="shared" si="5"/>
        <v>52386180000</v>
      </c>
      <c r="G25" s="49">
        <f t="shared" si="1"/>
        <v>1.02</v>
      </c>
      <c r="H25" s="49">
        <v>35420000000</v>
      </c>
      <c r="I25" s="49">
        <f t="shared" si="2"/>
        <v>51359000000</v>
      </c>
      <c r="J25" s="49"/>
      <c r="K25" s="49">
        <f t="shared" si="3"/>
        <v>1.45</v>
      </c>
      <c r="L25" s="50"/>
    </row>
    <row r="26" spans="1:12" ht="63.75" customHeight="1">
      <c r="A26" s="40" t="s">
        <v>2027</v>
      </c>
      <c r="B26" s="96" t="s">
        <v>2028</v>
      </c>
      <c r="C26" s="58" t="s">
        <v>881</v>
      </c>
      <c r="D26" s="43"/>
      <c r="E26" s="43"/>
      <c r="F26" s="43">
        <f t="shared" si="5"/>
        <v>61496820000</v>
      </c>
      <c r="G26" s="43">
        <f t="shared" si="1"/>
        <v>1.02</v>
      </c>
      <c r="H26" s="43">
        <v>41580000000</v>
      </c>
      <c r="I26" s="43">
        <f t="shared" si="2"/>
        <v>60291000000</v>
      </c>
      <c r="J26" s="43"/>
      <c r="K26" s="43">
        <f t="shared" si="3"/>
        <v>1.45</v>
      </c>
      <c r="L26" s="44"/>
    </row>
    <row r="27" spans="1:12" ht="63.75" customHeight="1">
      <c r="A27" s="46" t="s">
        <v>2029</v>
      </c>
      <c r="B27" s="97" t="s">
        <v>2030</v>
      </c>
      <c r="C27" s="60" t="s">
        <v>881</v>
      </c>
      <c r="D27" s="49"/>
      <c r="E27" s="49"/>
      <c r="F27" s="49">
        <f t="shared" si="5"/>
        <v>71746290000</v>
      </c>
      <c r="G27" s="49">
        <f t="shared" si="1"/>
        <v>1.02</v>
      </c>
      <c r="H27" s="49">
        <v>48510000000</v>
      </c>
      <c r="I27" s="49">
        <f t="shared" si="2"/>
        <v>70339500000</v>
      </c>
      <c r="J27" s="49"/>
      <c r="K27" s="49">
        <f t="shared" si="3"/>
        <v>1.45</v>
      </c>
      <c r="L27" s="50"/>
    </row>
    <row r="28" spans="1:12" ht="63.75" customHeight="1">
      <c r="A28" s="40" t="s">
        <v>2031</v>
      </c>
      <c r="B28" s="96" t="s">
        <v>2032</v>
      </c>
      <c r="C28" s="58" t="s">
        <v>881</v>
      </c>
      <c r="D28" s="43"/>
      <c r="E28" s="43"/>
      <c r="F28" s="43">
        <f t="shared" ref="F28:F35" si="6">I28*1.05</f>
        <v>1656175500</v>
      </c>
      <c r="G28" s="43">
        <f t="shared" si="1"/>
        <v>1.05</v>
      </c>
      <c r="H28" s="43">
        <v>1087800000</v>
      </c>
      <c r="I28" s="43">
        <f t="shared" si="2"/>
        <v>1577310000</v>
      </c>
      <c r="J28" s="43"/>
      <c r="K28" s="43">
        <f t="shared" si="3"/>
        <v>1.45</v>
      </c>
      <c r="L28" s="44"/>
    </row>
    <row r="29" spans="1:12" ht="63.75" customHeight="1">
      <c r="A29" s="46" t="s">
        <v>2033</v>
      </c>
      <c r="B29" s="97" t="s">
        <v>2034</v>
      </c>
      <c r="C29" s="60" t="s">
        <v>881</v>
      </c>
      <c r="D29" s="49"/>
      <c r="E29" s="49"/>
      <c r="F29" s="49">
        <f t="shared" si="6"/>
        <v>2506644000</v>
      </c>
      <c r="G29" s="49">
        <f t="shared" si="1"/>
        <v>1.05</v>
      </c>
      <c r="H29" s="49">
        <v>1646400000</v>
      </c>
      <c r="I29" s="49">
        <f t="shared" si="2"/>
        <v>2387280000</v>
      </c>
      <c r="J29" s="49"/>
      <c r="K29" s="49">
        <f t="shared" si="3"/>
        <v>1.45</v>
      </c>
      <c r="L29" s="50"/>
    </row>
    <row r="30" spans="1:12" ht="63.75" customHeight="1">
      <c r="A30" s="40" t="s">
        <v>2035</v>
      </c>
      <c r="B30" s="96" t="s">
        <v>2036</v>
      </c>
      <c r="C30" s="58" t="s">
        <v>881</v>
      </c>
      <c r="D30" s="43"/>
      <c r="E30" s="43"/>
      <c r="F30" s="43">
        <f t="shared" si="6"/>
        <v>3736519500</v>
      </c>
      <c r="G30" s="43">
        <f t="shared" si="1"/>
        <v>1.05</v>
      </c>
      <c r="H30" s="43">
        <v>2454200000</v>
      </c>
      <c r="I30" s="43">
        <f t="shared" si="2"/>
        <v>3558590000</v>
      </c>
      <c r="J30" s="43"/>
      <c r="K30" s="43">
        <f t="shared" si="3"/>
        <v>1.45</v>
      </c>
      <c r="L30" s="44"/>
    </row>
    <row r="31" spans="1:12" ht="63.75" customHeight="1">
      <c r="A31" s="46" t="s">
        <v>2037</v>
      </c>
      <c r="B31" s="97" t="s">
        <v>2038</v>
      </c>
      <c r="C31" s="60" t="s">
        <v>881</v>
      </c>
      <c r="D31" s="49"/>
      <c r="E31" s="49"/>
      <c r="F31" s="49">
        <f t="shared" si="6"/>
        <v>5392695000</v>
      </c>
      <c r="G31" s="49">
        <f t="shared" si="1"/>
        <v>1.05</v>
      </c>
      <c r="H31" s="49">
        <v>3542000000</v>
      </c>
      <c r="I31" s="49">
        <f t="shared" si="2"/>
        <v>5135900000</v>
      </c>
      <c r="J31" s="49"/>
      <c r="K31" s="49">
        <f t="shared" si="3"/>
        <v>1.45</v>
      </c>
      <c r="L31" s="50"/>
    </row>
    <row r="32" spans="1:12" ht="63.75" customHeight="1">
      <c r="A32" s="40" t="s">
        <v>2039</v>
      </c>
      <c r="B32" s="96" t="s">
        <v>2040</v>
      </c>
      <c r="C32" s="58" t="s">
        <v>881</v>
      </c>
      <c r="D32" s="43"/>
      <c r="E32" s="43"/>
      <c r="F32" s="43">
        <f t="shared" si="6"/>
        <v>7051002000</v>
      </c>
      <c r="G32" s="43">
        <f t="shared" si="1"/>
        <v>1.05</v>
      </c>
      <c r="H32" s="43">
        <v>4631200000</v>
      </c>
      <c r="I32" s="43">
        <f t="shared" si="2"/>
        <v>6715240000</v>
      </c>
      <c r="J32" s="43"/>
      <c r="K32" s="43">
        <f t="shared" si="3"/>
        <v>1.45</v>
      </c>
      <c r="L32" s="44"/>
    </row>
    <row r="33" spans="1:12" ht="63.75" customHeight="1">
      <c r="A33" s="46" t="s">
        <v>2041</v>
      </c>
      <c r="B33" s="97" t="s">
        <v>2042</v>
      </c>
      <c r="C33" s="60" t="s">
        <v>881</v>
      </c>
      <c r="D33" s="49"/>
      <c r="E33" s="49"/>
      <c r="F33" s="49">
        <f t="shared" si="6"/>
        <v>9723903000</v>
      </c>
      <c r="G33" s="49">
        <f t="shared" si="1"/>
        <v>1.05</v>
      </c>
      <c r="H33" s="49">
        <v>6386800000</v>
      </c>
      <c r="I33" s="49">
        <f t="shared" si="2"/>
        <v>9260860000</v>
      </c>
      <c r="J33" s="49"/>
      <c r="K33" s="49">
        <f t="shared" si="3"/>
        <v>1.45</v>
      </c>
      <c r="L33" s="50"/>
    </row>
    <row r="34" spans="1:12" ht="63.75" customHeight="1">
      <c r="A34" s="40" t="s">
        <v>2043</v>
      </c>
      <c r="B34" s="96" t="s">
        <v>2044</v>
      </c>
      <c r="C34" s="58" t="s">
        <v>881</v>
      </c>
      <c r="D34" s="43"/>
      <c r="E34" s="43"/>
      <c r="F34" s="43">
        <f t="shared" si="6"/>
        <v>15133650000</v>
      </c>
      <c r="G34" s="43">
        <f t="shared" si="1"/>
        <v>1.05</v>
      </c>
      <c r="H34" s="43">
        <v>9940000000</v>
      </c>
      <c r="I34" s="43">
        <f t="shared" si="2"/>
        <v>14413000000</v>
      </c>
      <c r="J34" s="43"/>
      <c r="K34" s="43">
        <f t="shared" si="3"/>
        <v>1.45</v>
      </c>
      <c r="L34" s="44"/>
    </row>
    <row r="35" spans="1:12" ht="64.150000000000006" customHeight="1">
      <c r="A35" s="61" t="s">
        <v>2045</v>
      </c>
      <c r="B35" s="98" t="s">
        <v>2046</v>
      </c>
      <c r="C35" s="63" t="s">
        <v>881</v>
      </c>
      <c r="D35" s="64"/>
      <c r="E35" s="64"/>
      <c r="F35" s="64">
        <f t="shared" si="6"/>
        <v>22711132500</v>
      </c>
      <c r="G35" s="64">
        <f t="shared" si="1"/>
        <v>1.05</v>
      </c>
      <c r="H35" s="64">
        <v>14917000000</v>
      </c>
      <c r="I35" s="64">
        <f t="shared" si="2"/>
        <v>21629650000</v>
      </c>
      <c r="J35" s="64"/>
      <c r="K35" s="64">
        <f t="shared" si="3"/>
        <v>1.45</v>
      </c>
      <c r="L35" s="65"/>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theme="9" tint="-0.499984740745262"/>
  </sheetPr>
  <dimension ref="A1:AC84"/>
  <sheetViews>
    <sheetView rightToLeft="1" workbookViewId="0">
      <pane ySplit="15" topLeftCell="A16" activePane="bottomLeft" state="frozen"/>
      <selection pane="bottomLeft"/>
    </sheetView>
  </sheetViews>
  <sheetFormatPr defaultRowHeight="13.5"/>
  <cols>
    <col min="1" max="1" width="14.1875" customWidth="1"/>
    <col min="2" max="2" width="46.6875" customWidth="1"/>
    <col min="3" max="3" width="10.8125" customWidth="1"/>
    <col min="4" max="4" width="18.3125" customWidth="1"/>
    <col min="6" max="7" width="18.3125" customWidth="1"/>
    <col min="10" max="10" width="18.3125" customWidth="1"/>
    <col min="11" max="11" width="9" customWidth="1"/>
  </cols>
  <sheetData>
    <row r="1" spans="1:10" ht="32" customHeight="1">
      <c r="A1" s="27" t="s">
        <v>868</v>
      </c>
      <c r="B1" s="28" t="s">
        <v>869</v>
      </c>
      <c r="C1" s="28" t="s">
        <v>1856</v>
      </c>
      <c r="D1" s="28" t="s">
        <v>871</v>
      </c>
      <c r="E1" s="28" t="s">
        <v>872</v>
      </c>
      <c r="F1" s="28" t="s">
        <v>873</v>
      </c>
      <c r="G1" s="28"/>
      <c r="H1" s="28" t="s">
        <v>1976</v>
      </c>
      <c r="I1" s="28" t="s">
        <v>1857</v>
      </c>
      <c r="J1" s="72" t="s">
        <v>878</v>
      </c>
    </row>
    <row r="2" spans="1:10" ht="28.05" customHeight="1">
      <c r="A2" s="103" t="s">
        <v>2047</v>
      </c>
      <c r="B2" s="104" t="s">
        <v>2048</v>
      </c>
      <c r="C2" s="104" t="s">
        <v>881</v>
      </c>
      <c r="D2" s="104"/>
      <c r="E2" s="104"/>
      <c r="F2" s="105">
        <f t="shared" ref="F2:F33" si="0">I2*1.05</f>
        <v>516631500</v>
      </c>
      <c r="G2" s="105">
        <f t="shared" ref="G2:G33" si="1">F2/I2</f>
        <v>1.05</v>
      </c>
      <c r="H2" s="106">
        <v>346500000</v>
      </c>
      <c r="I2" s="106">
        <f t="shared" ref="I2:I33" si="2">H2*1.42</f>
        <v>492030000</v>
      </c>
      <c r="J2" s="107">
        <f t="shared" ref="J2:J33" si="3">I2/H2</f>
        <v>1.42</v>
      </c>
    </row>
    <row r="3" spans="1:10" ht="89.25" customHeight="1">
      <c r="A3" s="34" t="s">
        <v>2049</v>
      </c>
      <c r="B3" s="95" t="s">
        <v>2050</v>
      </c>
      <c r="C3" s="100" t="s">
        <v>881</v>
      </c>
      <c r="D3" s="37"/>
      <c r="E3" s="37"/>
      <c r="F3" s="37">
        <f t="shared" si="0"/>
        <v>665880600</v>
      </c>
      <c r="G3" s="37">
        <f t="shared" si="1"/>
        <v>1.05</v>
      </c>
      <c r="H3" s="37">
        <v>446600000</v>
      </c>
      <c r="I3" s="37">
        <f t="shared" si="2"/>
        <v>634172000</v>
      </c>
      <c r="J3" s="38">
        <f t="shared" si="3"/>
        <v>1.42</v>
      </c>
    </row>
    <row r="4" spans="1:10" ht="89.25" customHeight="1">
      <c r="A4" s="40" t="s">
        <v>2051</v>
      </c>
      <c r="B4" s="96" t="s">
        <v>2052</v>
      </c>
      <c r="C4" s="58" t="s">
        <v>881</v>
      </c>
      <c r="D4" s="43"/>
      <c r="E4" s="43"/>
      <c r="F4" s="43">
        <f t="shared" si="0"/>
        <v>803649000</v>
      </c>
      <c r="G4" s="43">
        <f t="shared" si="1"/>
        <v>1.05</v>
      </c>
      <c r="H4" s="43">
        <v>539000000</v>
      </c>
      <c r="I4" s="43">
        <f t="shared" si="2"/>
        <v>765380000</v>
      </c>
      <c r="J4" s="44">
        <f t="shared" si="3"/>
        <v>1.42</v>
      </c>
    </row>
    <row r="5" spans="1:10" ht="89.25" customHeight="1">
      <c r="A5" s="46" t="s">
        <v>2053</v>
      </c>
      <c r="B5" s="97" t="s">
        <v>2054</v>
      </c>
      <c r="C5" s="60" t="s">
        <v>881</v>
      </c>
      <c r="D5" s="49"/>
      <c r="E5" s="49"/>
      <c r="F5" s="49">
        <f t="shared" si="0"/>
        <v>861052500</v>
      </c>
      <c r="G5" s="49">
        <f t="shared" si="1"/>
        <v>1.05</v>
      </c>
      <c r="H5" s="49">
        <v>577500000</v>
      </c>
      <c r="I5" s="49">
        <f t="shared" si="2"/>
        <v>820050000</v>
      </c>
      <c r="J5" s="50">
        <f t="shared" si="3"/>
        <v>1.42</v>
      </c>
    </row>
    <row r="6" spans="1:10" ht="89.25" customHeight="1">
      <c r="A6" s="40" t="s">
        <v>2055</v>
      </c>
      <c r="B6" s="96" t="s">
        <v>2056</v>
      </c>
      <c r="C6" s="58" t="s">
        <v>881</v>
      </c>
      <c r="D6" s="43"/>
      <c r="E6" s="43"/>
      <c r="F6" s="43">
        <f t="shared" si="0"/>
        <v>918456000</v>
      </c>
      <c r="G6" s="43">
        <f t="shared" si="1"/>
        <v>1.05</v>
      </c>
      <c r="H6" s="43">
        <v>616000000</v>
      </c>
      <c r="I6" s="43">
        <f t="shared" si="2"/>
        <v>874720000</v>
      </c>
      <c r="J6" s="44">
        <f t="shared" si="3"/>
        <v>1.42</v>
      </c>
    </row>
    <row r="7" spans="1:10" ht="89.25" customHeight="1">
      <c r="A7" s="46" t="s">
        <v>2057</v>
      </c>
      <c r="B7" s="97" t="s">
        <v>2058</v>
      </c>
      <c r="C7" s="60" t="s">
        <v>881</v>
      </c>
      <c r="D7" s="49"/>
      <c r="E7" s="49"/>
      <c r="F7" s="49">
        <f t="shared" si="0"/>
        <v>1090666500</v>
      </c>
      <c r="G7" s="49">
        <f t="shared" si="1"/>
        <v>1.05</v>
      </c>
      <c r="H7" s="49">
        <v>731500000</v>
      </c>
      <c r="I7" s="49">
        <f t="shared" si="2"/>
        <v>1038730000</v>
      </c>
      <c r="J7" s="50">
        <f t="shared" si="3"/>
        <v>1.42</v>
      </c>
    </row>
    <row r="8" spans="1:10" ht="89.25" customHeight="1">
      <c r="A8" s="40" t="s">
        <v>2059</v>
      </c>
      <c r="B8" s="96" t="s">
        <v>2060</v>
      </c>
      <c r="C8" s="58" t="s">
        <v>881</v>
      </c>
      <c r="D8" s="43"/>
      <c r="E8" s="43"/>
      <c r="F8" s="43">
        <f t="shared" si="0"/>
        <v>1297319100</v>
      </c>
      <c r="G8" s="43">
        <f t="shared" si="1"/>
        <v>1.05</v>
      </c>
      <c r="H8" s="43">
        <v>870100000</v>
      </c>
      <c r="I8" s="43">
        <f t="shared" si="2"/>
        <v>1235542000</v>
      </c>
      <c r="J8" s="44">
        <f t="shared" si="3"/>
        <v>1.42</v>
      </c>
    </row>
    <row r="9" spans="1:10" ht="89.25" customHeight="1">
      <c r="A9" s="46" t="s">
        <v>2061</v>
      </c>
      <c r="B9" s="97" t="s">
        <v>2062</v>
      </c>
      <c r="C9" s="60" t="s">
        <v>881</v>
      </c>
      <c r="D9" s="49"/>
      <c r="E9" s="49"/>
      <c r="F9" s="49">
        <f t="shared" si="0"/>
        <v>1558095000</v>
      </c>
      <c r="G9" s="49">
        <f t="shared" si="1"/>
        <v>1.05</v>
      </c>
      <c r="H9" s="49">
        <v>1045000000</v>
      </c>
      <c r="I9" s="49">
        <f t="shared" si="2"/>
        <v>1483900000</v>
      </c>
      <c r="J9" s="50">
        <f t="shared" si="3"/>
        <v>1.42</v>
      </c>
    </row>
    <row r="10" spans="1:10" ht="89.25" customHeight="1">
      <c r="A10" s="40" t="s">
        <v>2063</v>
      </c>
      <c r="B10" s="96" t="s">
        <v>2064</v>
      </c>
      <c r="C10" s="58" t="s">
        <v>881</v>
      </c>
      <c r="D10" s="43"/>
      <c r="E10" s="43"/>
      <c r="F10" s="43">
        <f t="shared" si="0"/>
        <v>1804110000</v>
      </c>
      <c r="G10" s="43">
        <f t="shared" si="1"/>
        <v>1.05</v>
      </c>
      <c r="H10" s="43">
        <v>1210000000</v>
      </c>
      <c r="I10" s="43">
        <f t="shared" si="2"/>
        <v>1718200000</v>
      </c>
      <c r="J10" s="44">
        <f t="shared" si="3"/>
        <v>1.42</v>
      </c>
    </row>
    <row r="11" spans="1:10" ht="89.25" customHeight="1">
      <c r="A11" s="46" t="s">
        <v>2065</v>
      </c>
      <c r="B11" s="97" t="s">
        <v>2066</v>
      </c>
      <c r="C11" s="60" t="s">
        <v>881</v>
      </c>
      <c r="D11" s="49"/>
      <c r="E11" s="49"/>
      <c r="F11" s="49">
        <f t="shared" si="0"/>
        <v>2214135000</v>
      </c>
      <c r="G11" s="49">
        <f t="shared" si="1"/>
        <v>1.05</v>
      </c>
      <c r="H11" s="49">
        <v>1485000000</v>
      </c>
      <c r="I11" s="49">
        <f t="shared" si="2"/>
        <v>2108700000</v>
      </c>
      <c r="J11" s="50">
        <f t="shared" si="3"/>
        <v>1.42</v>
      </c>
    </row>
    <row r="12" spans="1:10" ht="89.25" customHeight="1">
      <c r="A12" s="40" t="s">
        <v>2067</v>
      </c>
      <c r="B12" s="96" t="s">
        <v>2068</v>
      </c>
      <c r="C12" s="58" t="s">
        <v>881</v>
      </c>
      <c r="D12" s="43"/>
      <c r="E12" s="43"/>
      <c r="F12" s="43">
        <f t="shared" si="0"/>
        <v>2624160000</v>
      </c>
      <c r="G12" s="43">
        <f t="shared" si="1"/>
        <v>1.05</v>
      </c>
      <c r="H12" s="43">
        <v>1760000000</v>
      </c>
      <c r="I12" s="43">
        <f t="shared" si="2"/>
        <v>2499200000</v>
      </c>
      <c r="J12" s="44">
        <f t="shared" si="3"/>
        <v>1.42</v>
      </c>
    </row>
    <row r="13" spans="1:10" ht="89.25" customHeight="1">
      <c r="A13" s="46" t="s">
        <v>2069</v>
      </c>
      <c r="B13" s="97" t="s">
        <v>2070</v>
      </c>
      <c r="C13" s="60" t="s">
        <v>881</v>
      </c>
      <c r="D13" s="49"/>
      <c r="E13" s="49"/>
      <c r="F13" s="49">
        <f t="shared" si="0"/>
        <v>3280200000</v>
      </c>
      <c r="G13" s="49">
        <f t="shared" si="1"/>
        <v>1.05</v>
      </c>
      <c r="H13" s="49">
        <v>2200000000</v>
      </c>
      <c r="I13" s="49">
        <f t="shared" si="2"/>
        <v>3124000000</v>
      </c>
      <c r="J13" s="50">
        <f t="shared" si="3"/>
        <v>1.42</v>
      </c>
    </row>
    <row r="14" spans="1:10" ht="89.25" customHeight="1">
      <c r="A14" s="40" t="s">
        <v>2071</v>
      </c>
      <c r="B14" s="96" t="s">
        <v>2072</v>
      </c>
      <c r="C14" s="58" t="s">
        <v>881</v>
      </c>
      <c r="D14" s="43"/>
      <c r="E14" s="43"/>
      <c r="F14" s="43">
        <f t="shared" si="0"/>
        <v>4100250000</v>
      </c>
      <c r="G14" s="43">
        <f t="shared" si="1"/>
        <v>1.05</v>
      </c>
      <c r="H14" s="43">
        <v>2750000000</v>
      </c>
      <c r="I14" s="43">
        <f t="shared" si="2"/>
        <v>3905000000</v>
      </c>
      <c r="J14" s="44">
        <f t="shared" si="3"/>
        <v>1.42</v>
      </c>
    </row>
    <row r="15" spans="1:10" ht="89.25" customHeight="1">
      <c r="A15" s="46" t="s">
        <v>2073</v>
      </c>
      <c r="B15" s="97" t="s">
        <v>2074</v>
      </c>
      <c r="C15" s="60" t="s">
        <v>881</v>
      </c>
      <c r="D15" s="49"/>
      <c r="E15" s="49"/>
      <c r="F15" s="49">
        <f t="shared" si="0"/>
        <v>26241600</v>
      </c>
      <c r="G15" s="49">
        <f t="shared" si="1"/>
        <v>1.05</v>
      </c>
      <c r="H15" s="49">
        <v>17600000</v>
      </c>
      <c r="I15" s="49">
        <f t="shared" si="2"/>
        <v>24992000</v>
      </c>
      <c r="J15" s="50">
        <f t="shared" si="3"/>
        <v>1.42</v>
      </c>
    </row>
    <row r="16" spans="1:10" ht="89.25" customHeight="1">
      <c r="A16" s="40" t="s">
        <v>2075</v>
      </c>
      <c r="B16" s="96" t="s">
        <v>2076</v>
      </c>
      <c r="C16" s="58" t="s">
        <v>881</v>
      </c>
      <c r="D16" s="43"/>
      <c r="E16" s="43"/>
      <c r="F16" s="43">
        <f t="shared" si="0"/>
        <v>32802000</v>
      </c>
      <c r="G16" s="43">
        <f t="shared" si="1"/>
        <v>1.05</v>
      </c>
      <c r="H16" s="43">
        <v>22000000</v>
      </c>
      <c r="I16" s="43">
        <f t="shared" si="2"/>
        <v>31240000</v>
      </c>
      <c r="J16" s="44">
        <f t="shared" si="3"/>
        <v>1.42</v>
      </c>
    </row>
    <row r="17" spans="1:10" ht="89.25" customHeight="1">
      <c r="A17" s="46" t="s">
        <v>2077</v>
      </c>
      <c r="B17" s="97" t="s">
        <v>2078</v>
      </c>
      <c r="C17" s="60" t="s">
        <v>881</v>
      </c>
      <c r="D17" s="49"/>
      <c r="E17" s="49"/>
      <c r="F17" s="49">
        <f t="shared" si="0"/>
        <v>57403500</v>
      </c>
      <c r="G17" s="49">
        <f t="shared" si="1"/>
        <v>1.05</v>
      </c>
      <c r="H17" s="49">
        <v>38500000</v>
      </c>
      <c r="I17" s="49">
        <f t="shared" si="2"/>
        <v>54670000</v>
      </c>
      <c r="J17" s="50">
        <f t="shared" si="3"/>
        <v>1.42</v>
      </c>
    </row>
    <row r="18" spans="1:10" ht="89.25" customHeight="1">
      <c r="A18" s="40" t="s">
        <v>2079</v>
      </c>
      <c r="B18" s="96" t="s">
        <v>2080</v>
      </c>
      <c r="C18" s="58" t="s">
        <v>881</v>
      </c>
      <c r="D18" s="43"/>
      <c r="E18" s="43"/>
      <c r="F18" s="43">
        <f t="shared" si="0"/>
        <v>82005000</v>
      </c>
      <c r="G18" s="43">
        <f t="shared" si="1"/>
        <v>1.05</v>
      </c>
      <c r="H18" s="43">
        <v>55000000</v>
      </c>
      <c r="I18" s="43">
        <f t="shared" si="2"/>
        <v>78100000</v>
      </c>
      <c r="J18" s="44">
        <f t="shared" si="3"/>
        <v>1.42</v>
      </c>
    </row>
    <row r="19" spans="1:10" ht="89.25" customHeight="1">
      <c r="A19" s="46" t="s">
        <v>2081</v>
      </c>
      <c r="B19" s="97" t="s">
        <v>2082</v>
      </c>
      <c r="C19" s="60" t="s">
        <v>881</v>
      </c>
      <c r="D19" s="49"/>
      <c r="E19" s="49"/>
      <c r="F19" s="49">
        <f t="shared" si="0"/>
        <v>106606500</v>
      </c>
      <c r="G19" s="49">
        <f t="shared" si="1"/>
        <v>1.05</v>
      </c>
      <c r="H19" s="49">
        <v>71500000</v>
      </c>
      <c r="I19" s="49">
        <f t="shared" si="2"/>
        <v>101530000</v>
      </c>
      <c r="J19" s="50">
        <f t="shared" si="3"/>
        <v>1.42</v>
      </c>
    </row>
    <row r="20" spans="1:10" ht="89.25" customHeight="1">
      <c r="A20" s="40" t="s">
        <v>2083</v>
      </c>
      <c r="B20" s="96" t="s">
        <v>2084</v>
      </c>
      <c r="C20" s="58" t="s">
        <v>881</v>
      </c>
      <c r="D20" s="43"/>
      <c r="E20" s="43"/>
      <c r="F20" s="43">
        <f t="shared" si="0"/>
        <v>132848100</v>
      </c>
      <c r="G20" s="43">
        <f t="shared" si="1"/>
        <v>1.05</v>
      </c>
      <c r="H20" s="43">
        <v>89100000</v>
      </c>
      <c r="I20" s="43">
        <f t="shared" si="2"/>
        <v>126522000</v>
      </c>
      <c r="J20" s="44">
        <f t="shared" si="3"/>
        <v>1.42</v>
      </c>
    </row>
    <row r="21" spans="1:10" ht="63.75" customHeight="1">
      <c r="A21" s="46" t="s">
        <v>2085</v>
      </c>
      <c r="B21" s="97" t="s">
        <v>2086</v>
      </c>
      <c r="C21" s="60" t="s">
        <v>881</v>
      </c>
      <c r="D21" s="49"/>
      <c r="E21" s="49"/>
      <c r="F21" s="49">
        <f t="shared" si="0"/>
        <v>157449600</v>
      </c>
      <c r="G21" s="49">
        <f t="shared" si="1"/>
        <v>1.05</v>
      </c>
      <c r="H21" s="49">
        <v>105600000</v>
      </c>
      <c r="I21" s="49">
        <f t="shared" si="2"/>
        <v>149952000</v>
      </c>
      <c r="J21" s="50">
        <f t="shared" si="3"/>
        <v>1.42</v>
      </c>
    </row>
    <row r="22" spans="1:10" ht="89.25" customHeight="1">
      <c r="A22" s="40" t="s">
        <v>2087</v>
      </c>
      <c r="B22" s="96" t="s">
        <v>2088</v>
      </c>
      <c r="C22" s="58" t="s">
        <v>881</v>
      </c>
      <c r="D22" s="43"/>
      <c r="E22" s="43"/>
      <c r="F22" s="43">
        <f t="shared" si="0"/>
        <v>200092200</v>
      </c>
      <c r="G22" s="43">
        <f t="shared" si="1"/>
        <v>1.05</v>
      </c>
      <c r="H22" s="43">
        <v>134200000</v>
      </c>
      <c r="I22" s="43">
        <f t="shared" si="2"/>
        <v>190564000</v>
      </c>
      <c r="J22" s="44">
        <f t="shared" si="3"/>
        <v>1.42</v>
      </c>
    </row>
    <row r="23" spans="1:10" ht="89.25" customHeight="1">
      <c r="A23" s="46" t="s">
        <v>2089</v>
      </c>
      <c r="B23" s="97" t="s">
        <v>2090</v>
      </c>
      <c r="C23" s="60" t="s">
        <v>881</v>
      </c>
      <c r="D23" s="49"/>
      <c r="E23" s="49"/>
      <c r="F23" s="49">
        <f t="shared" si="0"/>
        <v>246015000</v>
      </c>
      <c r="G23" s="49">
        <f t="shared" si="1"/>
        <v>1.05</v>
      </c>
      <c r="H23" s="49">
        <v>165000000</v>
      </c>
      <c r="I23" s="49">
        <f t="shared" si="2"/>
        <v>234300000</v>
      </c>
      <c r="J23" s="50">
        <f t="shared" si="3"/>
        <v>1.42</v>
      </c>
    </row>
    <row r="24" spans="1:10" ht="89.25" customHeight="1">
      <c r="A24" s="40" t="s">
        <v>2091</v>
      </c>
      <c r="B24" s="96" t="s">
        <v>2092</v>
      </c>
      <c r="C24" s="58" t="s">
        <v>881</v>
      </c>
      <c r="D24" s="43"/>
      <c r="E24" s="43"/>
      <c r="F24" s="43">
        <f t="shared" si="0"/>
        <v>295218000</v>
      </c>
      <c r="G24" s="43">
        <f t="shared" si="1"/>
        <v>1.05</v>
      </c>
      <c r="H24" s="43">
        <v>198000000</v>
      </c>
      <c r="I24" s="43">
        <f t="shared" si="2"/>
        <v>281160000</v>
      </c>
      <c r="J24" s="44">
        <f t="shared" si="3"/>
        <v>1.42</v>
      </c>
    </row>
    <row r="25" spans="1:10" ht="89.25" customHeight="1">
      <c r="A25" s="46" t="s">
        <v>2093</v>
      </c>
      <c r="B25" s="97" t="s">
        <v>2094</v>
      </c>
      <c r="C25" s="60" t="s">
        <v>881</v>
      </c>
      <c r="D25" s="49"/>
      <c r="E25" s="49"/>
      <c r="F25" s="49">
        <f t="shared" si="0"/>
        <v>352621500</v>
      </c>
      <c r="G25" s="49">
        <f t="shared" si="1"/>
        <v>1.05</v>
      </c>
      <c r="H25" s="49">
        <v>236500000</v>
      </c>
      <c r="I25" s="49">
        <f t="shared" si="2"/>
        <v>335830000</v>
      </c>
      <c r="J25" s="50">
        <f t="shared" si="3"/>
        <v>1.42</v>
      </c>
    </row>
    <row r="26" spans="1:10" ht="89.25" customHeight="1">
      <c r="A26" s="40" t="s">
        <v>2095</v>
      </c>
      <c r="B26" s="96" t="s">
        <v>2096</v>
      </c>
      <c r="C26" s="58" t="s">
        <v>881</v>
      </c>
      <c r="D26" s="43"/>
      <c r="E26" s="43"/>
      <c r="F26" s="43">
        <f t="shared" si="0"/>
        <v>451027500</v>
      </c>
      <c r="G26" s="43">
        <f t="shared" si="1"/>
        <v>1.05</v>
      </c>
      <c r="H26" s="43">
        <v>302500000</v>
      </c>
      <c r="I26" s="43">
        <f t="shared" si="2"/>
        <v>429550000</v>
      </c>
      <c r="J26" s="44">
        <f t="shared" si="3"/>
        <v>1.42</v>
      </c>
    </row>
    <row r="27" spans="1:10" ht="89.25" customHeight="1">
      <c r="A27" s="46" t="s">
        <v>2097</v>
      </c>
      <c r="B27" s="97" t="s">
        <v>2098</v>
      </c>
      <c r="C27" s="60" t="s">
        <v>881</v>
      </c>
      <c r="D27" s="49"/>
      <c r="E27" s="49"/>
      <c r="F27" s="49">
        <f t="shared" si="0"/>
        <v>606837000</v>
      </c>
      <c r="G27" s="49">
        <f t="shared" si="1"/>
        <v>1.05</v>
      </c>
      <c r="H27" s="49">
        <v>407000000</v>
      </c>
      <c r="I27" s="49">
        <f t="shared" si="2"/>
        <v>577940000</v>
      </c>
      <c r="J27" s="50">
        <f t="shared" si="3"/>
        <v>1.42</v>
      </c>
    </row>
    <row r="28" spans="1:10" ht="51" customHeight="1">
      <c r="A28" s="40" t="s">
        <v>2099</v>
      </c>
      <c r="B28" s="96" t="s">
        <v>2100</v>
      </c>
      <c r="C28" s="58" t="s">
        <v>881</v>
      </c>
      <c r="D28" s="43"/>
      <c r="E28" s="43"/>
      <c r="F28" s="43">
        <f t="shared" si="0"/>
        <v>15744960</v>
      </c>
      <c r="G28" s="43">
        <f t="shared" si="1"/>
        <v>1.05</v>
      </c>
      <c r="H28" s="43">
        <v>10560000</v>
      </c>
      <c r="I28" s="43">
        <f t="shared" si="2"/>
        <v>14995200</v>
      </c>
      <c r="J28" s="44">
        <f t="shared" si="3"/>
        <v>1.42</v>
      </c>
    </row>
    <row r="29" spans="1:10" ht="51" customHeight="1">
      <c r="A29" s="46" t="s">
        <v>2101</v>
      </c>
      <c r="B29" s="97" t="s">
        <v>2102</v>
      </c>
      <c r="C29" s="60" t="s">
        <v>881</v>
      </c>
      <c r="D29" s="49"/>
      <c r="E29" s="49"/>
      <c r="F29" s="49">
        <f t="shared" si="0"/>
        <v>19681200</v>
      </c>
      <c r="G29" s="49">
        <f t="shared" si="1"/>
        <v>1.05</v>
      </c>
      <c r="H29" s="49">
        <v>13200000</v>
      </c>
      <c r="I29" s="49">
        <f t="shared" si="2"/>
        <v>18744000</v>
      </c>
      <c r="J29" s="50">
        <f t="shared" si="3"/>
        <v>1.42</v>
      </c>
    </row>
    <row r="30" spans="1:10" ht="51" customHeight="1">
      <c r="A30" s="40" t="s">
        <v>2103</v>
      </c>
      <c r="B30" s="96" t="s">
        <v>2104</v>
      </c>
      <c r="C30" s="58" t="s">
        <v>881</v>
      </c>
      <c r="D30" s="43"/>
      <c r="E30" s="43"/>
      <c r="F30" s="43">
        <f t="shared" si="0"/>
        <v>34442100</v>
      </c>
      <c r="G30" s="43">
        <f t="shared" si="1"/>
        <v>1.05</v>
      </c>
      <c r="H30" s="43">
        <v>23100000</v>
      </c>
      <c r="I30" s="43">
        <f t="shared" si="2"/>
        <v>32802000</v>
      </c>
      <c r="J30" s="44">
        <f t="shared" si="3"/>
        <v>1.42</v>
      </c>
    </row>
    <row r="31" spans="1:10" ht="51" customHeight="1">
      <c r="A31" s="46" t="s">
        <v>2105</v>
      </c>
      <c r="B31" s="97" t="s">
        <v>2106</v>
      </c>
      <c r="C31" s="60" t="s">
        <v>881</v>
      </c>
      <c r="D31" s="49"/>
      <c r="E31" s="49"/>
      <c r="F31" s="49">
        <f t="shared" si="0"/>
        <v>49203000</v>
      </c>
      <c r="G31" s="49">
        <f t="shared" si="1"/>
        <v>1.05</v>
      </c>
      <c r="H31" s="49">
        <v>33000000</v>
      </c>
      <c r="I31" s="49">
        <f t="shared" si="2"/>
        <v>46860000</v>
      </c>
      <c r="J31" s="50">
        <f t="shared" si="3"/>
        <v>1.42</v>
      </c>
    </row>
    <row r="32" spans="1:10" ht="51" customHeight="1">
      <c r="A32" s="40" t="s">
        <v>2107</v>
      </c>
      <c r="B32" s="96" t="s">
        <v>2108</v>
      </c>
      <c r="C32" s="58" t="s">
        <v>881</v>
      </c>
      <c r="D32" s="43"/>
      <c r="E32" s="43"/>
      <c r="F32" s="43">
        <f t="shared" si="0"/>
        <v>63963900</v>
      </c>
      <c r="G32" s="43">
        <f t="shared" si="1"/>
        <v>1.05</v>
      </c>
      <c r="H32" s="43">
        <v>42900000</v>
      </c>
      <c r="I32" s="43">
        <f t="shared" si="2"/>
        <v>60918000</v>
      </c>
      <c r="J32" s="44">
        <f t="shared" si="3"/>
        <v>1.42</v>
      </c>
    </row>
    <row r="33" spans="1:29" ht="51" customHeight="1">
      <c r="A33" s="46" t="s">
        <v>2109</v>
      </c>
      <c r="B33" s="97" t="s">
        <v>2110</v>
      </c>
      <c r="C33" s="60" t="s">
        <v>881</v>
      </c>
      <c r="D33" s="49"/>
      <c r="E33" s="49"/>
      <c r="F33" s="49">
        <f t="shared" si="0"/>
        <v>79708860</v>
      </c>
      <c r="G33" s="49">
        <f t="shared" si="1"/>
        <v>1.05</v>
      </c>
      <c r="H33" s="49">
        <v>53460000</v>
      </c>
      <c r="I33" s="49">
        <f t="shared" si="2"/>
        <v>75913200</v>
      </c>
      <c r="J33" s="50">
        <f t="shared" si="3"/>
        <v>1.42</v>
      </c>
      <c r="K33" s="108"/>
      <c r="L33" s="108"/>
      <c r="M33" s="108"/>
      <c r="N33" s="108"/>
      <c r="O33" s="108"/>
      <c r="P33" s="108"/>
      <c r="Q33" s="108"/>
      <c r="R33" s="108"/>
      <c r="S33" s="108"/>
      <c r="T33" s="108"/>
      <c r="U33" s="108"/>
      <c r="V33" s="108"/>
      <c r="W33" s="108"/>
      <c r="X33" s="108"/>
      <c r="Y33" s="108"/>
      <c r="Z33" s="108"/>
      <c r="AA33" s="108"/>
      <c r="AB33" s="108"/>
      <c r="AC33" s="108"/>
    </row>
    <row r="34" spans="1:29">
      <c r="A34" s="40"/>
      <c r="B34" s="96"/>
      <c r="C34" s="58"/>
      <c r="D34" s="43"/>
      <c r="E34" s="43"/>
      <c r="F34" s="43"/>
      <c r="G34" s="43"/>
      <c r="H34" s="43"/>
      <c r="I34" s="43"/>
      <c r="J34" s="44"/>
    </row>
    <row r="35" spans="1:29">
      <c r="A35" s="46"/>
      <c r="B35" s="97"/>
      <c r="C35" s="60"/>
      <c r="D35" s="49"/>
      <c r="E35" s="49"/>
      <c r="F35" s="49"/>
      <c r="G35" s="49"/>
      <c r="H35" s="49"/>
      <c r="I35" s="49"/>
      <c r="J35" s="50"/>
    </row>
    <row r="36" spans="1:29">
      <c r="A36" s="40"/>
      <c r="B36" s="96"/>
      <c r="C36" s="58"/>
      <c r="D36" s="43"/>
      <c r="E36" s="43"/>
      <c r="F36" s="43"/>
      <c r="G36" s="43"/>
      <c r="H36" s="43"/>
      <c r="I36" s="43"/>
      <c r="J36" s="44"/>
    </row>
    <row r="37" spans="1:29">
      <c r="A37" s="46"/>
      <c r="B37" s="97"/>
      <c r="C37" s="60"/>
      <c r="D37" s="49"/>
      <c r="E37" s="49"/>
      <c r="F37" s="49"/>
      <c r="G37" s="49"/>
      <c r="H37" s="49"/>
      <c r="I37" s="49"/>
      <c r="J37" s="50"/>
    </row>
    <row r="38" spans="1:29">
      <c r="A38" s="40"/>
      <c r="B38" s="96"/>
      <c r="C38" s="58"/>
      <c r="D38" s="43"/>
      <c r="E38" s="43"/>
      <c r="F38" s="43"/>
      <c r="G38" s="43"/>
      <c r="H38" s="43"/>
      <c r="I38" s="43"/>
      <c r="J38" s="44"/>
    </row>
    <row r="39" spans="1:29">
      <c r="A39" s="46"/>
      <c r="B39" s="97"/>
      <c r="C39" s="60"/>
      <c r="D39" s="49"/>
      <c r="E39" s="49"/>
      <c r="F39" s="49"/>
      <c r="G39" s="49"/>
      <c r="H39" s="49"/>
      <c r="I39" s="49"/>
      <c r="J39" s="50"/>
    </row>
    <row r="40" spans="1:29">
      <c r="A40" s="40"/>
      <c r="B40" s="96"/>
      <c r="C40" s="58"/>
      <c r="D40" s="43"/>
      <c r="E40" s="43"/>
      <c r="F40" s="43"/>
      <c r="G40" s="43"/>
      <c r="H40" s="43"/>
      <c r="I40" s="43"/>
      <c r="J40" s="44"/>
    </row>
    <row r="41" spans="1:29">
      <c r="A41" s="46"/>
      <c r="B41" s="97"/>
      <c r="C41" s="60"/>
      <c r="D41" s="49"/>
      <c r="E41" s="49"/>
      <c r="F41" s="49"/>
      <c r="G41" s="49"/>
      <c r="H41" s="49"/>
      <c r="I41" s="49"/>
      <c r="J41" s="50"/>
    </row>
    <row r="42" spans="1:29">
      <c r="A42" s="40"/>
      <c r="B42" s="96"/>
      <c r="C42" s="58"/>
      <c r="D42" s="43"/>
      <c r="E42" s="43"/>
      <c r="F42" s="43"/>
      <c r="G42" s="43"/>
      <c r="H42" s="43"/>
      <c r="I42" s="43"/>
      <c r="J42" s="44"/>
    </row>
    <row r="43" spans="1:29">
      <c r="A43" s="46"/>
      <c r="B43" s="97"/>
      <c r="C43" s="60"/>
      <c r="D43" s="49"/>
      <c r="E43" s="49"/>
      <c r="F43" s="49"/>
      <c r="G43" s="49"/>
      <c r="H43" s="49"/>
      <c r="I43" s="49"/>
      <c r="J43" s="50"/>
    </row>
    <row r="44" spans="1:29">
      <c r="A44" s="40"/>
      <c r="B44" s="96"/>
      <c r="C44" s="58"/>
      <c r="D44" s="43"/>
      <c r="E44" s="43"/>
      <c r="F44" s="43"/>
      <c r="G44" s="43"/>
      <c r="H44" s="43"/>
      <c r="I44" s="43"/>
      <c r="J44" s="44"/>
    </row>
    <row r="45" spans="1:29">
      <c r="A45" s="46"/>
      <c r="B45" s="97"/>
      <c r="C45" s="60"/>
      <c r="D45" s="49"/>
      <c r="E45" s="49"/>
      <c r="F45" s="49"/>
      <c r="G45" s="49"/>
      <c r="H45" s="49"/>
      <c r="I45" s="49"/>
      <c r="J45" s="50"/>
    </row>
    <row r="46" spans="1:29">
      <c r="A46" s="40"/>
      <c r="B46" s="96"/>
      <c r="C46" s="58"/>
      <c r="D46" s="43"/>
      <c r="E46" s="43"/>
      <c r="F46" s="43"/>
      <c r="G46" s="43"/>
      <c r="H46" s="43"/>
      <c r="I46" s="43"/>
      <c r="J46" s="44"/>
    </row>
    <row r="47" spans="1:29">
      <c r="A47" s="46"/>
      <c r="B47" s="97"/>
      <c r="C47" s="60"/>
      <c r="D47" s="49"/>
      <c r="E47" s="49"/>
      <c r="F47" s="49"/>
      <c r="G47" s="49"/>
      <c r="H47" s="49"/>
      <c r="I47" s="49"/>
      <c r="J47" s="50"/>
    </row>
    <row r="48" spans="1:29">
      <c r="A48" s="40"/>
      <c r="B48" s="96"/>
      <c r="C48" s="58"/>
      <c r="D48" s="43"/>
      <c r="E48" s="43"/>
      <c r="F48" s="43"/>
      <c r="G48" s="43"/>
      <c r="H48" s="43"/>
      <c r="I48" s="43"/>
      <c r="J48" s="44"/>
    </row>
    <row r="49" spans="1:10">
      <c r="A49" s="46"/>
      <c r="B49" s="97"/>
      <c r="C49" s="60"/>
      <c r="D49" s="49"/>
      <c r="E49" s="49"/>
      <c r="F49" s="49"/>
      <c r="G49" s="49"/>
      <c r="H49" s="49"/>
      <c r="I49" s="49"/>
      <c r="J49" s="50"/>
    </row>
    <row r="50" spans="1:10">
      <c r="A50" s="40"/>
      <c r="B50" s="96"/>
      <c r="C50" s="58"/>
      <c r="D50" s="43"/>
      <c r="E50" s="43"/>
      <c r="F50" s="43"/>
      <c r="G50" s="43"/>
      <c r="H50" s="43"/>
      <c r="I50" s="43"/>
      <c r="J50" s="44"/>
    </row>
    <row r="51" spans="1:10">
      <c r="A51" s="46"/>
      <c r="B51" s="97"/>
      <c r="C51" s="60"/>
      <c r="D51" s="49"/>
      <c r="E51" s="49"/>
      <c r="F51" s="49"/>
      <c r="G51" s="49"/>
      <c r="H51" s="49"/>
      <c r="I51" s="49"/>
      <c r="J51" s="50"/>
    </row>
    <row r="52" spans="1:10">
      <c r="A52" s="40"/>
      <c r="B52" s="96"/>
      <c r="C52" s="58"/>
      <c r="D52" s="43"/>
      <c r="E52" s="43"/>
      <c r="F52" s="43"/>
      <c r="G52" s="43"/>
      <c r="H52" s="43"/>
      <c r="I52" s="43"/>
      <c r="J52" s="44"/>
    </row>
    <row r="53" spans="1:10">
      <c r="A53" s="46"/>
      <c r="B53" s="97"/>
      <c r="C53" s="60"/>
      <c r="D53" s="49"/>
      <c r="E53" s="49"/>
      <c r="F53" s="49"/>
      <c r="G53" s="49"/>
      <c r="H53" s="49"/>
      <c r="I53" s="49"/>
      <c r="J53" s="50"/>
    </row>
    <row r="54" spans="1:10">
      <c r="A54" s="40"/>
      <c r="B54" s="96"/>
      <c r="C54" s="58"/>
      <c r="D54" s="43"/>
      <c r="E54" s="43"/>
      <c r="F54" s="43"/>
      <c r="G54" s="43"/>
      <c r="H54" s="43"/>
      <c r="I54" s="43"/>
      <c r="J54" s="44"/>
    </row>
    <row r="55" spans="1:10">
      <c r="A55" s="46"/>
      <c r="B55" s="97"/>
      <c r="C55" s="60"/>
      <c r="D55" s="49"/>
      <c r="E55" s="49"/>
      <c r="F55" s="49"/>
      <c r="G55" s="49"/>
      <c r="H55" s="49"/>
      <c r="I55" s="49"/>
      <c r="J55" s="50"/>
    </row>
    <row r="56" spans="1:10">
      <c r="A56" s="40"/>
      <c r="B56" s="96"/>
      <c r="C56" s="58"/>
      <c r="D56" s="43"/>
      <c r="E56" s="43"/>
      <c r="F56" s="43"/>
      <c r="G56" s="43"/>
      <c r="H56" s="43"/>
      <c r="I56" s="43"/>
      <c r="J56" s="44"/>
    </row>
    <row r="57" spans="1:10">
      <c r="A57" s="46"/>
      <c r="B57" s="97"/>
      <c r="C57" s="60"/>
      <c r="D57" s="49"/>
      <c r="E57" s="49"/>
      <c r="F57" s="49"/>
      <c r="G57" s="49"/>
      <c r="H57" s="49"/>
      <c r="I57" s="49"/>
      <c r="J57" s="50"/>
    </row>
    <row r="58" spans="1:10">
      <c r="A58" s="40"/>
      <c r="B58" s="96"/>
      <c r="C58" s="58"/>
      <c r="D58" s="43"/>
      <c r="E58" s="43"/>
      <c r="F58" s="43"/>
      <c r="G58" s="43"/>
      <c r="H58" s="43"/>
      <c r="I58" s="43"/>
      <c r="J58" s="44"/>
    </row>
    <row r="59" spans="1:10">
      <c r="A59" s="46"/>
      <c r="B59" s="97"/>
      <c r="C59" s="60"/>
      <c r="D59" s="49"/>
      <c r="E59" s="49"/>
      <c r="F59" s="49"/>
      <c r="G59" s="49"/>
      <c r="H59" s="49"/>
      <c r="I59" s="49"/>
      <c r="J59" s="50"/>
    </row>
    <row r="60" spans="1:10">
      <c r="A60" s="40"/>
      <c r="B60" s="96"/>
      <c r="C60" s="58"/>
      <c r="D60" s="43"/>
      <c r="E60" s="43"/>
      <c r="F60" s="43"/>
      <c r="G60" s="43"/>
      <c r="H60" s="43"/>
      <c r="I60" s="43"/>
      <c r="J60" s="44"/>
    </row>
    <row r="61" spans="1:10">
      <c r="A61" s="46"/>
      <c r="B61" s="97"/>
      <c r="C61" s="60"/>
      <c r="D61" s="49"/>
      <c r="E61" s="49"/>
      <c r="F61" s="49"/>
      <c r="G61" s="49"/>
      <c r="H61" s="49"/>
      <c r="I61" s="49"/>
      <c r="J61" s="50"/>
    </row>
    <row r="62" spans="1:10">
      <c r="A62" s="40"/>
      <c r="B62" s="96"/>
      <c r="C62" s="58"/>
      <c r="D62" s="43"/>
      <c r="E62" s="43"/>
      <c r="F62" s="43"/>
      <c r="G62" s="43"/>
      <c r="H62" s="43"/>
      <c r="I62" s="43"/>
      <c r="J62" s="44"/>
    </row>
    <row r="63" spans="1:10">
      <c r="A63" s="46"/>
      <c r="B63" s="97"/>
      <c r="C63" s="60"/>
      <c r="D63" s="49"/>
      <c r="E63" s="49"/>
      <c r="F63" s="49"/>
      <c r="G63" s="49"/>
      <c r="H63" s="49"/>
      <c r="I63" s="49"/>
      <c r="J63" s="50"/>
    </row>
    <row r="64" spans="1:10">
      <c r="A64" s="40"/>
      <c r="B64" s="96"/>
      <c r="C64" s="58"/>
      <c r="D64" s="43"/>
      <c r="E64" s="43"/>
      <c r="F64" s="43"/>
      <c r="G64" s="43"/>
      <c r="H64" s="43"/>
      <c r="I64" s="43"/>
      <c r="J64" s="44"/>
    </row>
    <row r="65" spans="1:10">
      <c r="A65" s="46"/>
      <c r="B65" s="97"/>
      <c r="C65" s="60"/>
      <c r="D65" s="49"/>
      <c r="E65" s="49"/>
      <c r="F65" s="49"/>
      <c r="G65" s="49"/>
      <c r="H65" s="49"/>
      <c r="I65" s="49"/>
      <c r="J65" s="50"/>
    </row>
    <row r="66" spans="1:10">
      <c r="A66" s="40"/>
      <c r="B66" s="96"/>
      <c r="C66" s="58"/>
      <c r="D66" s="43"/>
      <c r="E66" s="43"/>
      <c r="F66" s="43"/>
      <c r="G66" s="43"/>
      <c r="H66" s="43"/>
      <c r="I66" s="43"/>
      <c r="J66" s="44"/>
    </row>
    <row r="67" spans="1:10">
      <c r="A67" s="46"/>
      <c r="B67" s="97"/>
      <c r="C67" s="60"/>
      <c r="D67" s="49"/>
      <c r="E67" s="49"/>
      <c r="F67" s="49"/>
      <c r="G67" s="49"/>
      <c r="H67" s="49"/>
      <c r="I67" s="49"/>
      <c r="J67" s="50"/>
    </row>
    <row r="68" spans="1:10">
      <c r="A68" s="40"/>
      <c r="B68" s="96"/>
      <c r="C68" s="58"/>
      <c r="D68" s="43"/>
      <c r="E68" s="43"/>
      <c r="F68" s="43"/>
      <c r="G68" s="43"/>
      <c r="H68" s="43"/>
      <c r="I68" s="43"/>
      <c r="J68" s="44"/>
    </row>
    <row r="69" spans="1:10">
      <c r="A69" s="46"/>
      <c r="B69" s="97"/>
      <c r="C69" s="60"/>
      <c r="D69" s="49"/>
      <c r="E69" s="49"/>
      <c r="F69" s="49"/>
      <c r="G69" s="49"/>
      <c r="H69" s="49"/>
      <c r="I69" s="49"/>
      <c r="J69" s="50"/>
    </row>
    <row r="70" spans="1:10">
      <c r="A70" s="40"/>
      <c r="B70" s="96"/>
      <c r="C70" s="58"/>
      <c r="D70" s="43"/>
      <c r="E70" s="43"/>
      <c r="F70" s="43"/>
      <c r="G70" s="43"/>
      <c r="H70" s="43"/>
      <c r="I70" s="43"/>
      <c r="J70" s="44"/>
    </row>
    <row r="71" spans="1:10">
      <c r="A71" s="46"/>
      <c r="B71" s="97"/>
      <c r="C71" s="60"/>
      <c r="D71" s="49"/>
      <c r="E71" s="49"/>
      <c r="F71" s="49"/>
      <c r="G71" s="49"/>
      <c r="H71" s="49"/>
      <c r="I71" s="49"/>
      <c r="J71" s="50"/>
    </row>
    <row r="72" spans="1:10">
      <c r="A72" s="40"/>
      <c r="B72" s="96"/>
      <c r="C72" s="58"/>
      <c r="D72" s="43"/>
      <c r="E72" s="43"/>
      <c r="F72" s="43"/>
      <c r="G72" s="43"/>
      <c r="H72" s="43"/>
      <c r="I72" s="43"/>
      <c r="J72" s="44"/>
    </row>
    <row r="73" spans="1:10">
      <c r="A73" s="46"/>
      <c r="B73" s="97"/>
      <c r="C73" s="60"/>
      <c r="D73" s="49"/>
      <c r="E73" s="49"/>
      <c r="F73" s="49"/>
      <c r="G73" s="49"/>
      <c r="H73" s="49"/>
      <c r="I73" s="49"/>
      <c r="J73" s="50"/>
    </row>
    <row r="74" spans="1:10">
      <c r="A74" s="40"/>
      <c r="B74" s="96"/>
      <c r="C74" s="58"/>
      <c r="D74" s="43"/>
      <c r="E74" s="43"/>
      <c r="F74" s="43"/>
      <c r="G74" s="43"/>
      <c r="H74" s="43"/>
      <c r="I74" s="43"/>
      <c r="J74" s="44"/>
    </row>
    <row r="75" spans="1:10">
      <c r="A75" s="46"/>
      <c r="B75" s="97"/>
      <c r="C75" s="60"/>
      <c r="D75" s="49"/>
      <c r="E75" s="49"/>
      <c r="F75" s="49"/>
      <c r="G75" s="49"/>
      <c r="H75" s="49"/>
      <c r="I75" s="49"/>
      <c r="J75" s="50"/>
    </row>
    <row r="76" spans="1:10">
      <c r="A76" s="40"/>
      <c r="B76" s="96"/>
      <c r="C76" s="58"/>
      <c r="D76" s="43"/>
      <c r="E76" s="43"/>
      <c r="F76" s="43"/>
      <c r="G76" s="43"/>
      <c r="H76" s="43"/>
      <c r="I76" s="43"/>
      <c r="J76" s="44"/>
    </row>
    <row r="77" spans="1:10">
      <c r="A77" s="46"/>
      <c r="B77" s="97"/>
      <c r="C77" s="60"/>
      <c r="D77" s="49"/>
      <c r="E77" s="49"/>
      <c r="F77" s="49"/>
      <c r="G77" s="49"/>
      <c r="H77" s="49"/>
      <c r="I77" s="49"/>
      <c r="J77" s="50"/>
    </row>
    <row r="78" spans="1:10">
      <c r="A78" s="40"/>
      <c r="B78" s="96"/>
      <c r="C78" s="58"/>
      <c r="D78" s="43"/>
      <c r="E78" s="43"/>
      <c r="F78" s="43"/>
      <c r="G78" s="43"/>
      <c r="H78" s="43"/>
      <c r="I78" s="43"/>
      <c r="J78" s="44"/>
    </row>
    <row r="79" spans="1:10">
      <c r="A79" s="46"/>
      <c r="B79" s="97"/>
      <c r="C79" s="60"/>
      <c r="D79" s="49"/>
      <c r="E79" s="49"/>
      <c r="F79" s="49"/>
      <c r="G79" s="49"/>
      <c r="H79" s="49"/>
      <c r="I79" s="49"/>
      <c r="J79" s="50"/>
    </row>
    <row r="80" spans="1:10">
      <c r="A80" s="40"/>
      <c r="B80" s="96"/>
      <c r="C80" s="58"/>
      <c r="D80" s="43"/>
      <c r="E80" s="43"/>
      <c r="F80" s="43"/>
      <c r="G80" s="43"/>
      <c r="H80" s="43"/>
      <c r="I80" s="43"/>
      <c r="J80" s="44"/>
    </row>
    <row r="81" spans="1:10">
      <c r="A81" s="46"/>
      <c r="B81" s="97"/>
      <c r="C81" s="60"/>
      <c r="D81" s="49"/>
      <c r="E81" s="49"/>
      <c r="F81" s="49"/>
      <c r="G81" s="49"/>
      <c r="H81" s="49"/>
      <c r="I81" s="49"/>
      <c r="J81" s="50"/>
    </row>
    <row r="82" spans="1:10">
      <c r="A82" s="40"/>
      <c r="B82" s="96"/>
      <c r="C82" s="58"/>
      <c r="D82" s="43"/>
      <c r="E82" s="43"/>
      <c r="F82" s="43"/>
      <c r="G82" s="43"/>
      <c r="H82" s="43"/>
      <c r="I82" s="43"/>
      <c r="J82" s="44"/>
    </row>
    <row r="83" spans="1:10" ht="15.4" customHeight="1">
      <c r="A83" s="61"/>
      <c r="B83" s="98"/>
      <c r="C83" s="63"/>
      <c r="D83" s="64"/>
      <c r="E83" s="64"/>
      <c r="F83" s="64"/>
      <c r="G83" s="64"/>
      <c r="H83" s="64"/>
      <c r="I83" s="64"/>
      <c r="J83" s="65"/>
    </row>
    <row r="84" spans="1:10" ht="15">
      <c r="A84" s="109"/>
      <c r="B84" s="110"/>
      <c r="C84" s="111"/>
      <c r="D84" s="112"/>
      <c r="E84" s="112"/>
      <c r="F84" s="112"/>
      <c r="G84" s="112"/>
      <c r="H84" s="112"/>
      <c r="I84" s="112"/>
      <c r="J84" s="113"/>
    </row>
  </sheetData>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theme="9" tint="-0.249977111117893"/>
  </sheetPr>
  <dimension ref="A1:Y34"/>
  <sheetViews>
    <sheetView rightToLeft="1" workbookViewId="0">
      <pane ySplit="2" topLeftCell="A3" activePane="bottomLeft" state="frozen"/>
      <selection pane="bottomLeft"/>
    </sheetView>
  </sheetViews>
  <sheetFormatPr defaultRowHeight="13.5"/>
  <cols>
    <col min="1" max="1" width="14.1875" customWidth="1"/>
    <col min="2" max="2" width="46.6875" customWidth="1"/>
    <col min="3" max="3" width="10.8125" customWidth="1"/>
    <col min="4" max="4" width="18.3125" customWidth="1"/>
    <col min="19" max="22" width="18.3125" customWidth="1"/>
    <col min="23" max="23" width="21.4375" customWidth="1"/>
  </cols>
  <sheetData>
    <row r="1" spans="1:25" ht="32" customHeight="1">
      <c r="A1" s="27"/>
      <c r="B1" s="28" t="s">
        <v>2111</v>
      </c>
      <c r="C1" s="28" t="s">
        <v>1856</v>
      </c>
      <c r="D1" s="28" t="s">
        <v>871</v>
      </c>
      <c r="E1" s="28" t="s">
        <v>872</v>
      </c>
      <c r="F1" s="28" t="s">
        <v>873</v>
      </c>
      <c r="G1" s="28" t="s">
        <v>871</v>
      </c>
      <c r="H1" s="28" t="s">
        <v>872</v>
      </c>
      <c r="I1" s="28" t="s">
        <v>873</v>
      </c>
      <c r="J1" s="28" t="s">
        <v>2112</v>
      </c>
      <c r="K1" s="28"/>
      <c r="L1" s="28"/>
      <c r="M1" s="28"/>
      <c r="N1" s="28" t="s">
        <v>2113</v>
      </c>
      <c r="O1" s="28"/>
      <c r="P1" s="28"/>
      <c r="Q1" s="28" t="s">
        <v>2114</v>
      </c>
      <c r="R1" s="28"/>
      <c r="S1" s="28" t="s">
        <v>2115</v>
      </c>
      <c r="T1" s="81" t="s">
        <v>2116</v>
      </c>
      <c r="U1" s="81" t="s">
        <v>878</v>
      </c>
      <c r="V1" s="72"/>
    </row>
    <row r="2" spans="1:25" ht="28.05" customHeight="1">
      <c r="A2" s="73" t="s">
        <v>2117</v>
      </c>
      <c r="B2" s="31" t="s">
        <v>2118</v>
      </c>
      <c r="C2" s="31" t="s">
        <v>881</v>
      </c>
      <c r="D2" s="31"/>
      <c r="E2" s="31"/>
      <c r="F2" s="31"/>
      <c r="G2" s="31"/>
      <c r="H2" s="31"/>
      <c r="I2" s="31"/>
      <c r="J2" s="31"/>
      <c r="K2" s="31"/>
      <c r="L2" s="31"/>
      <c r="M2" s="31"/>
      <c r="N2" s="31"/>
      <c r="O2" s="31"/>
      <c r="P2" s="31"/>
      <c r="Q2" s="114">
        <f t="shared" ref="Q2:Q30" si="0">T2*1.35</f>
        <v>16362000.000000002</v>
      </c>
      <c r="R2" s="114">
        <f t="shared" ref="R2:R32" si="1">Q2/T2</f>
        <v>1.35</v>
      </c>
      <c r="S2" s="32">
        <v>10100000</v>
      </c>
      <c r="T2" s="32">
        <f t="shared" ref="T2:T7" si="2">S2*1.2</f>
        <v>12120000</v>
      </c>
      <c r="U2" s="114">
        <f t="shared" ref="U2:U30" si="3">T2/S2</f>
        <v>1.2</v>
      </c>
      <c r="V2" s="74"/>
    </row>
    <row r="3" spans="1:25" ht="51" customHeight="1">
      <c r="A3" s="75" t="s">
        <v>2119</v>
      </c>
      <c r="B3" s="35" t="s">
        <v>2120</v>
      </c>
      <c r="C3" s="36" t="s">
        <v>881</v>
      </c>
      <c r="D3" s="37"/>
      <c r="E3" s="37"/>
      <c r="F3" s="37"/>
      <c r="G3" s="37"/>
      <c r="H3" s="37"/>
      <c r="I3" s="37"/>
      <c r="J3" s="37"/>
      <c r="K3" s="37"/>
      <c r="L3" s="37"/>
      <c r="M3" s="37"/>
      <c r="N3" s="37"/>
      <c r="O3" s="37"/>
      <c r="P3" s="37"/>
      <c r="Q3" s="37">
        <f t="shared" si="0"/>
        <v>25110000</v>
      </c>
      <c r="R3" s="37">
        <f t="shared" si="1"/>
        <v>1.35</v>
      </c>
      <c r="S3" s="37">
        <v>15500000</v>
      </c>
      <c r="T3" s="37">
        <f t="shared" si="2"/>
        <v>18600000</v>
      </c>
      <c r="U3" s="37">
        <f t="shared" si="3"/>
        <v>1.2</v>
      </c>
      <c r="V3" s="38"/>
    </row>
    <row r="4" spans="1:25" ht="51" customHeight="1">
      <c r="A4" s="52" t="s">
        <v>2121</v>
      </c>
      <c r="B4" s="41" t="s">
        <v>2122</v>
      </c>
      <c r="C4" s="42" t="s">
        <v>881</v>
      </c>
      <c r="D4" s="43"/>
      <c r="E4" s="43"/>
      <c r="F4" s="43"/>
      <c r="G4" s="43"/>
      <c r="H4" s="43"/>
      <c r="I4" s="43"/>
      <c r="J4" s="43"/>
      <c r="K4" s="43"/>
      <c r="L4" s="43"/>
      <c r="M4" s="43"/>
      <c r="N4" s="43"/>
      <c r="O4" s="43"/>
      <c r="P4" s="43"/>
      <c r="Q4" s="43">
        <f t="shared" si="0"/>
        <v>29646000.000000004</v>
      </c>
      <c r="R4" s="43">
        <f t="shared" si="1"/>
        <v>1.35</v>
      </c>
      <c r="S4" s="43">
        <v>18300000</v>
      </c>
      <c r="T4" s="43">
        <f t="shared" si="2"/>
        <v>21960000</v>
      </c>
      <c r="U4" s="43">
        <f t="shared" si="3"/>
        <v>1.2</v>
      </c>
      <c r="V4" s="44"/>
    </row>
    <row r="5" spans="1:25" ht="51" customHeight="1">
      <c r="A5" s="51" t="s">
        <v>2123</v>
      </c>
      <c r="B5" s="47" t="s">
        <v>2124</v>
      </c>
      <c r="C5" s="48" t="s">
        <v>881</v>
      </c>
      <c r="D5" s="49"/>
      <c r="E5" s="49"/>
      <c r="F5" s="49"/>
      <c r="G5" s="49">
        <v>28400000</v>
      </c>
      <c r="H5" s="49">
        <v>31808000</v>
      </c>
      <c r="I5" s="49">
        <v>31808000</v>
      </c>
      <c r="J5" s="49"/>
      <c r="K5" s="49">
        <f t="shared" ref="K5:K32" si="4">I5/G5</f>
        <v>1.1200000000000001</v>
      </c>
      <c r="L5" s="49"/>
      <c r="M5" s="49"/>
      <c r="N5" s="49"/>
      <c r="O5" s="49"/>
      <c r="P5" s="49"/>
      <c r="Q5" s="49">
        <f t="shared" si="0"/>
        <v>32724000.000000004</v>
      </c>
      <c r="R5" s="49">
        <f t="shared" si="1"/>
        <v>1.35</v>
      </c>
      <c r="S5" s="49">
        <v>20200000</v>
      </c>
      <c r="T5" s="49">
        <f t="shared" si="2"/>
        <v>24240000</v>
      </c>
      <c r="U5" s="49">
        <f t="shared" si="3"/>
        <v>1.2</v>
      </c>
      <c r="V5" s="50"/>
    </row>
    <row r="6" spans="1:25" ht="51" customHeight="1">
      <c r="A6" s="52" t="s">
        <v>2125</v>
      </c>
      <c r="B6" s="41" t="s">
        <v>2126</v>
      </c>
      <c r="C6" s="42" t="s">
        <v>881</v>
      </c>
      <c r="D6" s="43"/>
      <c r="E6" s="43"/>
      <c r="F6" s="43"/>
      <c r="G6" s="43">
        <v>30000000</v>
      </c>
      <c r="H6" s="43">
        <v>33600000</v>
      </c>
      <c r="I6" s="43">
        <v>33600000</v>
      </c>
      <c r="J6" s="43"/>
      <c r="K6" s="43">
        <f t="shared" si="4"/>
        <v>1.1200000000000001</v>
      </c>
      <c r="L6" s="43"/>
      <c r="M6" s="43"/>
      <c r="N6" s="43"/>
      <c r="O6" s="43"/>
      <c r="P6" s="43"/>
      <c r="Q6" s="43">
        <f t="shared" si="0"/>
        <v>49086000</v>
      </c>
      <c r="R6" s="43">
        <f t="shared" si="1"/>
        <v>1.35</v>
      </c>
      <c r="S6" s="43">
        <v>30300000</v>
      </c>
      <c r="T6" s="43">
        <f t="shared" si="2"/>
        <v>36360000</v>
      </c>
      <c r="U6" s="43">
        <f t="shared" si="3"/>
        <v>1.2</v>
      </c>
      <c r="V6" s="44"/>
    </row>
    <row r="7" spans="1:25" ht="51" customHeight="1">
      <c r="A7" s="51" t="s">
        <v>2127</v>
      </c>
      <c r="B7" s="47" t="s">
        <v>2128</v>
      </c>
      <c r="C7" s="48" t="s">
        <v>881</v>
      </c>
      <c r="D7" s="49"/>
      <c r="E7" s="49"/>
      <c r="F7" s="49"/>
      <c r="G7" s="49">
        <v>41000000</v>
      </c>
      <c r="H7" s="49">
        <v>45920000</v>
      </c>
      <c r="I7" s="49">
        <v>45920000</v>
      </c>
      <c r="J7" s="49"/>
      <c r="K7" s="49">
        <f t="shared" si="4"/>
        <v>1.1200000000000001</v>
      </c>
      <c r="L7" s="49"/>
      <c r="M7" s="49"/>
      <c r="N7" s="49"/>
      <c r="O7" s="49"/>
      <c r="P7" s="49"/>
      <c r="Q7" s="49">
        <f t="shared" si="0"/>
        <v>65448000.000000007</v>
      </c>
      <c r="R7" s="49">
        <f t="shared" si="1"/>
        <v>1.35</v>
      </c>
      <c r="S7" s="49">
        <v>40400000</v>
      </c>
      <c r="T7" s="49">
        <f t="shared" si="2"/>
        <v>48480000</v>
      </c>
      <c r="U7" s="49">
        <f t="shared" si="3"/>
        <v>1.2</v>
      </c>
      <c r="V7" s="50"/>
    </row>
    <row r="8" spans="1:25" ht="15" customHeight="1">
      <c r="A8" s="52" t="s">
        <v>2129</v>
      </c>
      <c r="B8" s="115" t="s">
        <v>2130</v>
      </c>
      <c r="C8" s="42" t="s">
        <v>881</v>
      </c>
      <c r="D8" s="43"/>
      <c r="E8" s="43"/>
      <c r="F8" s="43"/>
      <c r="G8" s="43">
        <v>51300000</v>
      </c>
      <c r="H8" s="43">
        <v>57500000</v>
      </c>
      <c r="I8" s="43">
        <v>57500000</v>
      </c>
      <c r="J8" s="43">
        <v>104500000</v>
      </c>
      <c r="K8" s="43">
        <f t="shared" si="4"/>
        <v>1.1208576998050683</v>
      </c>
      <c r="L8" s="43"/>
      <c r="M8" s="43"/>
      <c r="N8" s="43"/>
      <c r="O8" s="43"/>
      <c r="P8" s="43"/>
      <c r="Q8" s="43">
        <f t="shared" si="0"/>
        <v>93258000</v>
      </c>
      <c r="R8" s="43">
        <f t="shared" si="1"/>
        <v>1.35</v>
      </c>
      <c r="S8" s="43">
        <v>50500000</v>
      </c>
      <c r="T8" s="43">
        <v>69080000</v>
      </c>
      <c r="U8" s="43">
        <f t="shared" si="3"/>
        <v>1.367920792079208</v>
      </c>
      <c r="V8" s="44"/>
      <c r="W8" s="108"/>
      <c r="X8" s="108"/>
      <c r="Y8" s="108"/>
    </row>
    <row r="9" spans="1:25" ht="15" customHeight="1">
      <c r="A9" s="51" t="s">
        <v>2131</v>
      </c>
      <c r="B9" s="116" t="s">
        <v>2132</v>
      </c>
      <c r="C9" s="48" t="s">
        <v>881</v>
      </c>
      <c r="D9" s="49"/>
      <c r="E9" s="49"/>
      <c r="F9" s="49"/>
      <c r="G9" s="49">
        <v>58400000</v>
      </c>
      <c r="H9" s="49">
        <v>65408000</v>
      </c>
      <c r="I9" s="49">
        <v>65408000</v>
      </c>
      <c r="J9" s="49">
        <v>104850000</v>
      </c>
      <c r="K9" s="49">
        <f t="shared" si="4"/>
        <v>1.1200000000000001</v>
      </c>
      <c r="L9" s="49"/>
      <c r="M9" s="49"/>
      <c r="N9" s="49"/>
      <c r="O9" s="49"/>
      <c r="P9" s="49"/>
      <c r="Q9" s="49">
        <f t="shared" si="0"/>
        <v>100237500</v>
      </c>
      <c r="R9" s="49">
        <f t="shared" si="1"/>
        <v>1.35</v>
      </c>
      <c r="S9" s="49">
        <v>60500000</v>
      </c>
      <c r="T9" s="49">
        <v>74250000</v>
      </c>
      <c r="U9" s="49">
        <f t="shared" si="3"/>
        <v>1.2272727272727273</v>
      </c>
      <c r="V9" s="50"/>
      <c r="W9" s="108"/>
      <c r="X9" s="108"/>
      <c r="Y9" s="108"/>
    </row>
    <row r="10" spans="1:25" ht="15" customHeight="1">
      <c r="A10" s="52" t="s">
        <v>2133</v>
      </c>
      <c r="B10" s="115" t="s">
        <v>2134</v>
      </c>
      <c r="C10" s="42" t="s">
        <v>881</v>
      </c>
      <c r="D10" s="43"/>
      <c r="E10" s="43"/>
      <c r="F10" s="43"/>
      <c r="G10" s="43">
        <v>75500000</v>
      </c>
      <c r="H10" s="43">
        <v>84600000</v>
      </c>
      <c r="I10" s="43">
        <v>84600000</v>
      </c>
      <c r="J10" s="43">
        <v>141350000</v>
      </c>
      <c r="K10" s="43">
        <f t="shared" si="4"/>
        <v>1.1205298013245033</v>
      </c>
      <c r="L10" s="43"/>
      <c r="M10" s="43"/>
      <c r="N10" s="43"/>
      <c r="O10" s="43"/>
      <c r="P10" s="43"/>
      <c r="Q10" s="43">
        <f t="shared" si="0"/>
        <v>126225000.00000001</v>
      </c>
      <c r="R10" s="43">
        <f t="shared" si="1"/>
        <v>1.35</v>
      </c>
      <c r="S10" s="43">
        <v>70500000</v>
      </c>
      <c r="T10" s="43">
        <v>93500000</v>
      </c>
      <c r="U10" s="43">
        <f t="shared" si="3"/>
        <v>1.3262411347517731</v>
      </c>
      <c r="V10" s="44"/>
      <c r="W10" s="117"/>
      <c r="X10" s="108"/>
      <c r="Y10" s="108"/>
    </row>
    <row r="11" spans="1:25" ht="51" customHeight="1">
      <c r="A11" s="51" t="s">
        <v>2135</v>
      </c>
      <c r="B11" s="116" t="s">
        <v>2136</v>
      </c>
      <c r="C11" s="48" t="s">
        <v>881</v>
      </c>
      <c r="D11" s="49"/>
      <c r="E11" s="49"/>
      <c r="F11" s="49"/>
      <c r="G11" s="49"/>
      <c r="H11" s="49"/>
      <c r="I11" s="49"/>
      <c r="J11" s="49"/>
      <c r="K11" s="49" t="e">
        <f t="shared" si="4"/>
        <v>#DIV/0!</v>
      </c>
      <c r="L11" s="49"/>
      <c r="M11" s="49"/>
      <c r="N11" s="49"/>
      <c r="O11" s="49"/>
      <c r="P11" s="49"/>
      <c r="Q11" s="49">
        <f t="shared" si="0"/>
        <v>136080000</v>
      </c>
      <c r="R11" s="49">
        <f t="shared" si="1"/>
        <v>1.35</v>
      </c>
      <c r="S11" s="49">
        <v>84000000</v>
      </c>
      <c r="T11" s="49">
        <f>S11*1.2</f>
        <v>100800000</v>
      </c>
      <c r="U11" s="49">
        <f t="shared" si="3"/>
        <v>1.2</v>
      </c>
      <c r="V11" s="50"/>
      <c r="W11" s="108"/>
      <c r="X11" s="108"/>
      <c r="Y11" s="108"/>
    </row>
    <row r="12" spans="1:25" ht="15" customHeight="1">
      <c r="A12" s="52" t="s">
        <v>2137</v>
      </c>
      <c r="B12" s="115" t="s">
        <v>2138</v>
      </c>
      <c r="C12" s="42" t="s">
        <v>881</v>
      </c>
      <c r="D12" s="43"/>
      <c r="E12" s="43"/>
      <c r="F12" s="43"/>
      <c r="G12" s="43">
        <v>108000000</v>
      </c>
      <c r="H12" s="43">
        <v>120960000</v>
      </c>
      <c r="I12" s="43">
        <v>120960000</v>
      </c>
      <c r="J12" s="43">
        <v>193600000</v>
      </c>
      <c r="K12" s="43">
        <f t="shared" si="4"/>
        <v>1.1200000000000001</v>
      </c>
      <c r="L12" s="43">
        <f t="shared" ref="L12:L32" si="5">J12/T12</f>
        <v>1.5172413793103448</v>
      </c>
      <c r="M12" s="43">
        <f t="shared" ref="M12:M29" si="6">L12-0.13</f>
        <v>1.3872413793103449</v>
      </c>
      <c r="N12" s="43">
        <v>187000000</v>
      </c>
      <c r="O12" s="43">
        <f t="shared" ref="O12:O32" si="7">N12/T12</f>
        <v>1.4655172413793103</v>
      </c>
      <c r="P12" s="43">
        <f t="shared" ref="P12:P32" si="8">O12-0.13</f>
        <v>1.3355172413793102</v>
      </c>
      <c r="Q12" s="43">
        <f t="shared" si="0"/>
        <v>172260000</v>
      </c>
      <c r="R12" s="43">
        <f t="shared" si="1"/>
        <v>1.35</v>
      </c>
      <c r="S12" s="43">
        <v>99000000</v>
      </c>
      <c r="T12" s="43">
        <v>127600000</v>
      </c>
      <c r="U12" s="43">
        <f t="shared" si="3"/>
        <v>1.288888888888889</v>
      </c>
      <c r="V12" s="44">
        <f>L12+Q12</f>
        <v>172260001.51724139</v>
      </c>
      <c r="W12" s="108"/>
      <c r="X12" s="108"/>
      <c r="Y12" s="108"/>
    </row>
    <row r="13" spans="1:25" ht="15" customHeight="1">
      <c r="A13" s="51" t="s">
        <v>2139</v>
      </c>
      <c r="B13" s="116" t="s">
        <v>2140</v>
      </c>
      <c r="C13" s="48" t="s">
        <v>881</v>
      </c>
      <c r="D13" s="49"/>
      <c r="E13" s="49"/>
      <c r="F13" s="49"/>
      <c r="G13" s="49">
        <v>116800000</v>
      </c>
      <c r="H13" s="49">
        <v>130816000</v>
      </c>
      <c r="I13" s="49">
        <v>130816000</v>
      </c>
      <c r="J13" s="49">
        <v>221100000</v>
      </c>
      <c r="K13" s="49">
        <f t="shared" si="4"/>
        <v>1.1200000000000001</v>
      </c>
      <c r="L13" s="49">
        <f t="shared" si="5"/>
        <v>1.5192743764172336</v>
      </c>
      <c r="M13" s="49">
        <f t="shared" si="6"/>
        <v>1.3892743764172337</v>
      </c>
      <c r="N13" s="49">
        <v>211150000</v>
      </c>
      <c r="O13" s="49">
        <f t="shared" si="7"/>
        <v>1.4509035937607366</v>
      </c>
      <c r="P13" s="49">
        <f t="shared" si="8"/>
        <v>1.3209035937607365</v>
      </c>
      <c r="Q13" s="49">
        <f t="shared" si="0"/>
        <v>196465500</v>
      </c>
      <c r="R13" s="49">
        <f t="shared" si="1"/>
        <v>1.35</v>
      </c>
      <c r="S13" s="49">
        <v>110000000</v>
      </c>
      <c r="T13" s="49">
        <v>145530000</v>
      </c>
      <c r="U13" s="49">
        <f t="shared" si="3"/>
        <v>1.323</v>
      </c>
      <c r="V13" s="50">
        <f>V12/2</f>
        <v>86130000.758620694</v>
      </c>
      <c r="W13" s="108"/>
      <c r="X13" s="108"/>
      <c r="Y13" s="108"/>
    </row>
    <row r="14" spans="1:25" ht="51" customHeight="1">
      <c r="A14" s="52" t="s">
        <v>2141</v>
      </c>
      <c r="B14" s="115" t="s">
        <v>2142</v>
      </c>
      <c r="C14" s="42" t="s">
        <v>881</v>
      </c>
      <c r="D14" s="43"/>
      <c r="E14" s="43"/>
      <c r="F14" s="43"/>
      <c r="G14" s="43"/>
      <c r="H14" s="43"/>
      <c r="I14" s="43"/>
      <c r="J14" s="43">
        <v>321500000</v>
      </c>
      <c r="K14" s="43" t="e">
        <f t="shared" si="4"/>
        <v>#DIV/0!</v>
      </c>
      <c r="L14" s="43">
        <f t="shared" si="5"/>
        <v>1.7425474254742548</v>
      </c>
      <c r="M14" s="43">
        <f t="shared" si="6"/>
        <v>1.6125474254742547</v>
      </c>
      <c r="N14" s="43">
        <v>311750000</v>
      </c>
      <c r="O14" s="43">
        <f t="shared" si="7"/>
        <v>1.6897018970189701</v>
      </c>
      <c r="P14" s="43">
        <f t="shared" si="8"/>
        <v>1.5597018970189702</v>
      </c>
      <c r="Q14" s="43">
        <f t="shared" si="0"/>
        <v>249075000.00000003</v>
      </c>
      <c r="R14" s="43">
        <f t="shared" si="1"/>
        <v>1.35</v>
      </c>
      <c r="S14" s="43">
        <v>150000000</v>
      </c>
      <c r="T14" s="43">
        <f>S14*1.23</f>
        <v>184500000</v>
      </c>
      <c r="U14" s="43">
        <f t="shared" si="3"/>
        <v>1.23</v>
      </c>
      <c r="V14" s="44"/>
      <c r="W14" s="108"/>
      <c r="X14" s="108"/>
      <c r="Y14" s="108"/>
    </row>
    <row r="15" spans="1:25" ht="15" customHeight="1">
      <c r="A15" s="51" t="s">
        <v>2143</v>
      </c>
      <c r="B15" s="116" t="s">
        <v>2144</v>
      </c>
      <c r="C15" s="48" t="s">
        <v>881</v>
      </c>
      <c r="D15" s="49"/>
      <c r="E15" s="49"/>
      <c r="F15" s="49"/>
      <c r="G15" s="49">
        <v>174700000</v>
      </c>
      <c r="H15" s="49">
        <v>196000000</v>
      </c>
      <c r="I15" s="49">
        <v>196000000</v>
      </c>
      <c r="J15" s="49">
        <v>386650000</v>
      </c>
      <c r="K15" s="49">
        <f t="shared" si="4"/>
        <v>1.1219232970807098</v>
      </c>
      <c r="L15" s="49">
        <f t="shared" si="5"/>
        <v>1.9103260869565217</v>
      </c>
      <c r="M15" s="49">
        <f t="shared" si="6"/>
        <v>1.7803260869565216</v>
      </c>
      <c r="N15" s="49">
        <v>420900000</v>
      </c>
      <c r="O15" s="49">
        <f t="shared" si="7"/>
        <v>2.0795454545454546</v>
      </c>
      <c r="P15" s="49">
        <f t="shared" si="8"/>
        <v>1.9495454545454547</v>
      </c>
      <c r="Q15" s="49">
        <f t="shared" si="0"/>
        <v>273240000</v>
      </c>
      <c r="R15" s="49">
        <f t="shared" si="1"/>
        <v>1.35</v>
      </c>
      <c r="S15" s="49">
        <v>185000000</v>
      </c>
      <c r="T15" s="49">
        <v>202400000</v>
      </c>
      <c r="U15" s="49">
        <f t="shared" si="3"/>
        <v>1.094054054054054</v>
      </c>
      <c r="V15" s="50"/>
      <c r="W15" s="108"/>
      <c r="X15" s="108"/>
      <c r="Y15" s="108"/>
    </row>
    <row r="16" spans="1:25" ht="15" customHeight="1">
      <c r="A16" s="52" t="s">
        <v>2145</v>
      </c>
      <c r="B16" s="115" t="s">
        <v>2146</v>
      </c>
      <c r="C16" s="42" t="s">
        <v>881</v>
      </c>
      <c r="D16" s="43"/>
      <c r="E16" s="43"/>
      <c r="F16" s="43"/>
      <c r="G16" s="43">
        <v>209600000</v>
      </c>
      <c r="H16" s="43">
        <v>234750000</v>
      </c>
      <c r="I16" s="43">
        <v>234750000</v>
      </c>
      <c r="J16" s="43">
        <v>620500000</v>
      </c>
      <c r="K16" s="43">
        <f t="shared" si="4"/>
        <v>1.1199904580152671</v>
      </c>
      <c r="L16" s="43">
        <f t="shared" si="5"/>
        <v>2.5455365933705285</v>
      </c>
      <c r="M16" s="43">
        <f t="shared" si="6"/>
        <v>2.4155365933705286</v>
      </c>
      <c r="N16" s="43">
        <v>538500000</v>
      </c>
      <c r="O16" s="43">
        <f t="shared" si="7"/>
        <v>2.2091401378404987</v>
      </c>
      <c r="P16" s="43">
        <f t="shared" si="8"/>
        <v>2.0791401378404988</v>
      </c>
      <c r="Q16" s="43">
        <f t="shared" si="0"/>
        <v>329076000</v>
      </c>
      <c r="R16" s="43">
        <f t="shared" si="1"/>
        <v>1.35</v>
      </c>
      <c r="S16" s="43">
        <v>200000000</v>
      </c>
      <c r="T16" s="43">
        <v>243760000</v>
      </c>
      <c r="U16" s="43">
        <f t="shared" si="3"/>
        <v>1.2188000000000001</v>
      </c>
      <c r="V16" s="44"/>
      <c r="W16" s="108"/>
      <c r="X16" s="108"/>
      <c r="Y16" s="108"/>
    </row>
    <row r="17" spans="1:25" ht="15" customHeight="1">
      <c r="A17" s="51" t="s">
        <v>2147</v>
      </c>
      <c r="B17" s="116" t="s">
        <v>2148</v>
      </c>
      <c r="C17" s="48" t="s">
        <v>881</v>
      </c>
      <c r="D17" s="49"/>
      <c r="E17" s="49"/>
      <c r="F17" s="49"/>
      <c r="G17" s="49">
        <v>546040000</v>
      </c>
      <c r="H17" s="49">
        <v>620500000</v>
      </c>
      <c r="I17" s="49">
        <v>620500000</v>
      </c>
      <c r="J17" s="49">
        <v>679650000</v>
      </c>
      <c r="K17" s="49">
        <f t="shared" si="4"/>
        <v>1.1363636363636365</v>
      </c>
      <c r="L17" s="49">
        <f t="shared" si="5"/>
        <v>1.9034616030919174</v>
      </c>
      <c r="M17" s="49">
        <f t="shared" si="6"/>
        <v>1.7734616030919175</v>
      </c>
      <c r="N17" s="49">
        <v>592300000</v>
      </c>
      <c r="O17" s="49">
        <f t="shared" si="7"/>
        <v>1.6588248473645886</v>
      </c>
      <c r="P17" s="49">
        <f t="shared" si="8"/>
        <v>1.5288248473645885</v>
      </c>
      <c r="Q17" s="49">
        <f t="shared" si="0"/>
        <v>482031000.00000006</v>
      </c>
      <c r="R17" s="49">
        <f t="shared" si="1"/>
        <v>1.35</v>
      </c>
      <c r="S17" s="49">
        <v>271000000</v>
      </c>
      <c r="T17" s="49">
        <v>357060000</v>
      </c>
      <c r="U17" s="49">
        <f t="shared" si="3"/>
        <v>1.3175645756457564</v>
      </c>
      <c r="V17" s="50"/>
      <c r="W17" s="108"/>
      <c r="X17" s="108"/>
      <c r="Y17" s="108"/>
    </row>
    <row r="18" spans="1:25" ht="15" customHeight="1">
      <c r="A18" s="52" t="s">
        <v>2149</v>
      </c>
      <c r="B18" s="115" t="s">
        <v>2150</v>
      </c>
      <c r="C18" s="42" t="s">
        <v>881</v>
      </c>
      <c r="D18" s="43"/>
      <c r="E18" s="43"/>
      <c r="F18" s="43"/>
      <c r="G18" s="43">
        <v>598092000</v>
      </c>
      <c r="H18" s="43">
        <v>679650000</v>
      </c>
      <c r="I18" s="43">
        <v>679650000</v>
      </c>
      <c r="J18" s="43">
        <v>829150000</v>
      </c>
      <c r="K18" s="43">
        <f t="shared" si="4"/>
        <v>1.1363636363636365</v>
      </c>
      <c r="L18" s="43">
        <f t="shared" si="5"/>
        <v>2.1203170950006394</v>
      </c>
      <c r="M18" s="43">
        <f t="shared" si="6"/>
        <v>1.9903170950006395</v>
      </c>
      <c r="N18" s="43">
        <v>748200000</v>
      </c>
      <c r="O18" s="43">
        <f t="shared" si="7"/>
        <v>1.9133103183736095</v>
      </c>
      <c r="P18" s="43">
        <f t="shared" si="8"/>
        <v>1.7833103183736094</v>
      </c>
      <c r="Q18" s="43">
        <f t="shared" si="0"/>
        <v>527917500.00000006</v>
      </c>
      <c r="R18" s="43">
        <f t="shared" si="1"/>
        <v>1.35</v>
      </c>
      <c r="S18" s="43">
        <v>297000000</v>
      </c>
      <c r="T18" s="43">
        <v>391050000</v>
      </c>
      <c r="U18" s="43">
        <f t="shared" si="3"/>
        <v>1.3166666666666667</v>
      </c>
      <c r="V18" s="44"/>
      <c r="W18" s="108"/>
      <c r="X18" s="108"/>
      <c r="Y18" s="108"/>
    </row>
    <row r="19" spans="1:25" ht="15" customHeight="1">
      <c r="A19" s="51" t="s">
        <v>2151</v>
      </c>
      <c r="B19" s="116" t="s">
        <v>2152</v>
      </c>
      <c r="C19" s="48" t="s">
        <v>881</v>
      </c>
      <c r="D19" s="49"/>
      <c r="E19" s="49"/>
      <c r="F19" s="49"/>
      <c r="G19" s="49">
        <v>730000000</v>
      </c>
      <c r="H19" s="49">
        <v>629150000</v>
      </c>
      <c r="I19" s="49">
        <v>629150000</v>
      </c>
      <c r="J19" s="49">
        <v>1023500000</v>
      </c>
      <c r="K19" s="49">
        <f t="shared" si="4"/>
        <v>0.86184931506849316</v>
      </c>
      <c r="L19" s="49">
        <f t="shared" si="5"/>
        <v>2.0458543215799154</v>
      </c>
      <c r="M19" s="49">
        <f t="shared" si="6"/>
        <v>1.9158543215799155</v>
      </c>
      <c r="N19" s="49">
        <v>794950000</v>
      </c>
      <c r="O19" s="49">
        <f t="shared" si="7"/>
        <v>1.5890101543135844</v>
      </c>
      <c r="P19" s="49">
        <f t="shared" si="8"/>
        <v>1.4590101543135843</v>
      </c>
      <c r="Q19" s="49">
        <f t="shared" si="0"/>
        <v>675378000</v>
      </c>
      <c r="R19" s="49">
        <f t="shared" si="1"/>
        <v>1.35</v>
      </c>
      <c r="S19" s="49">
        <v>406000000</v>
      </c>
      <c r="T19" s="49">
        <v>500280000</v>
      </c>
      <c r="U19" s="49">
        <f t="shared" si="3"/>
        <v>1.232216748768473</v>
      </c>
      <c r="V19" s="50"/>
      <c r="W19" s="108"/>
      <c r="X19" s="108"/>
      <c r="Y19" s="108"/>
    </row>
    <row r="20" spans="1:25" ht="15" customHeight="1">
      <c r="A20" s="52" t="s">
        <v>2153</v>
      </c>
      <c r="B20" s="115" t="s">
        <v>2154</v>
      </c>
      <c r="C20" s="42" t="s">
        <v>881</v>
      </c>
      <c r="D20" s="43"/>
      <c r="E20" s="43"/>
      <c r="F20" s="43"/>
      <c r="G20" s="43">
        <v>900680000</v>
      </c>
      <c r="H20" s="43">
        <v>1023500000</v>
      </c>
      <c r="I20" s="43">
        <v>1023500000</v>
      </c>
      <c r="J20" s="43">
        <v>1061450000</v>
      </c>
      <c r="K20" s="43">
        <f t="shared" si="4"/>
        <v>1.1363636363636365</v>
      </c>
      <c r="L20" s="43">
        <f t="shared" si="5"/>
        <v>1.8009603311954936</v>
      </c>
      <c r="M20" s="43">
        <f t="shared" si="6"/>
        <v>1.6709603311954937</v>
      </c>
      <c r="N20" s="43">
        <v>1028750000</v>
      </c>
      <c r="O20" s="43">
        <f t="shared" si="7"/>
        <v>1.7454782992296991</v>
      </c>
      <c r="P20" s="43">
        <f t="shared" si="8"/>
        <v>1.6154782992296992</v>
      </c>
      <c r="Q20" s="43">
        <f t="shared" si="0"/>
        <v>795663000</v>
      </c>
      <c r="R20" s="43">
        <f t="shared" si="1"/>
        <v>1.35</v>
      </c>
      <c r="S20" s="43">
        <v>474000000</v>
      </c>
      <c r="T20" s="43">
        <v>589380000</v>
      </c>
      <c r="U20" s="43">
        <f t="shared" si="3"/>
        <v>1.2434177215189874</v>
      </c>
      <c r="V20" s="44"/>
      <c r="W20" s="108"/>
      <c r="X20" s="108"/>
      <c r="Y20" s="108"/>
    </row>
    <row r="21" spans="1:25" ht="15" customHeight="1">
      <c r="A21" s="51" t="s">
        <v>2155</v>
      </c>
      <c r="B21" s="116" t="s">
        <v>2156</v>
      </c>
      <c r="C21" s="48" t="s">
        <v>881</v>
      </c>
      <c r="D21" s="49"/>
      <c r="E21" s="49"/>
      <c r="F21" s="49"/>
      <c r="G21" s="49"/>
      <c r="H21" s="49"/>
      <c r="I21" s="49"/>
      <c r="J21" s="49">
        <v>1227100000</v>
      </c>
      <c r="K21" s="49" t="e">
        <f t="shared" si="4"/>
        <v>#DIV/0!</v>
      </c>
      <c r="L21" s="49">
        <f t="shared" si="5"/>
        <v>1.7411354058770947</v>
      </c>
      <c r="M21" s="49">
        <f t="shared" si="6"/>
        <v>1.6111354058770946</v>
      </c>
      <c r="N21" s="49">
        <v>1200200000</v>
      </c>
      <c r="O21" s="49">
        <f t="shared" si="7"/>
        <v>1.7029669253799111</v>
      </c>
      <c r="P21" s="49">
        <f t="shared" si="8"/>
        <v>1.572966925379911</v>
      </c>
      <c r="Q21" s="49">
        <f t="shared" si="0"/>
        <v>951439500.00000012</v>
      </c>
      <c r="R21" s="49">
        <f t="shared" si="1"/>
        <v>1.35</v>
      </c>
      <c r="S21" s="49">
        <v>522000000</v>
      </c>
      <c r="T21" s="49">
        <v>704770000</v>
      </c>
      <c r="U21" s="49">
        <f t="shared" si="3"/>
        <v>1.3501340996168583</v>
      </c>
      <c r="V21" s="50"/>
      <c r="W21" s="108"/>
      <c r="X21" s="108"/>
      <c r="Y21" s="108"/>
    </row>
    <row r="22" spans="1:25" ht="15" customHeight="1">
      <c r="A22" s="52" t="s">
        <v>2157</v>
      </c>
      <c r="B22" s="115" t="s">
        <v>2158</v>
      </c>
      <c r="C22" s="42" t="s">
        <v>881</v>
      </c>
      <c r="D22" s="43"/>
      <c r="E22" s="43"/>
      <c r="F22" s="43"/>
      <c r="G22" s="43"/>
      <c r="H22" s="43"/>
      <c r="I22" s="43"/>
      <c r="J22" s="43">
        <v>1623800000</v>
      </c>
      <c r="K22" s="43" t="e">
        <f t="shared" si="4"/>
        <v>#DIV/0!</v>
      </c>
      <c r="L22" s="43">
        <f t="shared" si="5"/>
        <v>2.0166418281172378</v>
      </c>
      <c r="M22" s="43">
        <f t="shared" si="6"/>
        <v>1.8866418281172379</v>
      </c>
      <c r="N22" s="43">
        <v>1496400000</v>
      </c>
      <c r="O22" s="43">
        <f t="shared" si="7"/>
        <v>1.8584202682563338</v>
      </c>
      <c r="P22" s="43">
        <f t="shared" si="8"/>
        <v>1.7284202682563339</v>
      </c>
      <c r="Q22" s="43">
        <f t="shared" si="0"/>
        <v>1087020000</v>
      </c>
      <c r="R22" s="43">
        <f t="shared" si="1"/>
        <v>1.35</v>
      </c>
      <c r="S22" s="43">
        <v>603000000</v>
      </c>
      <c r="T22" s="43">
        <v>805200000</v>
      </c>
      <c r="U22" s="43">
        <f t="shared" si="3"/>
        <v>1.3353233830845772</v>
      </c>
      <c r="V22" s="44"/>
      <c r="W22" s="108"/>
      <c r="X22" s="108"/>
      <c r="Y22" s="108"/>
    </row>
    <row r="23" spans="1:25" ht="15" customHeight="1">
      <c r="A23" s="51" t="s">
        <v>2159</v>
      </c>
      <c r="B23" s="116" t="s">
        <v>2160</v>
      </c>
      <c r="C23" s="48" t="s">
        <v>881</v>
      </c>
      <c r="D23" s="49"/>
      <c r="E23" s="49"/>
      <c r="F23" s="49"/>
      <c r="G23" s="49"/>
      <c r="H23" s="49"/>
      <c r="I23" s="49"/>
      <c r="J23" s="49">
        <v>1928600000</v>
      </c>
      <c r="K23" s="49" t="e">
        <f t="shared" si="4"/>
        <v>#DIV/0!</v>
      </c>
      <c r="L23" s="49">
        <f t="shared" si="5"/>
        <v>1.9699693564862104</v>
      </c>
      <c r="M23" s="49">
        <f t="shared" si="6"/>
        <v>1.8399693564862103</v>
      </c>
      <c r="N23" s="49">
        <v>1652200000</v>
      </c>
      <c r="O23" s="49">
        <f t="shared" si="7"/>
        <v>1.6876404494382022</v>
      </c>
      <c r="P23" s="49">
        <f t="shared" si="8"/>
        <v>1.5576404494382023</v>
      </c>
      <c r="Q23" s="49">
        <f t="shared" si="0"/>
        <v>1321650000</v>
      </c>
      <c r="R23" s="49">
        <f t="shared" si="1"/>
        <v>1.35</v>
      </c>
      <c r="S23" s="49">
        <v>800000000</v>
      </c>
      <c r="T23" s="49">
        <v>979000000</v>
      </c>
      <c r="U23" s="49">
        <f t="shared" si="3"/>
        <v>1.2237499999999999</v>
      </c>
      <c r="V23" s="50"/>
      <c r="W23" s="108"/>
      <c r="X23" s="108"/>
      <c r="Y23" s="108"/>
    </row>
    <row r="24" spans="1:25" ht="15" customHeight="1">
      <c r="A24" s="52" t="s">
        <v>2161</v>
      </c>
      <c r="B24" s="115" t="s">
        <v>2162</v>
      </c>
      <c r="C24" s="42" t="s">
        <v>881</v>
      </c>
      <c r="D24" s="43"/>
      <c r="E24" s="43"/>
      <c r="F24" s="43"/>
      <c r="G24" s="43"/>
      <c r="H24" s="43"/>
      <c r="I24" s="43"/>
      <c r="J24" s="43">
        <v>2972800000</v>
      </c>
      <c r="K24" s="43" t="e">
        <f t="shared" si="4"/>
        <v>#DIV/0!</v>
      </c>
      <c r="L24" s="43">
        <f t="shared" si="5"/>
        <v>2.6789705140220605</v>
      </c>
      <c r="M24" s="43">
        <f t="shared" si="6"/>
        <v>2.5489705140220607</v>
      </c>
      <c r="N24" s="43">
        <v>3152800000</v>
      </c>
      <c r="O24" s="43">
        <f t="shared" si="7"/>
        <v>2.8411794391175835</v>
      </c>
      <c r="P24" s="43">
        <f t="shared" si="8"/>
        <v>2.7111794391175836</v>
      </c>
      <c r="Q24" s="43">
        <f t="shared" si="0"/>
        <v>1498068000</v>
      </c>
      <c r="R24" s="43">
        <f t="shared" si="1"/>
        <v>1.35</v>
      </c>
      <c r="S24" s="43">
        <v>870000000</v>
      </c>
      <c r="T24" s="43">
        <v>1109680000</v>
      </c>
      <c r="U24" s="43">
        <f t="shared" si="3"/>
        <v>1.2754942528735633</v>
      </c>
      <c r="V24" s="44"/>
      <c r="W24" s="108"/>
      <c r="X24" s="108"/>
      <c r="Y24" s="108"/>
    </row>
    <row r="25" spans="1:25" ht="15" customHeight="1">
      <c r="A25" s="51" t="s">
        <v>2163</v>
      </c>
      <c r="B25" s="116" t="s">
        <v>2164</v>
      </c>
      <c r="C25" s="48" t="s">
        <v>881</v>
      </c>
      <c r="D25" s="49"/>
      <c r="E25" s="49"/>
      <c r="F25" s="49"/>
      <c r="G25" s="49"/>
      <c r="H25" s="49"/>
      <c r="I25" s="49"/>
      <c r="J25" s="49">
        <v>3284400000</v>
      </c>
      <c r="K25" s="49" t="e">
        <f t="shared" si="4"/>
        <v>#DIV/0!</v>
      </c>
      <c r="L25" s="49">
        <f t="shared" si="5"/>
        <v>1.9205108264090704</v>
      </c>
      <c r="M25" s="49">
        <f t="shared" si="6"/>
        <v>1.7905108264090703</v>
      </c>
      <c r="N25" s="49">
        <v>3584600000</v>
      </c>
      <c r="O25" s="49">
        <f t="shared" si="7"/>
        <v>2.0960489308080481</v>
      </c>
      <c r="P25" s="49">
        <f t="shared" si="8"/>
        <v>1.9660489308080482</v>
      </c>
      <c r="Q25" s="49">
        <f t="shared" si="0"/>
        <v>2308729500</v>
      </c>
      <c r="R25" s="49">
        <f t="shared" si="1"/>
        <v>1.35</v>
      </c>
      <c r="S25" s="49">
        <v>1520000000</v>
      </c>
      <c r="T25" s="49">
        <v>1710170000</v>
      </c>
      <c r="U25" s="49">
        <f t="shared" si="3"/>
        <v>1.125111842105263</v>
      </c>
      <c r="V25" s="50"/>
      <c r="W25" s="108"/>
      <c r="X25" s="108"/>
      <c r="Y25" s="108"/>
    </row>
    <row r="26" spans="1:25" ht="15" customHeight="1">
      <c r="A26" s="52" t="s">
        <v>2165</v>
      </c>
      <c r="B26" s="115" t="s">
        <v>2166</v>
      </c>
      <c r="C26" s="42" t="s">
        <v>881</v>
      </c>
      <c r="D26" s="43"/>
      <c r="E26" s="43"/>
      <c r="F26" s="43"/>
      <c r="G26" s="43"/>
      <c r="H26" s="43"/>
      <c r="I26" s="43"/>
      <c r="J26" s="43">
        <v>3880000000</v>
      </c>
      <c r="K26" s="43" t="e">
        <f t="shared" si="4"/>
        <v>#DIV/0!</v>
      </c>
      <c r="L26" s="43">
        <f t="shared" si="5"/>
        <v>2.0519329419852981</v>
      </c>
      <c r="M26" s="43">
        <f t="shared" si="6"/>
        <v>1.9219329419852982</v>
      </c>
      <c r="N26" s="43">
        <v>3637500000</v>
      </c>
      <c r="O26" s="43">
        <f t="shared" si="7"/>
        <v>1.9236871331112169</v>
      </c>
      <c r="P26" s="43">
        <f t="shared" si="8"/>
        <v>1.793687133111217</v>
      </c>
      <c r="Q26" s="43">
        <f t="shared" si="0"/>
        <v>2552715000</v>
      </c>
      <c r="R26" s="43">
        <f t="shared" si="1"/>
        <v>1.35</v>
      </c>
      <c r="S26" s="43">
        <v>1800000000</v>
      </c>
      <c r="T26" s="43">
        <v>1890900000</v>
      </c>
      <c r="U26" s="43">
        <f t="shared" si="3"/>
        <v>1.0505</v>
      </c>
      <c r="V26" s="44"/>
      <c r="W26" s="108"/>
      <c r="X26" s="108"/>
      <c r="Y26" s="108"/>
    </row>
    <row r="27" spans="1:25" ht="15" customHeight="1">
      <c r="A27" s="51" t="s">
        <v>2167</v>
      </c>
      <c r="B27" s="116" t="s">
        <v>2168</v>
      </c>
      <c r="C27" s="48" t="s">
        <v>881</v>
      </c>
      <c r="D27" s="49"/>
      <c r="E27" s="49"/>
      <c r="F27" s="49"/>
      <c r="G27" s="49"/>
      <c r="H27" s="49"/>
      <c r="I27" s="49"/>
      <c r="J27" s="49">
        <v>4000000000</v>
      </c>
      <c r="K27" s="49" t="e">
        <f t="shared" si="4"/>
        <v>#DIV/0!</v>
      </c>
      <c r="L27" s="49">
        <f t="shared" si="5"/>
        <v>1.7921949908150008</v>
      </c>
      <c r="M27" s="49">
        <f t="shared" si="6"/>
        <v>1.6621949908150007</v>
      </c>
      <c r="N27" s="49">
        <v>3759300000</v>
      </c>
      <c r="O27" s="49">
        <f t="shared" si="7"/>
        <v>1.6843496572427079</v>
      </c>
      <c r="P27" s="49">
        <f t="shared" si="8"/>
        <v>1.554349657242708</v>
      </c>
      <c r="Q27" s="49">
        <f t="shared" si="0"/>
        <v>3013065000</v>
      </c>
      <c r="R27" s="49">
        <f t="shared" si="1"/>
        <v>1.35</v>
      </c>
      <c r="S27" s="49">
        <v>2110000000</v>
      </c>
      <c r="T27" s="49">
        <v>2231900000</v>
      </c>
      <c r="U27" s="49">
        <f t="shared" si="3"/>
        <v>1.0577725118483412</v>
      </c>
      <c r="V27" s="50"/>
      <c r="W27" s="108"/>
      <c r="X27" s="108"/>
      <c r="Y27" s="108"/>
    </row>
    <row r="28" spans="1:25" ht="15" customHeight="1">
      <c r="A28" s="52" t="s">
        <v>2169</v>
      </c>
      <c r="B28" s="115" t="s">
        <v>2170</v>
      </c>
      <c r="C28" s="42" t="s">
        <v>881</v>
      </c>
      <c r="D28" s="43"/>
      <c r="E28" s="43"/>
      <c r="F28" s="43"/>
      <c r="G28" s="43"/>
      <c r="H28" s="43"/>
      <c r="I28" s="43"/>
      <c r="J28" s="43">
        <v>4850000000</v>
      </c>
      <c r="K28" s="43" t="e">
        <f t="shared" si="4"/>
        <v>#DIV/0!</v>
      </c>
      <c r="L28" s="43">
        <f t="shared" si="5"/>
        <v>2.1178206970031748</v>
      </c>
      <c r="M28" s="43">
        <f t="shared" si="6"/>
        <v>1.9878206970031749</v>
      </c>
      <c r="N28" s="43">
        <v>4597000000</v>
      </c>
      <c r="O28" s="43">
        <f t="shared" si="7"/>
        <v>2.0073446895100191</v>
      </c>
      <c r="P28" s="43">
        <f t="shared" si="8"/>
        <v>1.8773446895100192</v>
      </c>
      <c r="Q28" s="43">
        <f t="shared" si="0"/>
        <v>3091621500</v>
      </c>
      <c r="R28" s="43">
        <f t="shared" si="1"/>
        <v>1.35</v>
      </c>
      <c r="S28" s="43">
        <v>2660000000</v>
      </c>
      <c r="T28" s="43">
        <v>2290090000</v>
      </c>
      <c r="U28" s="43">
        <f t="shared" si="3"/>
        <v>0.86093609022556394</v>
      </c>
      <c r="V28" s="44"/>
      <c r="W28" s="108"/>
      <c r="X28" s="108"/>
      <c r="Y28" s="108"/>
    </row>
    <row r="29" spans="1:25" ht="15" customHeight="1">
      <c r="A29" s="51" t="s">
        <v>2171</v>
      </c>
      <c r="B29" s="116" t="s">
        <v>2172</v>
      </c>
      <c r="C29" s="48" t="s">
        <v>881</v>
      </c>
      <c r="D29" s="49"/>
      <c r="E29" s="49"/>
      <c r="F29" s="49"/>
      <c r="G29" s="49"/>
      <c r="H29" s="49"/>
      <c r="I29" s="49"/>
      <c r="J29" s="49">
        <v>5800000000</v>
      </c>
      <c r="K29" s="49" t="e">
        <f t="shared" si="4"/>
        <v>#DIV/0!</v>
      </c>
      <c r="L29" s="49">
        <f t="shared" si="5"/>
        <v>2.0811206475873352</v>
      </c>
      <c r="M29" s="49">
        <f t="shared" si="6"/>
        <v>1.9511206475873353</v>
      </c>
      <c r="N29" s="49">
        <v>5611300000</v>
      </c>
      <c r="O29" s="49">
        <f t="shared" si="7"/>
        <v>2.0134124637597957</v>
      </c>
      <c r="P29" s="49">
        <f t="shared" si="8"/>
        <v>1.8834124637597958</v>
      </c>
      <c r="Q29" s="49">
        <f t="shared" si="0"/>
        <v>3762396000.0000005</v>
      </c>
      <c r="R29" s="49">
        <f t="shared" si="1"/>
        <v>1.35</v>
      </c>
      <c r="S29" s="49">
        <v>3330000000</v>
      </c>
      <c r="T29" s="49">
        <v>2786960000</v>
      </c>
      <c r="U29" s="49">
        <f t="shared" si="3"/>
        <v>0.83692492492492487</v>
      </c>
      <c r="V29" s="50"/>
      <c r="W29" s="108"/>
      <c r="X29" s="108"/>
      <c r="Y29" s="108"/>
    </row>
    <row r="30" spans="1:25" ht="15" customHeight="1">
      <c r="A30" s="118">
        <v>21</v>
      </c>
      <c r="B30" s="115" t="s">
        <v>2173</v>
      </c>
      <c r="C30" s="42" t="s">
        <v>881</v>
      </c>
      <c r="D30" s="43"/>
      <c r="E30" s="43"/>
      <c r="F30" s="43"/>
      <c r="G30" s="43"/>
      <c r="H30" s="43"/>
      <c r="I30" s="43"/>
      <c r="J30" s="43">
        <v>6710000000</v>
      </c>
      <c r="K30" s="43" t="e">
        <f t="shared" si="4"/>
        <v>#DIV/0!</v>
      </c>
      <c r="L30" s="43">
        <f t="shared" si="5"/>
        <v>2.0104808674730563</v>
      </c>
      <c r="M30" s="43"/>
      <c r="N30" s="43"/>
      <c r="O30" s="43">
        <f t="shared" si="7"/>
        <v>0</v>
      </c>
      <c r="P30" s="43">
        <f t="shared" si="8"/>
        <v>-0.13</v>
      </c>
      <c r="Q30" s="43">
        <f t="shared" si="0"/>
        <v>4505638500</v>
      </c>
      <c r="R30" s="43">
        <f t="shared" si="1"/>
        <v>1.35</v>
      </c>
      <c r="S30" s="43">
        <v>3330000000</v>
      </c>
      <c r="T30" s="43">
        <v>3337510000</v>
      </c>
      <c r="U30" s="43">
        <f t="shared" si="3"/>
        <v>1.0022552552552553</v>
      </c>
      <c r="V30" s="44"/>
      <c r="W30" s="108"/>
      <c r="X30" s="108"/>
      <c r="Y30" s="108"/>
    </row>
    <row r="31" spans="1:25" ht="15" customHeight="1">
      <c r="A31" s="51"/>
      <c r="B31" s="47"/>
      <c r="C31" s="48"/>
      <c r="D31" s="49"/>
      <c r="E31" s="49"/>
      <c r="F31" s="49"/>
      <c r="G31" s="49"/>
      <c r="H31" s="49"/>
      <c r="I31" s="49"/>
      <c r="J31" s="49">
        <v>8400000000</v>
      </c>
      <c r="K31" s="49" t="e">
        <f t="shared" si="4"/>
        <v>#DIV/0!</v>
      </c>
      <c r="L31" s="49" t="e">
        <f t="shared" si="5"/>
        <v>#DIV/0!</v>
      </c>
      <c r="M31" s="49"/>
      <c r="N31" s="49"/>
      <c r="O31" s="49" t="e">
        <f t="shared" si="7"/>
        <v>#DIV/0!</v>
      </c>
      <c r="P31" s="49" t="e">
        <f t="shared" si="8"/>
        <v>#DIV/0!</v>
      </c>
      <c r="Q31" s="49"/>
      <c r="R31" s="49" t="e">
        <f t="shared" si="1"/>
        <v>#DIV/0!</v>
      </c>
      <c r="S31" s="49"/>
      <c r="T31" s="49"/>
      <c r="U31" s="49"/>
      <c r="V31" s="50"/>
      <c r="W31" s="108"/>
      <c r="X31" s="108"/>
      <c r="Y31" s="108"/>
    </row>
    <row r="32" spans="1:25" ht="15" customHeight="1">
      <c r="A32" s="52"/>
      <c r="B32" s="41"/>
      <c r="C32" s="42"/>
      <c r="D32" s="43"/>
      <c r="E32" s="43"/>
      <c r="F32" s="43"/>
      <c r="G32" s="43"/>
      <c r="H32" s="43"/>
      <c r="I32" s="43"/>
      <c r="J32" s="43">
        <v>8919400000</v>
      </c>
      <c r="K32" s="43" t="e">
        <f t="shared" si="4"/>
        <v>#DIV/0!</v>
      </c>
      <c r="L32" s="43" t="e">
        <f t="shared" si="5"/>
        <v>#DIV/0!</v>
      </c>
      <c r="M32" s="43"/>
      <c r="N32" s="43"/>
      <c r="O32" s="43" t="e">
        <f t="shared" si="7"/>
        <v>#DIV/0!</v>
      </c>
      <c r="P32" s="43" t="e">
        <f t="shared" si="8"/>
        <v>#DIV/0!</v>
      </c>
      <c r="Q32" s="43"/>
      <c r="R32" s="43" t="e">
        <f t="shared" si="1"/>
        <v>#DIV/0!</v>
      </c>
      <c r="S32" s="43"/>
      <c r="T32" s="43"/>
      <c r="U32" s="43"/>
      <c r="V32" s="44"/>
      <c r="W32" s="108"/>
      <c r="X32" s="108"/>
      <c r="Y32" s="108"/>
    </row>
    <row r="33" spans="1:25" ht="15" customHeight="1">
      <c r="A33" s="51"/>
      <c r="B33" s="47"/>
      <c r="C33" s="48"/>
      <c r="D33" s="49"/>
      <c r="E33" s="49"/>
      <c r="F33" s="49"/>
      <c r="G33" s="49"/>
      <c r="H33" s="49"/>
      <c r="I33" s="49"/>
      <c r="J33" s="49"/>
      <c r="K33" s="49"/>
      <c r="L33" s="49"/>
      <c r="M33" s="49"/>
      <c r="N33" s="49"/>
      <c r="O33" s="49"/>
      <c r="P33" s="49"/>
      <c r="Q33" s="49"/>
      <c r="R33" s="49"/>
      <c r="S33" s="49"/>
      <c r="T33" s="49"/>
      <c r="U33" s="49"/>
      <c r="V33" s="50"/>
      <c r="W33" s="108"/>
      <c r="X33" s="108"/>
      <c r="Y33" s="108"/>
    </row>
    <row r="34" spans="1:25" ht="15.4" customHeight="1">
      <c r="A34" s="119"/>
      <c r="B34" s="120"/>
      <c r="C34" s="121"/>
      <c r="D34" s="122"/>
      <c r="E34" s="122"/>
      <c r="F34" s="122"/>
      <c r="G34" s="122"/>
      <c r="H34" s="122"/>
      <c r="I34" s="122"/>
      <c r="J34" s="122"/>
      <c r="K34" s="122"/>
      <c r="L34" s="122"/>
      <c r="M34" s="122"/>
      <c r="N34" s="122"/>
      <c r="O34" s="122"/>
      <c r="P34" s="122"/>
      <c r="Q34" s="122"/>
      <c r="R34" s="122"/>
      <c r="S34" s="122"/>
      <c r="T34" s="122"/>
      <c r="U34" s="122"/>
      <c r="V34" s="123"/>
      <c r="W34" s="108"/>
      <c r="X34" s="108"/>
      <c r="Y34" s="108"/>
    </row>
  </sheetData>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theme="9" tint="-0.499984740745262"/>
  </sheetPr>
  <dimension ref="A1:P74"/>
  <sheetViews>
    <sheetView rightToLeft="1" workbookViewId="0">
      <pane ySplit="2" topLeftCell="A3" activePane="bottomLeft" state="frozen"/>
      <selection pane="bottomLeft"/>
    </sheetView>
  </sheetViews>
  <sheetFormatPr defaultRowHeight="13.5"/>
  <cols>
    <col min="1" max="1" width="14.1875" customWidth="1"/>
    <col min="2" max="2" width="46.6875" customWidth="1"/>
    <col min="3" max="3" width="10.8125" customWidth="1"/>
    <col min="4" max="4" width="18.3125" customWidth="1"/>
    <col min="12" max="16" width="18.3125" customWidth="1"/>
  </cols>
  <sheetData>
    <row r="1" spans="1:16" ht="32" customHeight="1">
      <c r="A1" s="27"/>
      <c r="B1" s="28"/>
      <c r="C1" s="296" t="s">
        <v>2174</v>
      </c>
      <c r="D1" s="297"/>
      <c r="E1" s="297"/>
      <c r="F1" s="297"/>
      <c r="G1" s="297"/>
      <c r="H1" s="297"/>
      <c r="I1" s="297"/>
      <c r="J1" s="297"/>
      <c r="K1" s="297"/>
      <c r="L1" s="298"/>
      <c r="M1" s="124"/>
      <c r="N1" s="81"/>
      <c r="O1" s="125"/>
      <c r="P1" s="72"/>
    </row>
    <row r="2" spans="1:16" ht="28.05" customHeight="1">
      <c r="A2" s="73" t="s">
        <v>868</v>
      </c>
      <c r="B2" s="31" t="s">
        <v>735</v>
      </c>
      <c r="C2" s="31" t="s">
        <v>1856</v>
      </c>
      <c r="D2" s="31" t="s">
        <v>871</v>
      </c>
      <c r="E2" s="31" t="s">
        <v>872</v>
      </c>
      <c r="F2" s="31" t="s">
        <v>873</v>
      </c>
      <c r="G2" s="31" t="s">
        <v>2175</v>
      </c>
      <c r="H2" s="31" t="s">
        <v>875</v>
      </c>
      <c r="I2" s="31" t="s">
        <v>876</v>
      </c>
      <c r="J2" s="31" t="s">
        <v>877</v>
      </c>
      <c r="K2" s="31"/>
      <c r="L2" s="31" t="s">
        <v>877</v>
      </c>
      <c r="M2" s="114" t="s">
        <v>1921</v>
      </c>
      <c r="N2" s="32" t="s">
        <v>1922</v>
      </c>
      <c r="O2" s="126" t="s">
        <v>1923</v>
      </c>
      <c r="P2" s="74"/>
    </row>
    <row r="3" spans="1:16">
      <c r="A3" s="34" t="s">
        <v>2176</v>
      </c>
      <c r="B3" s="95" t="s">
        <v>2177</v>
      </c>
      <c r="C3" s="36" t="s">
        <v>881</v>
      </c>
      <c r="D3" s="37"/>
      <c r="E3" s="37"/>
      <c r="F3" s="37"/>
      <c r="G3" s="37">
        <v>849000000</v>
      </c>
      <c r="H3" s="37">
        <v>154150000</v>
      </c>
      <c r="I3" s="37">
        <v>270300000</v>
      </c>
      <c r="J3" s="37">
        <v>324400000</v>
      </c>
      <c r="K3" s="37">
        <f>O3/M3</f>
        <v>1.3193588162762022</v>
      </c>
      <c r="L3" s="37">
        <f t="shared" ref="L3:L17" si="0">G3</f>
        <v>849000000</v>
      </c>
      <c r="M3" s="37">
        <v>324400000</v>
      </c>
      <c r="N3" s="37">
        <v>428000000</v>
      </c>
      <c r="O3" s="37">
        <v>428000000</v>
      </c>
      <c r="P3" s="38">
        <f t="shared" ref="P3:P34" si="1">L3</f>
        <v>849000000</v>
      </c>
    </row>
    <row r="4" spans="1:16">
      <c r="A4" s="40" t="s">
        <v>2178</v>
      </c>
      <c r="B4" s="96" t="s">
        <v>2179</v>
      </c>
      <c r="C4" s="42" t="s">
        <v>881</v>
      </c>
      <c r="D4" s="43"/>
      <c r="E4" s="43"/>
      <c r="F4" s="43"/>
      <c r="G4" s="43">
        <v>985000000</v>
      </c>
      <c r="H4" s="43">
        <v>166980000</v>
      </c>
      <c r="I4" s="43">
        <v>306800000</v>
      </c>
      <c r="J4" s="43">
        <v>368200000</v>
      </c>
      <c r="K4" s="43">
        <f t="shared" ref="K4:K35" si="2">J4/H4</f>
        <v>2.2050544975446162</v>
      </c>
      <c r="L4" s="43">
        <f t="shared" si="0"/>
        <v>985000000</v>
      </c>
      <c r="M4" s="43">
        <v>368200000</v>
      </c>
      <c r="N4" s="43">
        <v>483000000</v>
      </c>
      <c r="O4" s="43">
        <v>483000000</v>
      </c>
      <c r="P4" s="44">
        <f t="shared" si="1"/>
        <v>985000000</v>
      </c>
    </row>
    <row r="5" spans="1:16">
      <c r="A5" s="46" t="s">
        <v>2180</v>
      </c>
      <c r="B5" s="97" t="s">
        <v>2181</v>
      </c>
      <c r="C5" s="48" t="s">
        <v>881</v>
      </c>
      <c r="D5" s="49"/>
      <c r="E5" s="49"/>
      <c r="F5" s="49"/>
      <c r="G5" s="49">
        <v>1120000000</v>
      </c>
      <c r="H5" s="49">
        <v>166980000</v>
      </c>
      <c r="I5" s="49">
        <v>306800000</v>
      </c>
      <c r="J5" s="49">
        <v>368200000</v>
      </c>
      <c r="K5" s="49">
        <f t="shared" si="2"/>
        <v>2.2050544975446162</v>
      </c>
      <c r="L5" s="49">
        <f t="shared" si="0"/>
        <v>1120000000</v>
      </c>
      <c r="M5" s="49">
        <v>368200000</v>
      </c>
      <c r="N5" s="49">
        <v>483000000</v>
      </c>
      <c r="O5" s="49">
        <v>483000000</v>
      </c>
      <c r="P5" s="50">
        <f t="shared" si="1"/>
        <v>1120000000</v>
      </c>
    </row>
    <row r="6" spans="1:16">
      <c r="A6" s="40" t="s">
        <v>2182</v>
      </c>
      <c r="B6" s="96" t="s">
        <v>2183</v>
      </c>
      <c r="C6" s="42" t="s">
        <v>881</v>
      </c>
      <c r="D6" s="43"/>
      <c r="E6" s="43"/>
      <c r="F6" s="43"/>
      <c r="G6" s="43">
        <v>1277000000</v>
      </c>
      <c r="H6" s="43">
        <v>178110000</v>
      </c>
      <c r="I6" s="43">
        <v>325400000</v>
      </c>
      <c r="J6" s="43">
        <v>390500000</v>
      </c>
      <c r="K6" s="43">
        <f t="shared" si="2"/>
        <v>2.1924653304137891</v>
      </c>
      <c r="L6" s="43">
        <f t="shared" si="0"/>
        <v>1277000000</v>
      </c>
      <c r="M6" s="43">
        <v>390500000</v>
      </c>
      <c r="N6" s="43">
        <v>511000000</v>
      </c>
      <c r="O6" s="43">
        <v>511000000</v>
      </c>
      <c r="P6" s="44">
        <f t="shared" si="1"/>
        <v>1277000000</v>
      </c>
    </row>
    <row r="7" spans="1:16">
      <c r="A7" s="46" t="s">
        <v>2184</v>
      </c>
      <c r="B7" s="97" t="s">
        <v>2185</v>
      </c>
      <c r="C7" s="48" t="s">
        <v>881</v>
      </c>
      <c r="D7" s="49"/>
      <c r="E7" s="49"/>
      <c r="F7" s="49"/>
      <c r="G7" s="49">
        <v>1435000000</v>
      </c>
      <c r="H7" s="49">
        <v>191340000</v>
      </c>
      <c r="I7" s="49">
        <v>369800000</v>
      </c>
      <c r="J7" s="49">
        <v>443800000</v>
      </c>
      <c r="K7" s="49">
        <f t="shared" si="2"/>
        <v>2.3194313786976064</v>
      </c>
      <c r="L7" s="49">
        <f t="shared" si="0"/>
        <v>1435000000</v>
      </c>
      <c r="M7" s="49">
        <v>443800000</v>
      </c>
      <c r="N7" s="49">
        <v>577000000</v>
      </c>
      <c r="O7" s="49">
        <v>577000000</v>
      </c>
      <c r="P7" s="50">
        <f t="shared" si="1"/>
        <v>1435000000</v>
      </c>
    </row>
    <row r="8" spans="1:16">
      <c r="A8" s="40" t="s">
        <v>2186</v>
      </c>
      <c r="B8" s="96" t="s">
        <v>2187</v>
      </c>
      <c r="C8" s="42" t="s">
        <v>881</v>
      </c>
      <c r="D8" s="43"/>
      <c r="E8" s="43"/>
      <c r="F8" s="43"/>
      <c r="G8" s="43">
        <v>1594000000</v>
      </c>
      <c r="H8" s="43">
        <v>208560000</v>
      </c>
      <c r="I8" s="43">
        <v>408600000</v>
      </c>
      <c r="J8" s="43">
        <v>490300000</v>
      </c>
      <c r="K8" s="43">
        <f t="shared" si="2"/>
        <v>2.3508822401227465</v>
      </c>
      <c r="L8" s="43">
        <f t="shared" si="0"/>
        <v>1594000000</v>
      </c>
      <c r="M8" s="43">
        <v>490300000</v>
      </c>
      <c r="N8" s="43">
        <v>636000000</v>
      </c>
      <c r="O8" s="43">
        <v>636000000</v>
      </c>
      <c r="P8" s="44">
        <f t="shared" si="1"/>
        <v>1594000000</v>
      </c>
    </row>
    <row r="9" spans="1:16">
      <c r="A9" s="46" t="s">
        <v>2188</v>
      </c>
      <c r="B9" s="97" t="s">
        <v>2189</v>
      </c>
      <c r="C9" s="48" t="s">
        <v>881</v>
      </c>
      <c r="D9" s="49"/>
      <c r="E9" s="49"/>
      <c r="F9" s="49"/>
      <c r="G9" s="49">
        <v>1913000000</v>
      </c>
      <c r="H9" s="49">
        <v>242350000</v>
      </c>
      <c r="I9" s="49">
        <v>456800000</v>
      </c>
      <c r="J9" s="49">
        <v>548200000</v>
      </c>
      <c r="K9" s="49">
        <f t="shared" si="2"/>
        <v>2.2620177429337733</v>
      </c>
      <c r="L9" s="49">
        <f t="shared" si="0"/>
        <v>1913000000</v>
      </c>
      <c r="M9" s="49">
        <v>548200000</v>
      </c>
      <c r="N9" s="49">
        <v>708000000</v>
      </c>
      <c r="O9" s="49">
        <v>708000000</v>
      </c>
      <c r="P9" s="50">
        <f t="shared" si="1"/>
        <v>1913000000</v>
      </c>
    </row>
    <row r="10" spans="1:16">
      <c r="A10" s="40" t="s">
        <v>2190</v>
      </c>
      <c r="B10" s="96" t="s">
        <v>2191</v>
      </c>
      <c r="C10" s="42" t="s">
        <v>881</v>
      </c>
      <c r="D10" s="43"/>
      <c r="E10" s="43"/>
      <c r="F10" s="43"/>
      <c r="G10" s="43">
        <v>2154000000</v>
      </c>
      <c r="H10" s="43">
        <v>340650000</v>
      </c>
      <c r="I10" s="43">
        <v>641800000</v>
      </c>
      <c r="J10" s="43">
        <v>770200000</v>
      </c>
      <c r="K10" s="43">
        <f t="shared" si="2"/>
        <v>2.2609716718039041</v>
      </c>
      <c r="L10" s="43">
        <f t="shared" si="0"/>
        <v>2154000000</v>
      </c>
      <c r="M10" s="43">
        <v>770200000</v>
      </c>
      <c r="N10" s="43">
        <v>985000000</v>
      </c>
      <c r="O10" s="43">
        <v>985000000</v>
      </c>
      <c r="P10" s="44">
        <f t="shared" si="1"/>
        <v>2154000000</v>
      </c>
    </row>
    <row r="11" spans="1:16">
      <c r="A11" s="46" t="s">
        <v>2192</v>
      </c>
      <c r="B11" s="97" t="s">
        <v>2193</v>
      </c>
      <c r="C11" s="48" t="s">
        <v>881</v>
      </c>
      <c r="D11" s="49"/>
      <c r="E11" s="49"/>
      <c r="F11" s="49"/>
      <c r="G11" s="49">
        <v>2393000000</v>
      </c>
      <c r="H11" s="49">
        <v>455150000</v>
      </c>
      <c r="I11" s="49">
        <v>819800000</v>
      </c>
      <c r="J11" s="49">
        <v>938800000</v>
      </c>
      <c r="K11" s="49">
        <f t="shared" si="2"/>
        <v>2.0626167197627154</v>
      </c>
      <c r="L11" s="49">
        <f t="shared" si="0"/>
        <v>2393000000</v>
      </c>
      <c r="M11" s="49">
        <v>983800000</v>
      </c>
      <c r="N11" s="49">
        <v>1252000000</v>
      </c>
      <c r="O11" s="49">
        <v>1252000000</v>
      </c>
      <c r="P11" s="50">
        <f t="shared" si="1"/>
        <v>2393000000</v>
      </c>
    </row>
    <row r="12" spans="1:16">
      <c r="A12" s="40" t="s">
        <v>2194</v>
      </c>
      <c r="B12" s="96" t="s">
        <v>2195</v>
      </c>
      <c r="C12" s="42" t="s">
        <v>881</v>
      </c>
      <c r="D12" s="43"/>
      <c r="E12" s="43"/>
      <c r="F12" s="43"/>
      <c r="G12" s="43">
        <v>2535000000</v>
      </c>
      <c r="H12" s="43">
        <v>535150000</v>
      </c>
      <c r="I12" s="43">
        <v>853800000</v>
      </c>
      <c r="J12" s="43">
        <v>1024600000</v>
      </c>
      <c r="K12" s="43">
        <f t="shared" si="2"/>
        <v>1.9146033822292816</v>
      </c>
      <c r="L12" s="43">
        <f t="shared" si="0"/>
        <v>2535000000</v>
      </c>
      <c r="M12" s="43">
        <v>1024600000</v>
      </c>
      <c r="N12" s="43">
        <v>1303000000</v>
      </c>
      <c r="O12" s="43">
        <v>1303000000</v>
      </c>
      <c r="P12" s="44">
        <f t="shared" si="1"/>
        <v>2535000000</v>
      </c>
    </row>
    <row r="13" spans="1:16">
      <c r="A13" s="46" t="s">
        <v>2196</v>
      </c>
      <c r="B13" s="97" t="s">
        <v>2197</v>
      </c>
      <c r="C13" s="48" t="s">
        <v>881</v>
      </c>
      <c r="D13" s="49"/>
      <c r="E13" s="49"/>
      <c r="F13" s="49"/>
      <c r="G13" s="49">
        <v>2622000000</v>
      </c>
      <c r="H13" s="49">
        <v>665150000</v>
      </c>
      <c r="I13" s="49">
        <v>1006800000</v>
      </c>
      <c r="J13" s="49">
        <v>1208200000</v>
      </c>
      <c r="K13" s="49">
        <f t="shared" si="2"/>
        <v>1.8164323836728558</v>
      </c>
      <c r="L13" s="49">
        <f t="shared" si="0"/>
        <v>2622000000</v>
      </c>
      <c r="M13" s="49">
        <v>1208200000</v>
      </c>
      <c r="N13" s="49">
        <v>1533000000</v>
      </c>
      <c r="O13" s="49">
        <v>1533000000</v>
      </c>
      <c r="P13" s="50">
        <f t="shared" si="1"/>
        <v>2622000000</v>
      </c>
    </row>
    <row r="14" spans="1:16">
      <c r="A14" s="40" t="s">
        <v>2198</v>
      </c>
      <c r="B14" s="96" t="s">
        <v>2199</v>
      </c>
      <c r="C14" s="42" t="s">
        <v>881</v>
      </c>
      <c r="D14" s="43"/>
      <c r="E14" s="43"/>
      <c r="F14" s="43"/>
      <c r="G14" s="43">
        <v>3114000000</v>
      </c>
      <c r="H14" s="43">
        <v>745150000</v>
      </c>
      <c r="I14" s="43">
        <v>1718000000</v>
      </c>
      <c r="J14" s="43">
        <v>1406200000</v>
      </c>
      <c r="K14" s="43">
        <f t="shared" si="2"/>
        <v>1.8871368180903174</v>
      </c>
      <c r="L14" s="43">
        <f t="shared" si="0"/>
        <v>3114000000</v>
      </c>
      <c r="M14" s="43">
        <v>1406200000</v>
      </c>
      <c r="N14" s="43">
        <v>1780000000</v>
      </c>
      <c r="O14" s="43">
        <v>1780000000</v>
      </c>
      <c r="P14" s="44">
        <f t="shared" si="1"/>
        <v>3114000000</v>
      </c>
    </row>
    <row r="15" spans="1:16">
      <c r="A15" s="46" t="s">
        <v>2200</v>
      </c>
      <c r="B15" s="97" t="s">
        <v>2201</v>
      </c>
      <c r="C15" s="48" t="s">
        <v>881</v>
      </c>
      <c r="D15" s="49"/>
      <c r="E15" s="49"/>
      <c r="F15" s="49"/>
      <c r="G15" s="49">
        <v>3483000000</v>
      </c>
      <c r="H15" s="49">
        <v>865150000</v>
      </c>
      <c r="I15" s="49">
        <v>1381800000</v>
      </c>
      <c r="J15" s="49">
        <v>1658200000</v>
      </c>
      <c r="K15" s="49">
        <f t="shared" si="2"/>
        <v>1.9166618505461481</v>
      </c>
      <c r="L15" s="49">
        <f t="shared" si="0"/>
        <v>3483000000</v>
      </c>
      <c r="M15" s="49">
        <v>1658200000</v>
      </c>
      <c r="N15" s="49">
        <v>2095000000</v>
      </c>
      <c r="O15" s="49">
        <v>2095000000</v>
      </c>
      <c r="P15" s="50">
        <f t="shared" si="1"/>
        <v>3483000000</v>
      </c>
    </row>
    <row r="16" spans="1:16">
      <c r="A16" s="40" t="s">
        <v>2202</v>
      </c>
      <c r="B16" s="96" t="s">
        <v>2203</v>
      </c>
      <c r="C16" s="42" t="s">
        <v>881</v>
      </c>
      <c r="D16" s="43"/>
      <c r="E16" s="43"/>
      <c r="F16" s="43"/>
      <c r="G16" s="43">
        <v>3852000000</v>
      </c>
      <c r="H16" s="43">
        <v>945150000</v>
      </c>
      <c r="I16" s="43">
        <v>1571800000</v>
      </c>
      <c r="J16" s="43">
        <v>1886200000</v>
      </c>
      <c r="K16" s="43">
        <f t="shared" si="2"/>
        <v>1.9956620642226102</v>
      </c>
      <c r="L16" s="43">
        <f t="shared" si="0"/>
        <v>3852000000</v>
      </c>
      <c r="M16" s="43">
        <v>1886200000</v>
      </c>
      <c r="N16" s="43">
        <v>2380000000</v>
      </c>
      <c r="O16" s="43">
        <v>2380000000</v>
      </c>
      <c r="P16" s="44">
        <f t="shared" si="1"/>
        <v>3852000000</v>
      </c>
    </row>
    <row r="17" spans="1:16">
      <c r="A17" s="46" t="s">
        <v>2204</v>
      </c>
      <c r="B17" s="97" t="s">
        <v>2205</v>
      </c>
      <c r="C17" s="48" t="s">
        <v>881</v>
      </c>
      <c r="D17" s="49"/>
      <c r="E17" s="49"/>
      <c r="F17" s="49"/>
      <c r="G17" s="49">
        <v>4221000000</v>
      </c>
      <c r="H17" s="49">
        <v>1495150000</v>
      </c>
      <c r="I17" s="49">
        <v>1945800000</v>
      </c>
      <c r="J17" s="49">
        <v>2335000000</v>
      </c>
      <c r="K17" s="49">
        <f t="shared" si="2"/>
        <v>1.5617162157643045</v>
      </c>
      <c r="L17" s="49">
        <f t="shared" si="0"/>
        <v>4221000000</v>
      </c>
      <c r="M17" s="49">
        <v>2335000000</v>
      </c>
      <c r="N17" s="49">
        <v>2941000000</v>
      </c>
      <c r="O17" s="49">
        <v>2941000000</v>
      </c>
      <c r="P17" s="50">
        <f t="shared" si="1"/>
        <v>4221000000</v>
      </c>
    </row>
    <row r="18" spans="1:16">
      <c r="A18" s="40" t="s">
        <v>2206</v>
      </c>
      <c r="B18" s="96" t="s">
        <v>2207</v>
      </c>
      <c r="C18" s="42" t="s">
        <v>881</v>
      </c>
      <c r="D18" s="43"/>
      <c r="E18" s="43"/>
      <c r="F18" s="43"/>
      <c r="G18" s="43"/>
      <c r="H18" s="43">
        <v>2015150000</v>
      </c>
      <c r="I18" s="43">
        <v>2821800000</v>
      </c>
      <c r="J18" s="43">
        <v>3386200000</v>
      </c>
      <c r="K18" s="43">
        <f t="shared" si="2"/>
        <v>1.6803711882490138</v>
      </c>
      <c r="L18" s="43">
        <f>J18</f>
        <v>3386200000</v>
      </c>
      <c r="M18" s="43">
        <v>3386200000</v>
      </c>
      <c r="N18" s="43">
        <v>4255000000</v>
      </c>
      <c r="O18" s="43">
        <v>4255000000</v>
      </c>
      <c r="P18" s="44">
        <f t="shared" si="1"/>
        <v>3386200000</v>
      </c>
    </row>
    <row r="19" spans="1:16">
      <c r="A19" s="46" t="s">
        <v>2208</v>
      </c>
      <c r="B19" s="97" t="s">
        <v>2209</v>
      </c>
      <c r="C19" s="48" t="s">
        <v>881</v>
      </c>
      <c r="D19" s="49"/>
      <c r="E19" s="49"/>
      <c r="F19" s="49"/>
      <c r="G19" s="49"/>
      <c r="H19" s="49">
        <v>2403150000</v>
      </c>
      <c r="I19" s="49">
        <v>3221800000</v>
      </c>
      <c r="J19" s="49">
        <v>3866200000</v>
      </c>
      <c r="K19" s="49">
        <f t="shared" si="2"/>
        <v>1.6088051099598444</v>
      </c>
      <c r="L19" s="49">
        <f>J19</f>
        <v>3866200000</v>
      </c>
      <c r="M19" s="49">
        <v>3866200000</v>
      </c>
      <c r="N19" s="49">
        <v>4855000000</v>
      </c>
      <c r="O19" s="49">
        <v>4855000000</v>
      </c>
      <c r="P19" s="50">
        <f t="shared" si="1"/>
        <v>3866200000</v>
      </c>
    </row>
    <row r="20" spans="1:16">
      <c r="A20" s="40" t="s">
        <v>2210</v>
      </c>
      <c r="B20" s="96" t="s">
        <v>2211</v>
      </c>
      <c r="C20" s="42" t="s">
        <v>881</v>
      </c>
      <c r="D20" s="43"/>
      <c r="E20" s="43"/>
      <c r="F20" s="43"/>
      <c r="G20" s="43"/>
      <c r="H20" s="43">
        <v>3875150000</v>
      </c>
      <c r="I20" s="43">
        <v>4371800000</v>
      </c>
      <c r="J20" s="43">
        <v>5246200000</v>
      </c>
      <c r="K20" s="43">
        <f t="shared" si="2"/>
        <v>1.3538056591357754</v>
      </c>
      <c r="L20" s="43">
        <f>J20</f>
        <v>5246200000</v>
      </c>
      <c r="M20" s="43">
        <v>5246200000</v>
      </c>
      <c r="N20" s="43">
        <v>6580000000</v>
      </c>
      <c r="O20" s="43">
        <v>6580000000</v>
      </c>
      <c r="P20" s="44">
        <f t="shared" si="1"/>
        <v>5246200000</v>
      </c>
    </row>
    <row r="21" spans="1:16">
      <c r="A21" s="46" t="s">
        <v>2212</v>
      </c>
      <c r="B21" s="97" t="s">
        <v>2213</v>
      </c>
      <c r="C21" s="48" t="s">
        <v>881</v>
      </c>
      <c r="D21" s="49"/>
      <c r="E21" s="49"/>
      <c r="F21" s="49"/>
      <c r="G21" s="49"/>
      <c r="H21" s="49">
        <v>5815150000</v>
      </c>
      <c r="I21" s="49">
        <v>6111800000</v>
      </c>
      <c r="J21" s="49">
        <v>7334200000</v>
      </c>
      <c r="K21" s="49">
        <f t="shared" si="2"/>
        <v>1.2612228403394581</v>
      </c>
      <c r="L21" s="49">
        <f>J21</f>
        <v>7334200000</v>
      </c>
      <c r="M21" s="49">
        <v>7334200000</v>
      </c>
      <c r="N21" s="49">
        <v>9190000000</v>
      </c>
      <c r="O21" s="49">
        <v>9190000000</v>
      </c>
      <c r="P21" s="50">
        <f t="shared" si="1"/>
        <v>7334200000</v>
      </c>
    </row>
    <row r="22" spans="1:16">
      <c r="A22" s="40" t="s">
        <v>2214</v>
      </c>
      <c r="B22" s="96" t="s">
        <v>2215</v>
      </c>
      <c r="C22" s="42" t="s">
        <v>881</v>
      </c>
      <c r="D22" s="43"/>
      <c r="E22" s="43"/>
      <c r="F22" s="43"/>
      <c r="G22" s="43"/>
      <c r="H22" s="43">
        <v>7215150000</v>
      </c>
      <c r="I22" s="43">
        <v>7941800000</v>
      </c>
      <c r="J22" s="43">
        <v>9530200000</v>
      </c>
      <c r="K22" s="43">
        <f t="shared" si="2"/>
        <v>1.320859580188908</v>
      </c>
      <c r="L22" s="43">
        <f>J22</f>
        <v>9530200000</v>
      </c>
      <c r="M22" s="43">
        <v>9530200000</v>
      </c>
      <c r="N22" s="43">
        <v>11935000000</v>
      </c>
      <c r="O22" s="43">
        <v>11935000000</v>
      </c>
      <c r="P22" s="44">
        <f t="shared" si="1"/>
        <v>9530200000</v>
      </c>
    </row>
    <row r="23" spans="1:16">
      <c r="A23" s="46" t="s">
        <v>2216</v>
      </c>
      <c r="B23" s="97" t="s">
        <v>2217</v>
      </c>
      <c r="C23" s="48" t="s">
        <v>881</v>
      </c>
      <c r="D23" s="49"/>
      <c r="E23" s="49"/>
      <c r="F23" s="49"/>
      <c r="G23" s="49">
        <v>738000000</v>
      </c>
      <c r="H23" s="49">
        <v>139000000</v>
      </c>
      <c r="I23" s="49">
        <v>248500000</v>
      </c>
      <c r="J23" s="49">
        <v>298200000</v>
      </c>
      <c r="K23" s="49">
        <f t="shared" si="2"/>
        <v>2.1453237410071941</v>
      </c>
      <c r="L23" s="49">
        <f t="shared" ref="L23:L37" si="3">G23</f>
        <v>738000000</v>
      </c>
      <c r="M23" s="49">
        <v>298200000</v>
      </c>
      <c r="N23" s="49">
        <v>373000000</v>
      </c>
      <c r="O23" s="49">
        <v>373000000</v>
      </c>
      <c r="P23" s="50">
        <f t="shared" si="1"/>
        <v>738000000</v>
      </c>
    </row>
    <row r="24" spans="1:16">
      <c r="A24" s="40" t="s">
        <v>2218</v>
      </c>
      <c r="B24" s="96" t="s">
        <v>2219</v>
      </c>
      <c r="C24" s="42" t="s">
        <v>881</v>
      </c>
      <c r="D24" s="43"/>
      <c r="E24" s="43"/>
      <c r="F24" s="43"/>
      <c r="G24" s="43">
        <v>856000000</v>
      </c>
      <c r="H24" s="43">
        <v>151830000</v>
      </c>
      <c r="I24" s="43">
        <v>285000000</v>
      </c>
      <c r="J24" s="43">
        <v>342000000</v>
      </c>
      <c r="K24" s="43">
        <f t="shared" si="2"/>
        <v>2.2525192649673977</v>
      </c>
      <c r="L24" s="43">
        <f t="shared" si="3"/>
        <v>856000000</v>
      </c>
      <c r="M24" s="43">
        <v>342000000</v>
      </c>
      <c r="N24" s="43">
        <v>428000000</v>
      </c>
      <c r="O24" s="43">
        <v>428000000</v>
      </c>
      <c r="P24" s="44">
        <f t="shared" si="1"/>
        <v>856000000</v>
      </c>
    </row>
    <row r="25" spans="1:16">
      <c r="A25" s="46" t="s">
        <v>2220</v>
      </c>
      <c r="B25" s="97" t="s">
        <v>2221</v>
      </c>
      <c r="C25" s="48" t="s">
        <v>881</v>
      </c>
      <c r="D25" s="49"/>
      <c r="E25" s="49"/>
      <c r="F25" s="49"/>
      <c r="G25" s="49">
        <v>975000000</v>
      </c>
      <c r="H25" s="49">
        <v>151830000</v>
      </c>
      <c r="I25" s="49">
        <v>285000000</v>
      </c>
      <c r="J25" s="49">
        <v>342000000</v>
      </c>
      <c r="K25" s="49">
        <f t="shared" si="2"/>
        <v>2.2525192649673977</v>
      </c>
      <c r="L25" s="49">
        <f t="shared" si="3"/>
        <v>975000000</v>
      </c>
      <c r="M25" s="49">
        <v>342000000</v>
      </c>
      <c r="N25" s="49">
        <v>428000000</v>
      </c>
      <c r="O25" s="49">
        <v>428000000</v>
      </c>
      <c r="P25" s="50">
        <f t="shared" si="1"/>
        <v>975000000</v>
      </c>
    </row>
    <row r="26" spans="1:16">
      <c r="A26" s="40" t="s">
        <v>2222</v>
      </c>
      <c r="B26" s="96" t="s">
        <v>2223</v>
      </c>
      <c r="C26" s="42" t="s">
        <v>881</v>
      </c>
      <c r="D26" s="43"/>
      <c r="E26" s="43"/>
      <c r="F26" s="43"/>
      <c r="G26" s="43">
        <v>1110000000</v>
      </c>
      <c r="H26" s="43">
        <v>162960000</v>
      </c>
      <c r="I26" s="43">
        <v>303600000</v>
      </c>
      <c r="J26" s="43">
        <v>364300000</v>
      </c>
      <c r="K26" s="43">
        <f t="shared" si="2"/>
        <v>2.2355179185076093</v>
      </c>
      <c r="L26" s="43">
        <f t="shared" si="3"/>
        <v>1110000000</v>
      </c>
      <c r="M26" s="43">
        <v>364300000</v>
      </c>
      <c r="N26" s="43">
        <v>456000000</v>
      </c>
      <c r="O26" s="43">
        <v>456000000</v>
      </c>
      <c r="P26" s="44">
        <f t="shared" si="1"/>
        <v>1110000000</v>
      </c>
    </row>
    <row r="27" spans="1:16">
      <c r="A27" s="46" t="s">
        <v>2224</v>
      </c>
      <c r="B27" s="97" t="s">
        <v>2225</v>
      </c>
      <c r="C27" s="48" t="s">
        <v>881</v>
      </c>
      <c r="D27" s="49"/>
      <c r="E27" s="49"/>
      <c r="F27" s="49"/>
      <c r="G27" s="49">
        <v>1248000000</v>
      </c>
      <c r="H27" s="49">
        <v>176190000</v>
      </c>
      <c r="I27" s="49">
        <v>348000000</v>
      </c>
      <c r="J27" s="49">
        <v>417600000</v>
      </c>
      <c r="K27" s="49">
        <f t="shared" si="2"/>
        <v>2.370168568023157</v>
      </c>
      <c r="L27" s="49">
        <f t="shared" si="3"/>
        <v>1248000000</v>
      </c>
      <c r="M27" s="49">
        <v>417600000</v>
      </c>
      <c r="N27" s="49">
        <v>522000000</v>
      </c>
      <c r="O27" s="49">
        <v>522000000</v>
      </c>
      <c r="P27" s="50">
        <f t="shared" si="1"/>
        <v>1248000000</v>
      </c>
    </row>
    <row r="28" spans="1:16">
      <c r="A28" s="40" t="s">
        <v>2226</v>
      </c>
      <c r="B28" s="96" t="s">
        <v>2227</v>
      </c>
      <c r="C28" s="42" t="s">
        <v>881</v>
      </c>
      <c r="D28" s="43"/>
      <c r="E28" s="43"/>
      <c r="F28" s="43"/>
      <c r="G28" s="43">
        <v>1387000000</v>
      </c>
      <c r="H28" s="43">
        <v>193410000</v>
      </c>
      <c r="I28" s="43">
        <v>386800000</v>
      </c>
      <c r="J28" s="43">
        <v>464200000</v>
      </c>
      <c r="K28" s="43">
        <f t="shared" si="2"/>
        <v>2.4000827258156248</v>
      </c>
      <c r="L28" s="43">
        <f t="shared" si="3"/>
        <v>1387000000</v>
      </c>
      <c r="M28" s="43">
        <v>464200000</v>
      </c>
      <c r="N28" s="43">
        <v>581000000</v>
      </c>
      <c r="O28" s="43">
        <v>581000000</v>
      </c>
      <c r="P28" s="44">
        <f t="shared" si="1"/>
        <v>1387000000</v>
      </c>
    </row>
    <row r="29" spans="1:16">
      <c r="A29" s="46" t="s">
        <v>2228</v>
      </c>
      <c r="B29" s="97" t="s">
        <v>2229</v>
      </c>
      <c r="C29" s="48" t="s">
        <v>881</v>
      </c>
      <c r="D29" s="49"/>
      <c r="E29" s="49"/>
      <c r="F29" s="49"/>
      <c r="G29" s="49">
        <v>1664000000</v>
      </c>
      <c r="H29" s="49">
        <v>227200000</v>
      </c>
      <c r="I29" s="49">
        <v>435000000</v>
      </c>
      <c r="J29" s="49">
        <v>522000000</v>
      </c>
      <c r="K29" s="49">
        <f t="shared" si="2"/>
        <v>2.2975352112676055</v>
      </c>
      <c r="L29" s="49">
        <f t="shared" si="3"/>
        <v>1664000000</v>
      </c>
      <c r="M29" s="49">
        <v>522000000</v>
      </c>
      <c r="N29" s="49">
        <v>653000000</v>
      </c>
      <c r="O29" s="49">
        <v>653000000</v>
      </c>
      <c r="P29" s="50">
        <f t="shared" si="1"/>
        <v>1664000000</v>
      </c>
    </row>
    <row r="30" spans="1:16">
      <c r="A30" s="40" t="s">
        <v>2230</v>
      </c>
      <c r="B30" s="96" t="s">
        <v>2231</v>
      </c>
      <c r="C30" s="42" t="s">
        <v>881</v>
      </c>
      <c r="D30" s="43"/>
      <c r="E30" s="43"/>
      <c r="F30" s="43"/>
      <c r="G30" s="43">
        <v>1873000000</v>
      </c>
      <c r="H30" s="43">
        <v>325500000</v>
      </c>
      <c r="I30" s="43">
        <v>620000000</v>
      </c>
      <c r="J30" s="43">
        <v>744000000</v>
      </c>
      <c r="K30" s="43">
        <f t="shared" si="2"/>
        <v>2.2857142857142856</v>
      </c>
      <c r="L30" s="43">
        <f t="shared" si="3"/>
        <v>1873000000</v>
      </c>
      <c r="M30" s="43">
        <v>744000000</v>
      </c>
      <c r="N30" s="43">
        <v>930000000</v>
      </c>
      <c r="O30" s="43">
        <v>930000000</v>
      </c>
      <c r="P30" s="44">
        <f t="shared" si="1"/>
        <v>1873000000</v>
      </c>
    </row>
    <row r="31" spans="1:16">
      <c r="A31" s="46" t="s">
        <v>2232</v>
      </c>
      <c r="B31" s="97" t="s">
        <v>2233</v>
      </c>
      <c r="C31" s="48" t="s">
        <v>881</v>
      </c>
      <c r="D31" s="49"/>
      <c r="E31" s="49"/>
      <c r="F31" s="49"/>
      <c r="G31" s="49">
        <v>2080000000</v>
      </c>
      <c r="H31" s="49">
        <v>440000000</v>
      </c>
      <c r="I31" s="49">
        <v>798000000</v>
      </c>
      <c r="J31" s="49">
        <v>957600000</v>
      </c>
      <c r="K31" s="49">
        <f t="shared" si="2"/>
        <v>2.1763636363636363</v>
      </c>
      <c r="L31" s="49">
        <f t="shared" si="3"/>
        <v>2080000000</v>
      </c>
      <c r="M31" s="49">
        <v>957600000</v>
      </c>
      <c r="N31" s="49">
        <v>1197000000</v>
      </c>
      <c r="O31" s="49">
        <v>1197000000</v>
      </c>
      <c r="P31" s="50">
        <f t="shared" si="1"/>
        <v>2080000000</v>
      </c>
    </row>
    <row r="32" spans="1:16">
      <c r="A32" s="40" t="s">
        <v>2234</v>
      </c>
      <c r="B32" s="96" t="s">
        <v>2235</v>
      </c>
      <c r="C32" s="42" t="s">
        <v>881</v>
      </c>
      <c r="D32" s="43"/>
      <c r="E32" s="43"/>
      <c r="F32" s="43"/>
      <c r="G32" s="43">
        <v>2204000000</v>
      </c>
      <c r="H32" s="43">
        <v>520000000</v>
      </c>
      <c r="I32" s="43">
        <v>832000000</v>
      </c>
      <c r="J32" s="43">
        <v>998400000</v>
      </c>
      <c r="K32" s="43">
        <f t="shared" si="2"/>
        <v>1.92</v>
      </c>
      <c r="L32" s="43">
        <f t="shared" si="3"/>
        <v>2204000000</v>
      </c>
      <c r="M32" s="43">
        <v>998400000</v>
      </c>
      <c r="N32" s="43">
        <v>1248000000</v>
      </c>
      <c r="O32" s="43">
        <v>1248000000</v>
      </c>
      <c r="P32" s="44">
        <f t="shared" si="1"/>
        <v>2204000000</v>
      </c>
    </row>
    <row r="33" spans="1:16">
      <c r="A33" s="46" t="s">
        <v>2236</v>
      </c>
      <c r="B33" s="97" t="s">
        <v>2237</v>
      </c>
      <c r="C33" s="48" t="s">
        <v>881</v>
      </c>
      <c r="D33" s="49"/>
      <c r="E33" s="49"/>
      <c r="F33" s="49"/>
      <c r="G33" s="49">
        <v>2279000000</v>
      </c>
      <c r="H33" s="49">
        <v>650000000</v>
      </c>
      <c r="I33" s="49">
        <v>985000000</v>
      </c>
      <c r="J33" s="49">
        <v>1182000000</v>
      </c>
      <c r="K33" s="49">
        <f t="shared" si="2"/>
        <v>1.8184615384615384</v>
      </c>
      <c r="L33" s="49">
        <f t="shared" si="3"/>
        <v>2279000000</v>
      </c>
      <c r="M33" s="49">
        <v>1182000000</v>
      </c>
      <c r="N33" s="49">
        <v>1478000000</v>
      </c>
      <c r="O33" s="49">
        <v>1478000000</v>
      </c>
      <c r="P33" s="50">
        <f t="shared" si="1"/>
        <v>2279000000</v>
      </c>
    </row>
    <row r="34" spans="1:16">
      <c r="A34" s="40" t="s">
        <v>2238</v>
      </c>
      <c r="B34" s="96" t="s">
        <v>2239</v>
      </c>
      <c r="C34" s="42" t="s">
        <v>881</v>
      </c>
      <c r="D34" s="43"/>
      <c r="E34" s="43"/>
      <c r="F34" s="43"/>
      <c r="G34" s="43">
        <v>2707000000</v>
      </c>
      <c r="H34" s="43">
        <v>730000000</v>
      </c>
      <c r="I34" s="43">
        <v>1150000000</v>
      </c>
      <c r="J34" s="43">
        <v>1380000000</v>
      </c>
      <c r="K34" s="43">
        <f t="shared" si="2"/>
        <v>1.8904109589041096</v>
      </c>
      <c r="L34" s="43">
        <f t="shared" si="3"/>
        <v>2707000000</v>
      </c>
      <c r="M34" s="43">
        <v>1380000000</v>
      </c>
      <c r="N34" s="43">
        <v>1725000000</v>
      </c>
      <c r="O34" s="43">
        <v>1725000000</v>
      </c>
      <c r="P34" s="44">
        <f t="shared" si="1"/>
        <v>2707000000</v>
      </c>
    </row>
    <row r="35" spans="1:16">
      <c r="A35" s="46" t="s">
        <v>2240</v>
      </c>
      <c r="B35" s="97" t="s">
        <v>2241</v>
      </c>
      <c r="C35" s="48" t="s">
        <v>881</v>
      </c>
      <c r="D35" s="49"/>
      <c r="E35" s="49"/>
      <c r="F35" s="49"/>
      <c r="G35" s="49">
        <v>3028000000</v>
      </c>
      <c r="H35" s="49">
        <v>850000000</v>
      </c>
      <c r="I35" s="49">
        <v>1360000000</v>
      </c>
      <c r="J35" s="49">
        <v>1632000000</v>
      </c>
      <c r="K35" s="49">
        <f t="shared" si="2"/>
        <v>1.92</v>
      </c>
      <c r="L35" s="49">
        <f t="shared" si="3"/>
        <v>3028000000</v>
      </c>
      <c r="M35" s="49">
        <v>1632000000</v>
      </c>
      <c r="N35" s="49">
        <v>2040000000</v>
      </c>
      <c r="O35" s="49">
        <v>2040000000</v>
      </c>
      <c r="P35" s="50">
        <f t="shared" ref="P35:P66" si="4">L35</f>
        <v>3028000000</v>
      </c>
    </row>
    <row r="36" spans="1:16">
      <c r="A36" s="40" t="s">
        <v>2242</v>
      </c>
      <c r="B36" s="96" t="s">
        <v>2243</v>
      </c>
      <c r="C36" s="42" t="s">
        <v>881</v>
      </c>
      <c r="D36" s="43"/>
      <c r="E36" s="43"/>
      <c r="F36" s="43"/>
      <c r="G36" s="43">
        <v>3349000000</v>
      </c>
      <c r="H36" s="43">
        <v>930000000</v>
      </c>
      <c r="I36" s="43">
        <v>1550000000</v>
      </c>
      <c r="J36" s="43">
        <v>1860000000</v>
      </c>
      <c r="K36" s="43">
        <f t="shared" ref="K36:K67" si="5">J36/H36</f>
        <v>2</v>
      </c>
      <c r="L36" s="43">
        <f t="shared" si="3"/>
        <v>3349000000</v>
      </c>
      <c r="M36" s="43">
        <v>1860000000</v>
      </c>
      <c r="N36" s="43">
        <v>2325000000</v>
      </c>
      <c r="O36" s="43">
        <v>2325000000</v>
      </c>
      <c r="P36" s="44">
        <f t="shared" si="4"/>
        <v>3349000000</v>
      </c>
    </row>
    <row r="37" spans="1:16">
      <c r="A37" s="46" t="s">
        <v>2244</v>
      </c>
      <c r="B37" s="97" t="s">
        <v>2245</v>
      </c>
      <c r="C37" s="48" t="s">
        <v>881</v>
      </c>
      <c r="D37" s="49"/>
      <c r="E37" s="49"/>
      <c r="F37" s="49"/>
      <c r="G37" s="49">
        <v>3670000000</v>
      </c>
      <c r="H37" s="49">
        <v>1480000000</v>
      </c>
      <c r="I37" s="49">
        <v>1924000000</v>
      </c>
      <c r="J37" s="49">
        <v>2308800000</v>
      </c>
      <c r="K37" s="49">
        <f t="shared" si="5"/>
        <v>1.56</v>
      </c>
      <c r="L37" s="49">
        <f t="shared" si="3"/>
        <v>3670000000</v>
      </c>
      <c r="M37" s="49">
        <v>2308800000</v>
      </c>
      <c r="N37" s="49">
        <v>2886000000</v>
      </c>
      <c r="O37" s="49">
        <v>2886000000</v>
      </c>
      <c r="P37" s="50">
        <f t="shared" si="4"/>
        <v>3670000000</v>
      </c>
    </row>
    <row r="38" spans="1:16">
      <c r="A38" s="40" t="s">
        <v>2246</v>
      </c>
      <c r="B38" s="96" t="s">
        <v>2247</v>
      </c>
      <c r="C38" s="42" t="s">
        <v>881</v>
      </c>
      <c r="D38" s="43"/>
      <c r="E38" s="43"/>
      <c r="F38" s="43"/>
      <c r="G38" s="43"/>
      <c r="H38" s="43">
        <v>2000000000</v>
      </c>
      <c r="I38" s="43">
        <v>2800000000</v>
      </c>
      <c r="J38" s="43">
        <v>3360000000</v>
      </c>
      <c r="K38" s="43">
        <f t="shared" si="5"/>
        <v>1.68</v>
      </c>
      <c r="L38" s="43">
        <f>J38</f>
        <v>3360000000</v>
      </c>
      <c r="M38" s="43">
        <v>3360000000</v>
      </c>
      <c r="N38" s="43">
        <v>4200000000</v>
      </c>
      <c r="O38" s="43">
        <v>4200000000</v>
      </c>
      <c r="P38" s="44">
        <f t="shared" si="4"/>
        <v>3360000000</v>
      </c>
    </row>
    <row r="39" spans="1:16">
      <c r="A39" s="46" t="s">
        <v>2248</v>
      </c>
      <c r="B39" s="97" t="s">
        <v>2249</v>
      </c>
      <c r="C39" s="48" t="s">
        <v>881</v>
      </c>
      <c r="D39" s="49"/>
      <c r="E39" s="49"/>
      <c r="F39" s="49"/>
      <c r="G39" s="49"/>
      <c r="H39" s="49">
        <v>2388000000</v>
      </c>
      <c r="I39" s="49">
        <v>3200000000</v>
      </c>
      <c r="J39" s="49">
        <v>3840000000</v>
      </c>
      <c r="K39" s="49">
        <f t="shared" si="5"/>
        <v>1.6080402010050252</v>
      </c>
      <c r="L39" s="49">
        <f>J39</f>
        <v>3840000000</v>
      </c>
      <c r="M39" s="49">
        <v>3840000000</v>
      </c>
      <c r="N39" s="49">
        <v>4800000000</v>
      </c>
      <c r="O39" s="49">
        <v>4800000000</v>
      </c>
      <c r="P39" s="50">
        <f t="shared" si="4"/>
        <v>3840000000</v>
      </c>
    </row>
    <row r="40" spans="1:16">
      <c r="A40" s="40" t="s">
        <v>2250</v>
      </c>
      <c r="B40" s="96" t="s">
        <v>2251</v>
      </c>
      <c r="C40" s="42" t="s">
        <v>881</v>
      </c>
      <c r="D40" s="43"/>
      <c r="E40" s="43"/>
      <c r="F40" s="43"/>
      <c r="G40" s="43"/>
      <c r="H40" s="43">
        <v>3860000000</v>
      </c>
      <c r="I40" s="43">
        <v>4350000000</v>
      </c>
      <c r="J40" s="43">
        <v>5220000000</v>
      </c>
      <c r="K40" s="43">
        <f t="shared" si="5"/>
        <v>1.3523316062176165</v>
      </c>
      <c r="L40" s="43">
        <f>J40</f>
        <v>5220000000</v>
      </c>
      <c r="M40" s="43">
        <v>5220000000</v>
      </c>
      <c r="N40" s="43">
        <v>6525000000</v>
      </c>
      <c r="O40" s="43">
        <v>6525000000</v>
      </c>
      <c r="P40" s="44">
        <f t="shared" si="4"/>
        <v>5220000000</v>
      </c>
    </row>
    <row r="41" spans="1:16">
      <c r="A41" s="46" t="s">
        <v>2252</v>
      </c>
      <c r="B41" s="97" t="s">
        <v>2253</v>
      </c>
      <c r="C41" s="48" t="s">
        <v>881</v>
      </c>
      <c r="D41" s="49"/>
      <c r="E41" s="49"/>
      <c r="F41" s="49"/>
      <c r="G41" s="49"/>
      <c r="H41" s="49">
        <v>5800000000</v>
      </c>
      <c r="I41" s="49">
        <v>6090000000</v>
      </c>
      <c r="J41" s="49">
        <v>7308000000</v>
      </c>
      <c r="K41" s="49">
        <f t="shared" si="5"/>
        <v>1.26</v>
      </c>
      <c r="L41" s="49">
        <f>J41</f>
        <v>7308000000</v>
      </c>
      <c r="M41" s="49">
        <v>7308000000</v>
      </c>
      <c r="N41" s="49">
        <v>9135000000</v>
      </c>
      <c r="O41" s="49">
        <v>9135000000</v>
      </c>
      <c r="P41" s="50">
        <f t="shared" si="4"/>
        <v>7308000000</v>
      </c>
    </row>
    <row r="42" spans="1:16">
      <c r="A42" s="40" t="s">
        <v>2254</v>
      </c>
      <c r="B42" s="96" t="s">
        <v>2255</v>
      </c>
      <c r="C42" s="42" t="s">
        <v>881</v>
      </c>
      <c r="D42" s="43"/>
      <c r="E42" s="43"/>
      <c r="F42" s="43"/>
      <c r="G42" s="43"/>
      <c r="H42" s="43">
        <v>7200000000</v>
      </c>
      <c r="I42" s="43">
        <v>7920000000</v>
      </c>
      <c r="J42" s="43">
        <v>9504000000</v>
      </c>
      <c r="K42" s="43">
        <f t="shared" si="5"/>
        <v>1.32</v>
      </c>
      <c r="L42" s="43">
        <f>J42</f>
        <v>9504000000</v>
      </c>
      <c r="M42" s="43">
        <v>9504000000</v>
      </c>
      <c r="N42" s="43">
        <v>11880000000</v>
      </c>
      <c r="O42" s="43">
        <v>11880000000</v>
      </c>
      <c r="P42" s="44">
        <f t="shared" si="4"/>
        <v>9504000000</v>
      </c>
    </row>
    <row r="43" spans="1:16" ht="25.5" customHeight="1">
      <c r="A43" s="46" t="s">
        <v>2256</v>
      </c>
      <c r="B43" s="97" t="s">
        <v>2257</v>
      </c>
      <c r="C43" s="48" t="s">
        <v>881</v>
      </c>
      <c r="D43" s="49"/>
      <c r="E43" s="49"/>
      <c r="F43" s="49"/>
      <c r="G43" s="49">
        <v>137000000</v>
      </c>
      <c r="H43" s="49">
        <v>1793</v>
      </c>
      <c r="I43" s="49">
        <v>1993</v>
      </c>
      <c r="J43" s="49">
        <v>1993</v>
      </c>
      <c r="K43" s="49">
        <f t="shared" si="5"/>
        <v>1.1115448968209705</v>
      </c>
      <c r="L43" s="49">
        <f t="shared" ref="L43:L74" si="6">G43</f>
        <v>137000000</v>
      </c>
      <c r="M43" s="49">
        <v>1993</v>
      </c>
      <c r="N43" s="49">
        <v>530000000</v>
      </c>
      <c r="O43" s="49">
        <v>530000000</v>
      </c>
      <c r="P43" s="50">
        <f t="shared" si="4"/>
        <v>137000000</v>
      </c>
    </row>
    <row r="44" spans="1:16">
      <c r="A44" s="40" t="s">
        <v>2258</v>
      </c>
      <c r="B44" s="96" t="s">
        <v>2259</v>
      </c>
      <c r="C44" s="42" t="s">
        <v>881</v>
      </c>
      <c r="D44" s="43"/>
      <c r="E44" s="43"/>
      <c r="F44" s="43"/>
      <c r="G44" s="43">
        <v>174000000</v>
      </c>
      <c r="H44" s="43">
        <v>1793</v>
      </c>
      <c r="I44" s="43">
        <v>1993</v>
      </c>
      <c r="J44" s="43">
        <v>1993</v>
      </c>
      <c r="K44" s="43">
        <f t="shared" si="5"/>
        <v>1.1115448968209705</v>
      </c>
      <c r="L44" s="43">
        <f t="shared" si="6"/>
        <v>174000000</v>
      </c>
      <c r="M44" s="43">
        <v>1993</v>
      </c>
      <c r="N44" s="43">
        <v>530000000</v>
      </c>
      <c r="O44" s="43">
        <v>530000000</v>
      </c>
      <c r="P44" s="44">
        <f t="shared" si="4"/>
        <v>174000000</v>
      </c>
    </row>
    <row r="45" spans="1:16" ht="25.5" customHeight="1">
      <c r="A45" s="46" t="s">
        <v>2260</v>
      </c>
      <c r="B45" s="97" t="s">
        <v>2261</v>
      </c>
      <c r="C45" s="48" t="s">
        <v>881</v>
      </c>
      <c r="D45" s="49"/>
      <c r="E45" s="49"/>
      <c r="F45" s="49"/>
      <c r="G45" s="49">
        <v>195000000</v>
      </c>
      <c r="H45" s="49">
        <v>1793</v>
      </c>
      <c r="I45" s="49">
        <v>1993</v>
      </c>
      <c r="J45" s="49">
        <v>1993</v>
      </c>
      <c r="K45" s="49">
        <f t="shared" si="5"/>
        <v>1.1115448968209705</v>
      </c>
      <c r="L45" s="49">
        <f t="shared" si="6"/>
        <v>195000000</v>
      </c>
      <c r="M45" s="49">
        <v>1993</v>
      </c>
      <c r="N45" s="49">
        <v>530000000</v>
      </c>
      <c r="O45" s="49">
        <v>530000000</v>
      </c>
      <c r="P45" s="50">
        <f t="shared" si="4"/>
        <v>195000000</v>
      </c>
    </row>
    <row r="46" spans="1:16" ht="25.5" customHeight="1">
      <c r="A46" s="40" t="s">
        <v>2262</v>
      </c>
      <c r="B46" s="96" t="s">
        <v>2263</v>
      </c>
      <c r="C46" s="42" t="s">
        <v>881</v>
      </c>
      <c r="D46" s="43"/>
      <c r="E46" s="43"/>
      <c r="F46" s="43"/>
      <c r="G46" s="43">
        <v>245000000</v>
      </c>
      <c r="H46" s="43">
        <v>1793</v>
      </c>
      <c r="I46" s="43">
        <v>1993</v>
      </c>
      <c r="J46" s="43">
        <v>1993</v>
      </c>
      <c r="K46" s="43">
        <f t="shared" si="5"/>
        <v>1.1115448968209705</v>
      </c>
      <c r="L46" s="43">
        <f t="shared" si="6"/>
        <v>245000000</v>
      </c>
      <c r="M46" s="43">
        <v>1993</v>
      </c>
      <c r="N46" s="43">
        <v>530000000</v>
      </c>
      <c r="O46" s="43">
        <v>530000000</v>
      </c>
      <c r="P46" s="44">
        <f t="shared" si="4"/>
        <v>245000000</v>
      </c>
    </row>
    <row r="47" spans="1:16" ht="25.5" customHeight="1">
      <c r="A47" s="46" t="s">
        <v>2264</v>
      </c>
      <c r="B47" s="97" t="s">
        <v>2265</v>
      </c>
      <c r="C47" s="48" t="s">
        <v>881</v>
      </c>
      <c r="D47" s="49"/>
      <c r="E47" s="49"/>
      <c r="F47" s="49"/>
      <c r="G47" s="49">
        <v>300000000</v>
      </c>
      <c r="H47" s="49">
        <v>1793</v>
      </c>
      <c r="I47" s="49">
        <v>1993</v>
      </c>
      <c r="J47" s="49">
        <v>1993</v>
      </c>
      <c r="K47" s="49">
        <f t="shared" si="5"/>
        <v>1.1115448968209705</v>
      </c>
      <c r="L47" s="49">
        <f t="shared" si="6"/>
        <v>300000000</v>
      </c>
      <c r="M47" s="49">
        <v>1993</v>
      </c>
      <c r="N47" s="49">
        <v>530000000</v>
      </c>
      <c r="O47" s="49">
        <v>530000000</v>
      </c>
      <c r="P47" s="50">
        <f t="shared" si="4"/>
        <v>300000000</v>
      </c>
    </row>
    <row r="48" spans="1:16">
      <c r="A48" s="40" t="s">
        <v>2266</v>
      </c>
      <c r="B48" s="96" t="s">
        <v>2267</v>
      </c>
      <c r="C48" s="42" t="s">
        <v>881</v>
      </c>
      <c r="D48" s="43"/>
      <c r="E48" s="43"/>
      <c r="F48" s="43"/>
      <c r="G48" s="43">
        <v>1283000000</v>
      </c>
      <c r="H48" s="43"/>
      <c r="I48" s="43"/>
      <c r="J48" s="43"/>
      <c r="K48" s="43" t="e">
        <f t="shared" si="5"/>
        <v>#DIV/0!</v>
      </c>
      <c r="L48" s="43">
        <f t="shared" si="6"/>
        <v>1283000000</v>
      </c>
      <c r="M48" s="43"/>
      <c r="N48" s="43"/>
      <c r="O48" s="43"/>
      <c r="P48" s="44">
        <f t="shared" si="4"/>
        <v>1283000000</v>
      </c>
    </row>
    <row r="49" spans="1:16">
      <c r="A49" s="46" t="s">
        <v>2268</v>
      </c>
      <c r="B49" s="97" t="s">
        <v>2269</v>
      </c>
      <c r="C49" s="48" t="s">
        <v>881</v>
      </c>
      <c r="D49" s="49"/>
      <c r="E49" s="49"/>
      <c r="F49" s="49"/>
      <c r="G49" s="49">
        <v>2669000000</v>
      </c>
      <c r="H49" s="49"/>
      <c r="I49" s="49"/>
      <c r="J49" s="49"/>
      <c r="K49" s="49" t="e">
        <f t="shared" si="5"/>
        <v>#DIV/0!</v>
      </c>
      <c r="L49" s="49">
        <f t="shared" si="6"/>
        <v>2669000000</v>
      </c>
      <c r="M49" s="49"/>
      <c r="N49" s="49"/>
      <c r="O49" s="49"/>
      <c r="P49" s="50">
        <f t="shared" si="4"/>
        <v>2669000000</v>
      </c>
    </row>
    <row r="50" spans="1:16">
      <c r="A50" s="40" t="s">
        <v>2270</v>
      </c>
      <c r="B50" s="96" t="s">
        <v>2271</v>
      </c>
      <c r="C50" s="42" t="s">
        <v>881</v>
      </c>
      <c r="D50" s="43"/>
      <c r="E50" s="43"/>
      <c r="F50" s="43"/>
      <c r="G50" s="43">
        <v>4420000000</v>
      </c>
      <c r="H50" s="43"/>
      <c r="I50" s="43"/>
      <c r="J50" s="43"/>
      <c r="K50" s="43" t="e">
        <f t="shared" si="5"/>
        <v>#DIV/0!</v>
      </c>
      <c r="L50" s="43">
        <f t="shared" si="6"/>
        <v>4420000000</v>
      </c>
      <c r="M50" s="43"/>
      <c r="N50" s="43"/>
      <c r="O50" s="43"/>
      <c r="P50" s="44">
        <f t="shared" si="4"/>
        <v>4420000000</v>
      </c>
    </row>
    <row r="51" spans="1:16" ht="25.5" customHeight="1">
      <c r="A51" s="46" t="s">
        <v>2272</v>
      </c>
      <c r="B51" s="97" t="s">
        <v>2273</v>
      </c>
      <c r="C51" s="48" t="s">
        <v>881</v>
      </c>
      <c r="D51" s="49"/>
      <c r="E51" s="49"/>
      <c r="F51" s="49"/>
      <c r="G51" s="49">
        <v>3852000000</v>
      </c>
      <c r="H51" s="49"/>
      <c r="I51" s="49"/>
      <c r="J51" s="49"/>
      <c r="K51" s="49" t="e">
        <f t="shared" si="5"/>
        <v>#DIV/0!</v>
      </c>
      <c r="L51" s="49">
        <f t="shared" si="6"/>
        <v>3852000000</v>
      </c>
      <c r="M51" s="49"/>
      <c r="N51" s="49"/>
      <c r="O51" s="49"/>
      <c r="P51" s="50">
        <f t="shared" si="4"/>
        <v>3852000000</v>
      </c>
    </row>
    <row r="52" spans="1:16" ht="38.25" customHeight="1">
      <c r="A52" s="40" t="s">
        <v>2274</v>
      </c>
      <c r="B52" s="96" t="s">
        <v>2275</v>
      </c>
      <c r="C52" s="42" t="s">
        <v>881</v>
      </c>
      <c r="D52" s="43"/>
      <c r="E52" s="43"/>
      <c r="F52" s="43"/>
      <c r="G52" s="43">
        <v>3403000000</v>
      </c>
      <c r="H52" s="43"/>
      <c r="I52" s="43"/>
      <c r="J52" s="43"/>
      <c r="K52" s="43" t="e">
        <f t="shared" si="5"/>
        <v>#DIV/0!</v>
      </c>
      <c r="L52" s="43">
        <f t="shared" si="6"/>
        <v>3403000000</v>
      </c>
      <c r="M52" s="43"/>
      <c r="N52" s="43"/>
      <c r="O52" s="43"/>
      <c r="P52" s="44">
        <f t="shared" si="4"/>
        <v>3403000000</v>
      </c>
    </row>
    <row r="53" spans="1:16" ht="25.5" customHeight="1">
      <c r="A53" s="46" t="s">
        <v>2276</v>
      </c>
      <c r="B53" s="97" t="s">
        <v>2277</v>
      </c>
      <c r="C53" s="48" t="s">
        <v>881</v>
      </c>
      <c r="D53" s="49"/>
      <c r="E53" s="49"/>
      <c r="F53" s="49"/>
      <c r="G53" s="49">
        <v>1541000000</v>
      </c>
      <c r="H53" s="49"/>
      <c r="I53" s="49"/>
      <c r="J53" s="49"/>
      <c r="K53" s="49" t="e">
        <f t="shared" si="5"/>
        <v>#DIV/0!</v>
      </c>
      <c r="L53" s="49">
        <f t="shared" si="6"/>
        <v>1541000000</v>
      </c>
      <c r="M53" s="49"/>
      <c r="N53" s="49"/>
      <c r="O53" s="49"/>
      <c r="P53" s="50">
        <f t="shared" si="4"/>
        <v>1541000000</v>
      </c>
    </row>
    <row r="54" spans="1:16" ht="25.5" customHeight="1">
      <c r="A54" s="40" t="s">
        <v>2278</v>
      </c>
      <c r="B54" s="96" t="s">
        <v>2279</v>
      </c>
      <c r="C54" s="42" t="s">
        <v>881</v>
      </c>
      <c r="D54" s="43"/>
      <c r="E54" s="43"/>
      <c r="F54" s="43"/>
      <c r="G54" s="43">
        <v>3403000000</v>
      </c>
      <c r="H54" s="43"/>
      <c r="I54" s="43"/>
      <c r="J54" s="43"/>
      <c r="K54" s="43" t="e">
        <f t="shared" si="5"/>
        <v>#DIV/0!</v>
      </c>
      <c r="L54" s="43">
        <f t="shared" si="6"/>
        <v>3403000000</v>
      </c>
      <c r="M54" s="43"/>
      <c r="N54" s="43"/>
      <c r="O54" s="43"/>
      <c r="P54" s="44">
        <f t="shared" si="4"/>
        <v>3403000000</v>
      </c>
    </row>
    <row r="55" spans="1:16" ht="38.25" customHeight="1">
      <c r="A55" s="46" t="s">
        <v>2280</v>
      </c>
      <c r="B55" s="97" t="s">
        <v>2281</v>
      </c>
      <c r="C55" s="48" t="s">
        <v>881</v>
      </c>
      <c r="D55" s="49"/>
      <c r="E55" s="49"/>
      <c r="F55" s="49"/>
      <c r="G55" s="49">
        <v>4066000000</v>
      </c>
      <c r="H55" s="49"/>
      <c r="I55" s="49"/>
      <c r="J55" s="49"/>
      <c r="K55" s="49" t="e">
        <f t="shared" si="5"/>
        <v>#DIV/0!</v>
      </c>
      <c r="L55" s="49">
        <f t="shared" si="6"/>
        <v>4066000000</v>
      </c>
      <c r="M55" s="49"/>
      <c r="N55" s="49"/>
      <c r="O55" s="49"/>
      <c r="P55" s="50">
        <f t="shared" si="4"/>
        <v>4066000000</v>
      </c>
    </row>
    <row r="56" spans="1:16" ht="25.5" customHeight="1">
      <c r="A56" s="40" t="s">
        <v>2282</v>
      </c>
      <c r="B56" s="96" t="s">
        <v>2283</v>
      </c>
      <c r="C56" s="42" t="s">
        <v>881</v>
      </c>
      <c r="D56" s="43"/>
      <c r="E56" s="43"/>
      <c r="F56" s="43"/>
      <c r="G56" s="43">
        <v>685000000</v>
      </c>
      <c r="H56" s="43">
        <v>310000000</v>
      </c>
      <c r="I56" s="43">
        <v>390000000</v>
      </c>
      <c r="J56" s="43">
        <v>450000000</v>
      </c>
      <c r="K56" s="43">
        <f t="shared" si="5"/>
        <v>1.4516129032258065</v>
      </c>
      <c r="L56" s="43">
        <f t="shared" si="6"/>
        <v>685000000</v>
      </c>
      <c r="M56" s="43">
        <v>450000000</v>
      </c>
      <c r="N56" s="43">
        <v>557000000</v>
      </c>
      <c r="O56" s="43">
        <v>588000000</v>
      </c>
      <c r="P56" s="44">
        <f t="shared" si="4"/>
        <v>685000000</v>
      </c>
    </row>
    <row r="57" spans="1:16" ht="25.5" customHeight="1">
      <c r="A57" s="46" t="s">
        <v>2284</v>
      </c>
      <c r="B57" s="97" t="s">
        <v>2285</v>
      </c>
      <c r="C57" s="48" t="s">
        <v>881</v>
      </c>
      <c r="D57" s="49"/>
      <c r="E57" s="49"/>
      <c r="F57" s="49"/>
      <c r="G57" s="49">
        <v>1134000000</v>
      </c>
      <c r="H57" s="49"/>
      <c r="I57" s="49"/>
      <c r="J57" s="49"/>
      <c r="K57" s="49" t="e">
        <f t="shared" si="5"/>
        <v>#DIV/0!</v>
      </c>
      <c r="L57" s="49">
        <f t="shared" si="6"/>
        <v>1134000000</v>
      </c>
      <c r="M57" s="49"/>
      <c r="N57" s="49"/>
      <c r="O57" s="49"/>
      <c r="P57" s="50">
        <f t="shared" si="4"/>
        <v>1134000000</v>
      </c>
    </row>
    <row r="58" spans="1:16" ht="25.5" customHeight="1">
      <c r="A58" s="40" t="s">
        <v>2286</v>
      </c>
      <c r="B58" s="96" t="s">
        <v>2287</v>
      </c>
      <c r="C58" s="42" t="s">
        <v>881</v>
      </c>
      <c r="D58" s="43"/>
      <c r="E58" s="43"/>
      <c r="F58" s="43"/>
      <c r="G58" s="43">
        <v>1519000000</v>
      </c>
      <c r="H58" s="43"/>
      <c r="I58" s="43"/>
      <c r="J58" s="43"/>
      <c r="K58" s="43" t="e">
        <f t="shared" si="5"/>
        <v>#DIV/0!</v>
      </c>
      <c r="L58" s="43">
        <f t="shared" si="6"/>
        <v>1519000000</v>
      </c>
      <c r="M58" s="43"/>
      <c r="N58" s="43"/>
      <c r="O58" s="43"/>
      <c r="P58" s="44">
        <f t="shared" si="4"/>
        <v>1519000000</v>
      </c>
    </row>
    <row r="59" spans="1:16" ht="25.5" customHeight="1">
      <c r="A59" s="46" t="s">
        <v>2288</v>
      </c>
      <c r="B59" s="97" t="s">
        <v>2289</v>
      </c>
      <c r="C59" s="48" t="s">
        <v>881</v>
      </c>
      <c r="D59" s="49"/>
      <c r="E59" s="49"/>
      <c r="F59" s="49"/>
      <c r="G59" s="49">
        <v>514000000</v>
      </c>
      <c r="H59" s="49"/>
      <c r="I59" s="49"/>
      <c r="J59" s="49"/>
      <c r="K59" s="49" t="e">
        <f t="shared" si="5"/>
        <v>#DIV/0!</v>
      </c>
      <c r="L59" s="49">
        <f t="shared" si="6"/>
        <v>514000000</v>
      </c>
      <c r="M59" s="49"/>
      <c r="N59" s="49"/>
      <c r="O59" s="49"/>
      <c r="P59" s="50">
        <f t="shared" si="4"/>
        <v>514000000</v>
      </c>
    </row>
    <row r="60" spans="1:16" ht="25.5" customHeight="1">
      <c r="A60" s="40" t="s">
        <v>2290</v>
      </c>
      <c r="B60" s="96" t="s">
        <v>2291</v>
      </c>
      <c r="C60" s="42" t="s">
        <v>881</v>
      </c>
      <c r="D60" s="43"/>
      <c r="E60" s="43"/>
      <c r="F60" s="43"/>
      <c r="G60" s="43">
        <v>813000000</v>
      </c>
      <c r="H60" s="43"/>
      <c r="I60" s="43"/>
      <c r="J60" s="43"/>
      <c r="K60" s="43" t="e">
        <f t="shared" si="5"/>
        <v>#DIV/0!</v>
      </c>
      <c r="L60" s="43">
        <f t="shared" si="6"/>
        <v>813000000</v>
      </c>
      <c r="M60" s="43"/>
      <c r="N60" s="43"/>
      <c r="O60" s="43"/>
      <c r="P60" s="44">
        <f t="shared" si="4"/>
        <v>813000000</v>
      </c>
    </row>
    <row r="61" spans="1:16">
      <c r="A61" s="46" t="s">
        <v>2292</v>
      </c>
      <c r="B61" s="97" t="s">
        <v>2293</v>
      </c>
      <c r="C61" s="48" t="s">
        <v>881</v>
      </c>
      <c r="D61" s="49"/>
      <c r="E61" s="49"/>
      <c r="F61" s="49"/>
      <c r="G61" s="49">
        <v>342000000</v>
      </c>
      <c r="H61" s="49"/>
      <c r="I61" s="49"/>
      <c r="J61" s="49"/>
      <c r="K61" s="49" t="e">
        <f t="shared" si="5"/>
        <v>#DIV/0!</v>
      </c>
      <c r="L61" s="49">
        <f t="shared" si="6"/>
        <v>342000000</v>
      </c>
      <c r="M61" s="49"/>
      <c r="N61" s="49"/>
      <c r="O61" s="49"/>
      <c r="P61" s="50">
        <f t="shared" si="4"/>
        <v>342000000</v>
      </c>
    </row>
    <row r="62" spans="1:16">
      <c r="A62" s="40" t="s">
        <v>2294</v>
      </c>
      <c r="B62" s="96" t="s">
        <v>2295</v>
      </c>
      <c r="C62" s="42" t="s">
        <v>881</v>
      </c>
      <c r="D62" s="43"/>
      <c r="E62" s="43"/>
      <c r="F62" s="43"/>
      <c r="G62" s="43">
        <v>268000000</v>
      </c>
      <c r="H62" s="43"/>
      <c r="I62" s="43"/>
      <c r="J62" s="43"/>
      <c r="K62" s="43" t="e">
        <f t="shared" si="5"/>
        <v>#DIV/0!</v>
      </c>
      <c r="L62" s="43">
        <f t="shared" si="6"/>
        <v>268000000</v>
      </c>
      <c r="M62" s="43"/>
      <c r="N62" s="43"/>
      <c r="O62" s="43"/>
      <c r="P62" s="44">
        <f t="shared" si="4"/>
        <v>268000000</v>
      </c>
    </row>
    <row r="63" spans="1:16" ht="25.5" customHeight="1">
      <c r="A63" s="46" t="s">
        <v>2296</v>
      </c>
      <c r="B63" s="97" t="s">
        <v>2297</v>
      </c>
      <c r="C63" s="48" t="s">
        <v>881</v>
      </c>
      <c r="D63" s="49"/>
      <c r="E63" s="49"/>
      <c r="F63" s="49"/>
      <c r="G63" s="49"/>
      <c r="H63" s="49"/>
      <c r="I63" s="49"/>
      <c r="J63" s="49"/>
      <c r="K63" s="49" t="e">
        <f t="shared" si="5"/>
        <v>#DIV/0!</v>
      </c>
      <c r="L63" s="49">
        <f t="shared" si="6"/>
        <v>0</v>
      </c>
      <c r="M63" s="49"/>
      <c r="N63" s="49"/>
      <c r="O63" s="49"/>
      <c r="P63" s="50">
        <f t="shared" si="4"/>
        <v>0</v>
      </c>
    </row>
    <row r="64" spans="1:16" ht="25.5" customHeight="1">
      <c r="A64" s="40" t="s">
        <v>2298</v>
      </c>
      <c r="B64" s="96" t="s">
        <v>2299</v>
      </c>
      <c r="C64" s="42" t="s">
        <v>881</v>
      </c>
      <c r="D64" s="43"/>
      <c r="E64" s="43"/>
      <c r="F64" s="43"/>
      <c r="G64" s="43"/>
      <c r="H64" s="43"/>
      <c r="I64" s="43"/>
      <c r="J64" s="43"/>
      <c r="K64" s="43" t="e">
        <f t="shared" si="5"/>
        <v>#DIV/0!</v>
      </c>
      <c r="L64" s="43">
        <f t="shared" si="6"/>
        <v>0</v>
      </c>
      <c r="M64" s="43"/>
      <c r="N64" s="43"/>
      <c r="O64" s="43"/>
      <c r="P64" s="44">
        <f t="shared" si="4"/>
        <v>0</v>
      </c>
    </row>
    <row r="65" spans="1:16" ht="25.5" customHeight="1">
      <c r="A65" s="46" t="s">
        <v>2300</v>
      </c>
      <c r="B65" s="97" t="s">
        <v>2301</v>
      </c>
      <c r="C65" s="48" t="s">
        <v>881</v>
      </c>
      <c r="D65" s="49"/>
      <c r="E65" s="49"/>
      <c r="F65" s="49"/>
      <c r="G65" s="49"/>
      <c r="H65" s="49"/>
      <c r="I65" s="49"/>
      <c r="J65" s="49"/>
      <c r="K65" s="49" t="e">
        <f t="shared" si="5"/>
        <v>#DIV/0!</v>
      </c>
      <c r="L65" s="49">
        <f t="shared" si="6"/>
        <v>0</v>
      </c>
      <c r="M65" s="49"/>
      <c r="N65" s="49"/>
      <c r="O65" s="49"/>
      <c r="P65" s="50">
        <f t="shared" si="4"/>
        <v>0</v>
      </c>
    </row>
    <row r="66" spans="1:16" ht="25.5" customHeight="1">
      <c r="A66" s="40" t="s">
        <v>2302</v>
      </c>
      <c r="B66" s="96" t="s">
        <v>2303</v>
      </c>
      <c r="C66" s="42" t="s">
        <v>881</v>
      </c>
      <c r="D66" s="43"/>
      <c r="E66" s="43"/>
      <c r="F66" s="43"/>
      <c r="G66" s="43">
        <v>1700000000</v>
      </c>
      <c r="H66" s="43"/>
      <c r="I66" s="43"/>
      <c r="J66" s="43"/>
      <c r="K66" s="43" t="e">
        <f t="shared" si="5"/>
        <v>#DIV/0!</v>
      </c>
      <c r="L66" s="43">
        <f t="shared" si="6"/>
        <v>1700000000</v>
      </c>
      <c r="M66" s="43"/>
      <c r="N66" s="43"/>
      <c r="O66" s="43"/>
      <c r="P66" s="44">
        <f t="shared" si="4"/>
        <v>1700000000</v>
      </c>
    </row>
    <row r="67" spans="1:16">
      <c r="A67" s="46" t="s">
        <v>2304</v>
      </c>
      <c r="B67" s="97" t="s">
        <v>2305</v>
      </c>
      <c r="C67" s="48" t="s">
        <v>881</v>
      </c>
      <c r="D67" s="49"/>
      <c r="E67" s="49"/>
      <c r="F67" s="49"/>
      <c r="G67" s="49">
        <v>2250000000</v>
      </c>
      <c r="H67" s="49"/>
      <c r="I67" s="49"/>
      <c r="J67" s="49"/>
      <c r="K67" s="49" t="e">
        <f t="shared" si="5"/>
        <v>#DIV/0!</v>
      </c>
      <c r="L67" s="49">
        <f t="shared" si="6"/>
        <v>2250000000</v>
      </c>
      <c r="M67" s="49"/>
      <c r="N67" s="49"/>
      <c r="O67" s="49"/>
      <c r="P67" s="50">
        <f t="shared" ref="P67:P74" si="7">L67</f>
        <v>2250000000</v>
      </c>
    </row>
    <row r="68" spans="1:16">
      <c r="A68" s="40" t="s">
        <v>2306</v>
      </c>
      <c r="B68" s="96" t="s">
        <v>2307</v>
      </c>
      <c r="C68" s="42" t="s">
        <v>881</v>
      </c>
      <c r="D68" s="43"/>
      <c r="E68" s="43"/>
      <c r="F68" s="43"/>
      <c r="G68" s="43">
        <v>2750000000</v>
      </c>
      <c r="H68" s="43"/>
      <c r="I68" s="43"/>
      <c r="J68" s="43"/>
      <c r="K68" s="43" t="e">
        <f t="shared" ref="K68:K99" si="8">J68/H68</f>
        <v>#DIV/0!</v>
      </c>
      <c r="L68" s="43">
        <f t="shared" si="6"/>
        <v>2750000000</v>
      </c>
      <c r="M68" s="43"/>
      <c r="N68" s="43"/>
      <c r="O68" s="43"/>
      <c r="P68" s="44">
        <f t="shared" si="7"/>
        <v>2750000000</v>
      </c>
    </row>
    <row r="69" spans="1:16">
      <c r="A69" s="46" t="s">
        <v>2308</v>
      </c>
      <c r="B69" s="97" t="s">
        <v>2309</v>
      </c>
      <c r="C69" s="48" t="s">
        <v>881</v>
      </c>
      <c r="D69" s="49"/>
      <c r="E69" s="49"/>
      <c r="F69" s="49"/>
      <c r="G69" s="49">
        <v>3500000000</v>
      </c>
      <c r="H69" s="49"/>
      <c r="I69" s="49"/>
      <c r="J69" s="49"/>
      <c r="K69" s="49" t="e">
        <f t="shared" si="8"/>
        <v>#DIV/0!</v>
      </c>
      <c r="L69" s="49">
        <f t="shared" si="6"/>
        <v>3500000000</v>
      </c>
      <c r="M69" s="49"/>
      <c r="N69" s="49"/>
      <c r="O69" s="49"/>
      <c r="P69" s="50">
        <f t="shared" si="7"/>
        <v>3500000000</v>
      </c>
    </row>
    <row r="70" spans="1:16">
      <c r="A70" s="40" t="s">
        <v>2310</v>
      </c>
      <c r="B70" s="96" t="s">
        <v>2311</v>
      </c>
      <c r="C70" s="42" t="s">
        <v>881</v>
      </c>
      <c r="D70" s="43"/>
      <c r="E70" s="43"/>
      <c r="F70" s="43"/>
      <c r="G70" s="43">
        <v>4000000000</v>
      </c>
      <c r="H70" s="43"/>
      <c r="I70" s="43"/>
      <c r="J70" s="43"/>
      <c r="K70" s="43" t="e">
        <f t="shared" si="8"/>
        <v>#DIV/0!</v>
      </c>
      <c r="L70" s="43">
        <f t="shared" si="6"/>
        <v>4000000000</v>
      </c>
      <c r="M70" s="43"/>
      <c r="N70" s="43"/>
      <c r="O70" s="43"/>
      <c r="P70" s="44">
        <f t="shared" si="7"/>
        <v>4000000000</v>
      </c>
    </row>
    <row r="71" spans="1:16" ht="25.5" customHeight="1">
      <c r="A71" s="46" t="s">
        <v>2312</v>
      </c>
      <c r="B71" s="97" t="s">
        <v>2313</v>
      </c>
      <c r="C71" s="48" t="s">
        <v>881</v>
      </c>
      <c r="D71" s="49"/>
      <c r="E71" s="49"/>
      <c r="F71" s="49"/>
      <c r="G71" s="49">
        <v>2450000000</v>
      </c>
      <c r="H71" s="49"/>
      <c r="I71" s="49"/>
      <c r="J71" s="49"/>
      <c r="K71" s="49" t="e">
        <f t="shared" si="8"/>
        <v>#DIV/0!</v>
      </c>
      <c r="L71" s="49">
        <f t="shared" si="6"/>
        <v>2450000000</v>
      </c>
      <c r="M71" s="49"/>
      <c r="N71" s="49"/>
      <c r="O71" s="49"/>
      <c r="P71" s="50">
        <f t="shared" si="7"/>
        <v>2450000000</v>
      </c>
    </row>
    <row r="72" spans="1:16" ht="25.5" customHeight="1">
      <c r="A72" s="40" t="s">
        <v>2314</v>
      </c>
      <c r="B72" s="96" t="s">
        <v>2315</v>
      </c>
      <c r="C72" s="42" t="s">
        <v>881</v>
      </c>
      <c r="D72" s="43"/>
      <c r="E72" s="43"/>
      <c r="F72" s="43"/>
      <c r="G72" s="43">
        <v>3000000000</v>
      </c>
      <c r="H72" s="43"/>
      <c r="I72" s="43"/>
      <c r="J72" s="43"/>
      <c r="K72" s="43" t="e">
        <f t="shared" si="8"/>
        <v>#DIV/0!</v>
      </c>
      <c r="L72" s="43">
        <f t="shared" si="6"/>
        <v>3000000000</v>
      </c>
      <c r="M72" s="43"/>
      <c r="N72" s="43"/>
      <c r="O72" s="43"/>
      <c r="P72" s="44">
        <f t="shared" si="7"/>
        <v>3000000000</v>
      </c>
    </row>
    <row r="73" spans="1:16" ht="25.5" customHeight="1">
      <c r="A73" s="46" t="s">
        <v>2316</v>
      </c>
      <c r="B73" s="97" t="s">
        <v>2317</v>
      </c>
      <c r="C73" s="48" t="s">
        <v>881</v>
      </c>
      <c r="D73" s="49"/>
      <c r="E73" s="49"/>
      <c r="F73" s="49"/>
      <c r="G73" s="49">
        <v>3740000000</v>
      </c>
      <c r="H73" s="49"/>
      <c r="I73" s="49"/>
      <c r="J73" s="49"/>
      <c r="K73" s="49" t="e">
        <f t="shared" si="8"/>
        <v>#DIV/0!</v>
      </c>
      <c r="L73" s="49">
        <f t="shared" si="6"/>
        <v>3740000000</v>
      </c>
      <c r="M73" s="49"/>
      <c r="N73" s="49"/>
      <c r="O73" s="49"/>
      <c r="P73" s="50">
        <f t="shared" si="7"/>
        <v>3740000000</v>
      </c>
    </row>
    <row r="74" spans="1:16" ht="25.9" customHeight="1">
      <c r="A74" s="127" t="s">
        <v>2318</v>
      </c>
      <c r="B74" s="128" t="s">
        <v>2319</v>
      </c>
      <c r="C74" s="121" t="s">
        <v>881</v>
      </c>
      <c r="D74" s="122"/>
      <c r="E74" s="122"/>
      <c r="F74" s="122"/>
      <c r="G74" s="122">
        <v>4350000000</v>
      </c>
      <c r="H74" s="122"/>
      <c r="I74" s="122"/>
      <c r="J74" s="122"/>
      <c r="K74" s="122" t="e">
        <f t="shared" si="8"/>
        <v>#DIV/0!</v>
      </c>
      <c r="L74" s="122">
        <f t="shared" si="6"/>
        <v>4350000000</v>
      </c>
      <c r="M74" s="122"/>
      <c r="N74" s="122"/>
      <c r="O74" s="122"/>
      <c r="P74" s="123">
        <f t="shared" si="7"/>
        <v>4350000000</v>
      </c>
    </row>
  </sheetData>
  <mergeCells count="1">
    <mergeCell ref="C1:L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AF143"/>
  <sheetViews>
    <sheetView rightToLeft="1" workbookViewId="0">
      <pane ySplit="115" topLeftCell="A116" activePane="bottomLeft" state="frozen"/>
      <selection pane="bottomLeft"/>
    </sheetView>
  </sheetViews>
  <sheetFormatPr defaultRowHeight="13.5"/>
  <cols>
    <col min="1" max="1" width="14.1875" customWidth="1"/>
    <col min="2" max="2" width="46.6875" customWidth="1"/>
    <col min="3" max="3" width="10.8125" customWidth="1"/>
    <col min="4" max="5" width="18.3125" customWidth="1"/>
    <col min="7" max="8" width="18.3125" customWidth="1"/>
    <col min="12" max="13" width="18.3125" customWidth="1"/>
    <col min="17" max="17" width="18.3125" customWidth="1"/>
    <col min="20" max="20" width="18.3125" customWidth="1"/>
    <col min="31" max="32" width="18.3125" customWidth="1"/>
  </cols>
  <sheetData>
    <row r="1" spans="1:32" ht="32" customHeight="1">
      <c r="A1" s="27"/>
      <c r="B1" s="28"/>
      <c r="C1" s="28"/>
      <c r="D1" s="296" t="s">
        <v>2320</v>
      </c>
      <c r="E1" s="297"/>
      <c r="F1" s="298"/>
      <c r="G1" s="296" t="s">
        <v>2321</v>
      </c>
      <c r="H1" s="297"/>
      <c r="I1" s="298"/>
      <c r="J1" s="28"/>
      <c r="K1" s="28"/>
      <c r="L1" s="296" t="s">
        <v>2322</v>
      </c>
      <c r="M1" s="297"/>
      <c r="N1" s="298"/>
      <c r="O1" s="28"/>
      <c r="P1" s="28"/>
      <c r="Q1" s="28"/>
      <c r="R1" s="28" t="s">
        <v>2323</v>
      </c>
      <c r="S1" s="28"/>
      <c r="T1" s="28"/>
      <c r="U1" s="28"/>
      <c r="V1" s="28"/>
      <c r="W1" s="28"/>
      <c r="X1" s="28"/>
      <c r="Y1" s="28"/>
      <c r="Z1" s="28"/>
      <c r="AA1" s="28"/>
      <c r="AB1" s="28"/>
      <c r="AC1" s="28"/>
      <c r="AD1" s="28"/>
      <c r="AE1" s="28"/>
      <c r="AF1" s="72"/>
    </row>
    <row r="2" spans="1:32" ht="28.05" customHeight="1">
      <c r="A2" s="30" t="s">
        <v>868</v>
      </c>
      <c r="B2" s="85" t="s">
        <v>869</v>
      </c>
      <c r="C2" s="85" t="s">
        <v>870</v>
      </c>
      <c r="D2" s="85" t="s">
        <v>872</v>
      </c>
      <c r="E2" s="85" t="s">
        <v>873</v>
      </c>
      <c r="F2" s="85" t="s">
        <v>2324</v>
      </c>
      <c r="G2" s="85" t="s">
        <v>871</v>
      </c>
      <c r="H2" s="85" t="s">
        <v>872</v>
      </c>
      <c r="I2" s="85" t="s">
        <v>873</v>
      </c>
      <c r="J2" s="85" t="s">
        <v>1318</v>
      </c>
      <c r="K2" s="31" t="s">
        <v>2325</v>
      </c>
      <c r="L2" s="85" t="s">
        <v>1918</v>
      </c>
      <c r="M2" s="85" t="s">
        <v>1919</v>
      </c>
      <c r="N2" s="85" t="s">
        <v>1920</v>
      </c>
      <c r="O2" s="31" t="s">
        <v>2326</v>
      </c>
      <c r="P2" s="31"/>
      <c r="Q2" s="85" t="s">
        <v>1918</v>
      </c>
      <c r="R2" s="85" t="s">
        <v>1919</v>
      </c>
      <c r="S2" s="85" t="s">
        <v>1920</v>
      </c>
      <c r="T2" s="31"/>
      <c r="U2" s="31"/>
      <c r="V2" s="31"/>
      <c r="W2" s="31"/>
      <c r="X2" s="31" t="s">
        <v>2327</v>
      </c>
      <c r="Y2" s="31"/>
      <c r="Z2" s="31" t="s">
        <v>2328</v>
      </c>
      <c r="AA2" s="31" t="s">
        <v>2329</v>
      </c>
      <c r="AB2" s="31" t="s">
        <v>2330</v>
      </c>
      <c r="AC2" s="31"/>
      <c r="AD2" s="31"/>
      <c r="AE2" s="32" t="s">
        <v>1561</v>
      </c>
      <c r="AF2" s="74"/>
    </row>
    <row r="3" spans="1:32" ht="20.25" customHeight="1">
      <c r="A3" s="34">
        <v>32062607</v>
      </c>
      <c r="B3" s="87" t="s">
        <v>2331</v>
      </c>
      <c r="C3" s="100" t="s">
        <v>1967</v>
      </c>
      <c r="D3" s="37">
        <v>174600000</v>
      </c>
      <c r="E3" s="37">
        <v>174600000</v>
      </c>
      <c r="F3" s="37">
        <f t="shared" ref="F3:F34" si="0">E3/AA3</f>
        <v>1.294218873150325</v>
      </c>
      <c r="G3" s="37">
        <v>214760000</v>
      </c>
      <c r="H3" s="37">
        <v>214760000</v>
      </c>
      <c r="I3" s="37">
        <v>214760000</v>
      </c>
      <c r="J3" s="37">
        <f t="shared" ref="J3:J34" si="1">I3/AA3</f>
        <v>1.591904038933355</v>
      </c>
      <c r="K3" s="37">
        <v>105500000</v>
      </c>
      <c r="L3" s="37">
        <v>115800000</v>
      </c>
      <c r="M3" s="37">
        <v>157200000</v>
      </c>
      <c r="N3" s="37">
        <v>157200000</v>
      </c>
      <c r="O3" s="37">
        <f t="shared" ref="O3:O34" si="2">(N3/L3)</f>
        <v>1.3575129533678756</v>
      </c>
      <c r="P3" s="37">
        <f t="shared" ref="P3:P34" si="3">(N3/K3)</f>
        <v>1.490047393364929</v>
      </c>
      <c r="Q3" s="37">
        <v>107870000</v>
      </c>
      <c r="R3" s="37">
        <v>155630000</v>
      </c>
      <c r="S3" s="37">
        <v>178970000</v>
      </c>
      <c r="T3" s="37">
        <f t="shared" ref="T3:T34" si="4">G3/S3</f>
        <v>1.1999776498854557</v>
      </c>
      <c r="U3" s="37">
        <f t="shared" ref="U3:U34" si="5">S3/K3</f>
        <v>1.6963981042654028</v>
      </c>
      <c r="V3" s="37"/>
      <c r="W3" s="37">
        <f t="shared" ref="W3:W34" si="6">(S3+N3)/2</f>
        <v>168085000</v>
      </c>
      <c r="X3" s="37">
        <f t="shared" ref="X3:X34" si="7">(T3+O3)/2</f>
        <v>1.2787453016266657</v>
      </c>
      <c r="Y3" s="37">
        <f t="shared" ref="Y3:Y34" si="8">W3/K3</f>
        <v>1.5932227488151658</v>
      </c>
      <c r="Z3" s="37">
        <f t="shared" ref="Z3:Z13" si="9">(J3+F3)/2</f>
        <v>1.44306145604184</v>
      </c>
      <c r="AA3" s="37">
        <f>X3*K3</f>
        <v>134907629.32161322</v>
      </c>
      <c r="AB3" s="37">
        <f t="shared" ref="AB3:AB34" si="10">AA3/K3</f>
        <v>1.2787453016266657</v>
      </c>
      <c r="AC3" s="37">
        <f t="shared" ref="AC3:AC34" si="11">W3/K3</f>
        <v>1.5932227488151658</v>
      </c>
      <c r="AD3" s="37">
        <f t="shared" ref="AD3:AD34" si="12">G3/AA3</f>
        <v>1.591904038933355</v>
      </c>
      <c r="AE3" s="37">
        <f t="shared" ref="AE3:AE26" si="13">AA3*Z3</f>
        <v>194680000</v>
      </c>
      <c r="AF3" s="38"/>
    </row>
    <row r="4" spans="1:32" ht="20.25" customHeight="1">
      <c r="A4" s="40">
        <v>32062608</v>
      </c>
      <c r="B4" s="57" t="s">
        <v>2332</v>
      </c>
      <c r="C4" s="58" t="s">
        <v>1967</v>
      </c>
      <c r="D4" s="43">
        <v>210000000</v>
      </c>
      <c r="E4" s="43">
        <v>210000000</v>
      </c>
      <c r="F4" s="43">
        <f t="shared" si="0"/>
        <v>1.1746280344557556</v>
      </c>
      <c r="G4" s="43">
        <v>228430000</v>
      </c>
      <c r="H4" s="43">
        <v>228430000</v>
      </c>
      <c r="I4" s="43">
        <v>228430000</v>
      </c>
      <c r="J4" s="43">
        <f t="shared" si="1"/>
        <v>1.2777156281463251</v>
      </c>
      <c r="K4" s="43">
        <v>127000000</v>
      </c>
      <c r="L4" s="43">
        <v>123200000</v>
      </c>
      <c r="M4" s="43">
        <v>167200000</v>
      </c>
      <c r="N4" s="43">
        <v>167200000</v>
      </c>
      <c r="O4" s="43">
        <f t="shared" si="2"/>
        <v>1.3571428571428572</v>
      </c>
      <c r="P4" s="43">
        <f t="shared" si="3"/>
        <v>1.3165354330708661</v>
      </c>
      <c r="Q4" s="43">
        <v>114310000</v>
      </c>
      <c r="R4" s="43">
        <v>165530000</v>
      </c>
      <c r="S4" s="43">
        <v>190360000</v>
      </c>
      <c r="T4" s="43">
        <f t="shared" si="4"/>
        <v>1.1999894935910906</v>
      </c>
      <c r="U4" s="43">
        <f t="shared" si="5"/>
        <v>1.4988976377952756</v>
      </c>
      <c r="V4" s="43"/>
      <c r="W4" s="43">
        <f t="shared" si="6"/>
        <v>178780000</v>
      </c>
      <c r="X4" s="43">
        <f t="shared" si="7"/>
        <v>1.2785661753669739</v>
      </c>
      <c r="Y4" s="43">
        <f t="shared" si="8"/>
        <v>1.407716535433071</v>
      </c>
      <c r="Z4" s="43">
        <f t="shared" si="9"/>
        <v>1.2261718313010403</v>
      </c>
      <c r="AA4" s="43">
        <f t="shared" ref="AA4:AA9" si="14">W4</f>
        <v>178780000</v>
      </c>
      <c r="AB4" s="43">
        <f t="shared" si="10"/>
        <v>1.407716535433071</v>
      </c>
      <c r="AC4" s="43">
        <f t="shared" si="11"/>
        <v>1.407716535433071</v>
      </c>
      <c r="AD4" s="43">
        <f t="shared" si="12"/>
        <v>1.2777156281463251</v>
      </c>
      <c r="AE4" s="43">
        <f t="shared" si="13"/>
        <v>219215000</v>
      </c>
      <c r="AF4" s="44"/>
    </row>
    <row r="5" spans="1:32" ht="20.25" customHeight="1">
      <c r="A5" s="46">
        <v>32062609</v>
      </c>
      <c r="B5" s="59" t="s">
        <v>2333</v>
      </c>
      <c r="C5" s="60" t="s">
        <v>1967</v>
      </c>
      <c r="D5" s="49">
        <v>380000000</v>
      </c>
      <c r="E5" s="49">
        <v>380000000</v>
      </c>
      <c r="F5" s="49">
        <f t="shared" si="0"/>
        <v>1.6771488469601676</v>
      </c>
      <c r="G5" s="49">
        <v>289500000</v>
      </c>
      <c r="H5" s="49">
        <v>289500000</v>
      </c>
      <c r="I5" s="49">
        <v>289500000</v>
      </c>
      <c r="J5" s="49">
        <f t="shared" si="1"/>
        <v>1.2777226084078119</v>
      </c>
      <c r="K5" s="49">
        <v>171040000</v>
      </c>
      <c r="L5" s="49">
        <v>156200000</v>
      </c>
      <c r="M5" s="49">
        <v>211900000</v>
      </c>
      <c r="N5" s="49">
        <v>211900000</v>
      </c>
      <c r="O5" s="49">
        <f t="shared" si="2"/>
        <v>1.3565941101152368</v>
      </c>
      <c r="P5" s="49">
        <f t="shared" si="3"/>
        <v>1.2388914873713752</v>
      </c>
      <c r="Q5" s="49">
        <v>156170000</v>
      </c>
      <c r="R5" s="49">
        <v>209780000</v>
      </c>
      <c r="S5" s="49">
        <v>241250000</v>
      </c>
      <c r="T5" s="49">
        <f t="shared" si="4"/>
        <v>1.2</v>
      </c>
      <c r="U5" s="49">
        <f t="shared" si="5"/>
        <v>1.4104887745556596</v>
      </c>
      <c r="V5" s="49"/>
      <c r="W5" s="49">
        <f t="shared" si="6"/>
        <v>226575000</v>
      </c>
      <c r="X5" s="49">
        <f t="shared" si="7"/>
        <v>1.2782970550576183</v>
      </c>
      <c r="Y5" s="49">
        <f t="shared" si="8"/>
        <v>1.3246901309635173</v>
      </c>
      <c r="Z5" s="49">
        <f t="shared" si="9"/>
        <v>1.4774357276839898</v>
      </c>
      <c r="AA5" s="49">
        <f t="shared" si="14"/>
        <v>226575000</v>
      </c>
      <c r="AB5" s="49">
        <f t="shared" si="10"/>
        <v>1.3246901309635173</v>
      </c>
      <c r="AC5" s="49">
        <f t="shared" si="11"/>
        <v>1.3246901309635173</v>
      </c>
      <c r="AD5" s="49">
        <f t="shared" si="12"/>
        <v>1.2777226084078119</v>
      </c>
      <c r="AE5" s="49">
        <f t="shared" si="13"/>
        <v>334750000</v>
      </c>
      <c r="AF5" s="50"/>
    </row>
    <row r="6" spans="1:32" ht="20.25" customHeight="1">
      <c r="A6" s="40">
        <v>32062610</v>
      </c>
      <c r="B6" s="57" t="s">
        <v>2334</v>
      </c>
      <c r="C6" s="58" t="s">
        <v>1967</v>
      </c>
      <c r="D6" s="43">
        <v>373000000</v>
      </c>
      <c r="E6" s="43">
        <v>373000000</v>
      </c>
      <c r="F6" s="43">
        <f t="shared" si="0"/>
        <v>1.352625471424427</v>
      </c>
      <c r="G6" s="43">
        <v>352340000</v>
      </c>
      <c r="H6" s="43">
        <v>352340000</v>
      </c>
      <c r="I6" s="43">
        <v>352340000</v>
      </c>
      <c r="J6" s="43">
        <f t="shared" si="1"/>
        <v>1.2777052509428488</v>
      </c>
      <c r="K6" s="43">
        <v>230400000</v>
      </c>
      <c r="L6" s="43">
        <v>190100000</v>
      </c>
      <c r="M6" s="43">
        <v>257900000</v>
      </c>
      <c r="N6" s="43">
        <v>257900000</v>
      </c>
      <c r="O6" s="43">
        <f t="shared" si="2"/>
        <v>1.3566543924250394</v>
      </c>
      <c r="P6" s="43">
        <f t="shared" si="3"/>
        <v>1.1193576388888888</v>
      </c>
      <c r="Q6" s="43">
        <v>193200000</v>
      </c>
      <c r="R6" s="43">
        <v>255320000</v>
      </c>
      <c r="S6" s="43">
        <v>293620000</v>
      </c>
      <c r="T6" s="43">
        <f t="shared" si="4"/>
        <v>1.1999863769497991</v>
      </c>
      <c r="U6" s="43">
        <f t="shared" si="5"/>
        <v>1.2743923611111112</v>
      </c>
      <c r="V6" s="43"/>
      <c r="W6" s="43">
        <f t="shared" si="6"/>
        <v>275760000</v>
      </c>
      <c r="X6" s="43">
        <f t="shared" si="7"/>
        <v>1.2783203846874192</v>
      </c>
      <c r="Y6" s="43">
        <f t="shared" si="8"/>
        <v>1.1968749999999999</v>
      </c>
      <c r="Z6" s="43">
        <f t="shared" si="9"/>
        <v>1.315165361183638</v>
      </c>
      <c r="AA6" s="43">
        <f t="shared" si="14"/>
        <v>275760000</v>
      </c>
      <c r="AB6" s="43">
        <f t="shared" si="10"/>
        <v>1.1968749999999999</v>
      </c>
      <c r="AC6" s="43">
        <f t="shared" si="11"/>
        <v>1.1968749999999999</v>
      </c>
      <c r="AD6" s="43">
        <f t="shared" si="12"/>
        <v>1.2777052509428488</v>
      </c>
      <c r="AE6" s="43">
        <f t="shared" si="13"/>
        <v>362670000</v>
      </c>
      <c r="AF6" s="44"/>
    </row>
    <row r="7" spans="1:32" ht="20.25" customHeight="1">
      <c r="A7" s="46">
        <v>32062611</v>
      </c>
      <c r="B7" s="59" t="s">
        <v>2335</v>
      </c>
      <c r="C7" s="60" t="s">
        <v>1967</v>
      </c>
      <c r="D7" s="49">
        <v>475000000</v>
      </c>
      <c r="E7" s="49">
        <v>475000000</v>
      </c>
      <c r="F7" s="49">
        <f t="shared" si="0"/>
        <v>1.2549040328652761</v>
      </c>
      <c r="G7" s="49">
        <v>483640000</v>
      </c>
      <c r="H7" s="49">
        <v>483640000</v>
      </c>
      <c r="I7" s="49">
        <v>483640000</v>
      </c>
      <c r="J7" s="49">
        <f t="shared" si="1"/>
        <v>1.2777300767472888</v>
      </c>
      <c r="K7" s="49">
        <v>292320000</v>
      </c>
      <c r="L7" s="49">
        <v>260900000</v>
      </c>
      <c r="M7" s="49">
        <v>354000000</v>
      </c>
      <c r="N7" s="49">
        <v>354000000</v>
      </c>
      <c r="O7" s="49">
        <f t="shared" si="2"/>
        <v>1.3568417018014565</v>
      </c>
      <c r="P7" s="49">
        <f t="shared" si="3"/>
        <v>1.2110016420361247</v>
      </c>
      <c r="Q7" s="49">
        <v>257600000</v>
      </c>
      <c r="R7" s="49">
        <v>350460000</v>
      </c>
      <c r="S7" s="49">
        <v>403030000</v>
      </c>
      <c r="T7" s="49">
        <f t="shared" si="4"/>
        <v>1.2000099248194924</v>
      </c>
      <c r="U7" s="49">
        <f t="shared" si="5"/>
        <v>1.3787287903667214</v>
      </c>
      <c r="V7" s="49"/>
      <c r="W7" s="49">
        <f t="shared" si="6"/>
        <v>378515000</v>
      </c>
      <c r="X7" s="49">
        <f t="shared" si="7"/>
        <v>1.2784258133104744</v>
      </c>
      <c r="Y7" s="49">
        <f t="shared" si="8"/>
        <v>1.2948652162014231</v>
      </c>
      <c r="Z7" s="49">
        <f t="shared" si="9"/>
        <v>1.2663170548062825</v>
      </c>
      <c r="AA7" s="49">
        <f t="shared" si="14"/>
        <v>378515000</v>
      </c>
      <c r="AB7" s="49">
        <f t="shared" si="10"/>
        <v>1.2948652162014231</v>
      </c>
      <c r="AC7" s="49">
        <f t="shared" si="11"/>
        <v>1.2948652162014231</v>
      </c>
      <c r="AD7" s="49">
        <f t="shared" si="12"/>
        <v>1.2777300767472888</v>
      </c>
      <c r="AE7" s="49">
        <f t="shared" si="13"/>
        <v>479320000.00000006</v>
      </c>
      <c r="AF7" s="50"/>
    </row>
    <row r="8" spans="1:32" ht="20.25" customHeight="1">
      <c r="A8" s="40">
        <v>32062612</v>
      </c>
      <c r="B8" s="57" t="s">
        <v>2336</v>
      </c>
      <c r="C8" s="58" t="s">
        <v>1967</v>
      </c>
      <c r="D8" s="43">
        <v>528000000</v>
      </c>
      <c r="E8" s="43">
        <v>528000000</v>
      </c>
      <c r="F8" s="43">
        <f t="shared" si="0"/>
        <v>1.2108980827447022</v>
      </c>
      <c r="G8" s="43">
        <v>557140000</v>
      </c>
      <c r="H8" s="43">
        <v>557140000</v>
      </c>
      <c r="I8" s="43">
        <v>557140000</v>
      </c>
      <c r="J8" s="43">
        <f t="shared" si="1"/>
        <v>1.2777268140537565</v>
      </c>
      <c r="K8" s="43">
        <v>343200000</v>
      </c>
      <c r="L8" s="43">
        <v>300500000</v>
      </c>
      <c r="M8" s="43">
        <v>407800000</v>
      </c>
      <c r="N8" s="43">
        <v>407800000</v>
      </c>
      <c r="O8" s="43">
        <f t="shared" si="2"/>
        <v>1.3570715474209651</v>
      </c>
      <c r="P8" s="43">
        <f t="shared" si="3"/>
        <v>1.1882284382284383</v>
      </c>
      <c r="Q8" s="43">
        <v>305900000</v>
      </c>
      <c r="R8" s="43">
        <v>403720000</v>
      </c>
      <c r="S8" s="43">
        <v>464280000</v>
      </c>
      <c r="T8" s="43">
        <f t="shared" si="4"/>
        <v>1.2000086154906522</v>
      </c>
      <c r="U8" s="43">
        <f t="shared" si="5"/>
        <v>1.3527972027972028</v>
      </c>
      <c r="V8" s="43"/>
      <c r="W8" s="43">
        <f t="shared" si="6"/>
        <v>436040000</v>
      </c>
      <c r="X8" s="43">
        <f t="shared" si="7"/>
        <v>1.2785400814558088</v>
      </c>
      <c r="Y8" s="43">
        <f t="shared" si="8"/>
        <v>1.2705128205128204</v>
      </c>
      <c r="Z8" s="43">
        <f t="shared" si="9"/>
        <v>1.2443124483992294</v>
      </c>
      <c r="AA8" s="43">
        <f t="shared" si="14"/>
        <v>436040000</v>
      </c>
      <c r="AB8" s="43">
        <f t="shared" si="10"/>
        <v>1.2705128205128204</v>
      </c>
      <c r="AC8" s="43">
        <f t="shared" si="11"/>
        <v>1.2705128205128204</v>
      </c>
      <c r="AD8" s="43">
        <f t="shared" si="12"/>
        <v>1.2777268140537565</v>
      </c>
      <c r="AE8" s="43">
        <f t="shared" si="13"/>
        <v>542570000</v>
      </c>
      <c r="AF8" s="44"/>
    </row>
    <row r="9" spans="1:32" ht="20.25" customHeight="1">
      <c r="A9" s="46">
        <v>32062613</v>
      </c>
      <c r="B9" s="59" t="s">
        <v>2337</v>
      </c>
      <c r="C9" s="92" t="s">
        <v>1967</v>
      </c>
      <c r="D9" s="49">
        <v>16300000</v>
      </c>
      <c r="E9" s="49">
        <v>16300000</v>
      </c>
      <c r="F9" s="49">
        <f t="shared" si="0"/>
        <v>1.2442748091603053</v>
      </c>
      <c r="G9" s="49">
        <v>16740000</v>
      </c>
      <c r="H9" s="49">
        <v>16740000</v>
      </c>
      <c r="I9" s="49">
        <v>16740000</v>
      </c>
      <c r="J9" s="49">
        <f t="shared" si="1"/>
        <v>1.2778625954198473</v>
      </c>
      <c r="K9" s="49">
        <v>9600000</v>
      </c>
      <c r="L9" s="49">
        <v>9030000</v>
      </c>
      <c r="M9" s="49">
        <v>12250000</v>
      </c>
      <c r="N9" s="49">
        <v>12250000</v>
      </c>
      <c r="O9" s="49">
        <f t="shared" si="2"/>
        <v>1.3565891472868217</v>
      </c>
      <c r="P9" s="49">
        <f t="shared" si="3"/>
        <v>1.2760416666666667</v>
      </c>
      <c r="Q9" s="49">
        <v>8210000</v>
      </c>
      <c r="R9" s="49">
        <v>12130000</v>
      </c>
      <c r="S9" s="49">
        <v>13950000</v>
      </c>
      <c r="T9" s="49">
        <f t="shared" si="4"/>
        <v>1.2</v>
      </c>
      <c r="U9" s="49">
        <f t="shared" si="5"/>
        <v>1.453125</v>
      </c>
      <c r="V9" s="49"/>
      <c r="W9" s="49">
        <f t="shared" si="6"/>
        <v>13100000</v>
      </c>
      <c r="X9" s="49">
        <f t="shared" si="7"/>
        <v>1.2782945736434108</v>
      </c>
      <c r="Y9" s="49">
        <f t="shared" si="8"/>
        <v>1.3645833333333333</v>
      </c>
      <c r="Z9" s="49">
        <f t="shared" si="9"/>
        <v>1.2610687022900762</v>
      </c>
      <c r="AA9" s="49">
        <f t="shared" si="14"/>
        <v>13100000</v>
      </c>
      <c r="AB9" s="49">
        <f t="shared" si="10"/>
        <v>1.3645833333333333</v>
      </c>
      <c r="AC9" s="49">
        <f t="shared" si="11"/>
        <v>1.3645833333333333</v>
      </c>
      <c r="AD9" s="49">
        <f t="shared" si="12"/>
        <v>1.2778625954198473</v>
      </c>
      <c r="AE9" s="49">
        <f t="shared" si="13"/>
        <v>16519999.999999998</v>
      </c>
      <c r="AF9" s="50"/>
    </row>
    <row r="10" spans="1:32" ht="20.25" customHeight="1">
      <c r="A10" s="40">
        <v>32062614</v>
      </c>
      <c r="B10" s="57" t="s">
        <v>2338</v>
      </c>
      <c r="C10" s="90" t="s">
        <v>1967</v>
      </c>
      <c r="D10" s="43">
        <v>20400000</v>
      </c>
      <c r="E10" s="43">
        <v>20400000</v>
      </c>
      <c r="F10" s="43">
        <f t="shared" si="0"/>
        <v>1.2542268675069166</v>
      </c>
      <c r="G10" s="43">
        <v>20780000</v>
      </c>
      <c r="H10" s="43">
        <v>20780000</v>
      </c>
      <c r="I10" s="43">
        <v>20780000</v>
      </c>
      <c r="J10" s="43">
        <f t="shared" si="1"/>
        <v>1.2775899169996925</v>
      </c>
      <c r="K10" s="43">
        <v>11200000</v>
      </c>
      <c r="L10" s="43">
        <v>11210000</v>
      </c>
      <c r="M10" s="43">
        <v>15210000</v>
      </c>
      <c r="N10" s="43">
        <v>15210000</v>
      </c>
      <c r="O10" s="43">
        <f t="shared" si="2"/>
        <v>1.3568242640499555</v>
      </c>
      <c r="P10" s="43">
        <f t="shared" si="3"/>
        <v>1.3580357142857142</v>
      </c>
      <c r="Q10" s="43">
        <v>9580000</v>
      </c>
      <c r="R10" s="43">
        <v>15060000</v>
      </c>
      <c r="S10" s="43">
        <v>17320000</v>
      </c>
      <c r="T10" s="43">
        <f t="shared" si="4"/>
        <v>1.1997690531177829</v>
      </c>
      <c r="U10" s="43">
        <f t="shared" si="5"/>
        <v>1.5464285714285715</v>
      </c>
      <c r="V10" s="43"/>
      <c r="W10" s="43">
        <f t="shared" si="6"/>
        <v>16265000</v>
      </c>
      <c r="X10" s="43">
        <f t="shared" si="7"/>
        <v>1.2782966585838693</v>
      </c>
      <c r="Y10" s="43">
        <f t="shared" si="8"/>
        <v>1.4522321428571427</v>
      </c>
      <c r="Z10" s="43">
        <f t="shared" si="9"/>
        <v>1.2659083922533045</v>
      </c>
      <c r="AA10" s="43">
        <v>16265000</v>
      </c>
      <c r="AB10" s="43">
        <f t="shared" si="10"/>
        <v>1.4522321428571427</v>
      </c>
      <c r="AC10" s="43">
        <f t="shared" si="11"/>
        <v>1.4522321428571427</v>
      </c>
      <c r="AD10" s="43">
        <f t="shared" si="12"/>
        <v>1.2775899169996925</v>
      </c>
      <c r="AE10" s="43">
        <f t="shared" si="13"/>
        <v>20590000</v>
      </c>
      <c r="AF10" s="44"/>
    </row>
    <row r="11" spans="1:32" ht="20.25" customHeight="1">
      <c r="A11" s="46">
        <v>32062615</v>
      </c>
      <c r="B11" s="59" t="s">
        <v>2339</v>
      </c>
      <c r="C11" s="92" t="s">
        <v>1967</v>
      </c>
      <c r="D11" s="49">
        <v>26000000</v>
      </c>
      <c r="E11" s="49">
        <v>26000000</v>
      </c>
      <c r="F11" s="49">
        <f t="shared" si="0"/>
        <v>1.2452107279693487</v>
      </c>
      <c r="G11" s="49">
        <v>26680000</v>
      </c>
      <c r="H11" s="49">
        <v>26680000</v>
      </c>
      <c r="I11" s="49">
        <v>26680000</v>
      </c>
      <c r="J11" s="49">
        <f t="shared" si="1"/>
        <v>1.2777777777777777</v>
      </c>
      <c r="K11" s="49">
        <v>14400000</v>
      </c>
      <c r="L11" s="49">
        <v>14390000</v>
      </c>
      <c r="M11" s="49">
        <v>19530000</v>
      </c>
      <c r="N11" s="49">
        <v>19530000</v>
      </c>
      <c r="O11" s="49">
        <f t="shared" si="2"/>
        <v>1.3571924947880472</v>
      </c>
      <c r="P11" s="49">
        <f t="shared" si="3"/>
        <v>1.35625</v>
      </c>
      <c r="Q11" s="49">
        <v>12320000</v>
      </c>
      <c r="R11" s="49">
        <v>19330000</v>
      </c>
      <c r="S11" s="49">
        <v>22230000</v>
      </c>
      <c r="T11" s="49">
        <f t="shared" si="4"/>
        <v>1.2001799370220423</v>
      </c>
      <c r="U11" s="49">
        <f t="shared" si="5"/>
        <v>1.54375</v>
      </c>
      <c r="V11" s="49"/>
      <c r="W11" s="49">
        <f t="shared" si="6"/>
        <v>20880000</v>
      </c>
      <c r="X11" s="49">
        <f t="shared" si="7"/>
        <v>1.2786862159050447</v>
      </c>
      <c r="Y11" s="49">
        <f t="shared" si="8"/>
        <v>1.45</v>
      </c>
      <c r="Z11" s="49">
        <f t="shared" si="9"/>
        <v>1.2614942528735633</v>
      </c>
      <c r="AA11" s="49">
        <f t="shared" ref="AA11:AA19" si="15">W11</f>
        <v>20880000</v>
      </c>
      <c r="AB11" s="49">
        <f t="shared" si="10"/>
        <v>1.45</v>
      </c>
      <c r="AC11" s="49">
        <f t="shared" si="11"/>
        <v>1.45</v>
      </c>
      <c r="AD11" s="49">
        <f t="shared" si="12"/>
        <v>1.2777777777777777</v>
      </c>
      <c r="AE11" s="49">
        <f t="shared" si="13"/>
        <v>26340000.000000004</v>
      </c>
      <c r="AF11" s="50"/>
    </row>
    <row r="12" spans="1:32" ht="20.25" customHeight="1">
      <c r="A12" s="40">
        <v>32062616</v>
      </c>
      <c r="B12" s="57" t="s">
        <v>2340</v>
      </c>
      <c r="C12" s="90" t="s">
        <v>1967</v>
      </c>
      <c r="D12" s="43">
        <v>28300000</v>
      </c>
      <c r="E12" s="43">
        <v>28300000</v>
      </c>
      <c r="F12" s="43">
        <f t="shared" si="0"/>
        <v>1.2406839105655414</v>
      </c>
      <c r="G12" s="43">
        <v>29150000</v>
      </c>
      <c r="H12" s="43">
        <v>29150000</v>
      </c>
      <c r="I12" s="43">
        <v>29150000</v>
      </c>
      <c r="J12" s="43">
        <f t="shared" si="1"/>
        <v>1.2779482683033758</v>
      </c>
      <c r="K12" s="43">
        <v>16000000</v>
      </c>
      <c r="L12" s="43">
        <v>15720000</v>
      </c>
      <c r="M12" s="43">
        <v>21330000</v>
      </c>
      <c r="N12" s="43">
        <v>21330000</v>
      </c>
      <c r="O12" s="43">
        <f t="shared" si="2"/>
        <v>1.3568702290076335</v>
      </c>
      <c r="P12" s="43">
        <f t="shared" si="3"/>
        <v>1.3331249999999999</v>
      </c>
      <c r="Q12" s="43">
        <v>13690000</v>
      </c>
      <c r="R12" s="43">
        <v>21120000</v>
      </c>
      <c r="S12" s="43">
        <v>24290000</v>
      </c>
      <c r="T12" s="43">
        <f t="shared" si="4"/>
        <v>1.2000823384108688</v>
      </c>
      <c r="U12" s="43">
        <f t="shared" si="5"/>
        <v>1.5181249999999999</v>
      </c>
      <c r="V12" s="43"/>
      <c r="W12" s="43">
        <f t="shared" si="6"/>
        <v>22810000</v>
      </c>
      <c r="X12" s="43">
        <f t="shared" si="7"/>
        <v>1.2784762837092511</v>
      </c>
      <c r="Y12" s="43">
        <f t="shared" si="8"/>
        <v>1.4256249999999999</v>
      </c>
      <c r="Z12" s="43">
        <f t="shared" si="9"/>
        <v>1.2593160894344586</v>
      </c>
      <c r="AA12" s="43">
        <f t="shared" si="15"/>
        <v>22810000</v>
      </c>
      <c r="AB12" s="43">
        <f t="shared" si="10"/>
        <v>1.4256249999999999</v>
      </c>
      <c r="AC12" s="43">
        <f t="shared" si="11"/>
        <v>1.4256249999999999</v>
      </c>
      <c r="AD12" s="43">
        <f t="shared" si="12"/>
        <v>1.2779482683033758</v>
      </c>
      <c r="AE12" s="43">
        <f t="shared" si="13"/>
        <v>28725000</v>
      </c>
      <c r="AF12" s="44"/>
    </row>
    <row r="13" spans="1:32" ht="20.25" customHeight="1">
      <c r="A13" s="46">
        <v>32062617</v>
      </c>
      <c r="B13" s="59" t="s">
        <v>2341</v>
      </c>
      <c r="C13" s="92" t="s">
        <v>1967</v>
      </c>
      <c r="D13" s="49">
        <v>33200000</v>
      </c>
      <c r="E13" s="49">
        <v>33200000</v>
      </c>
      <c r="F13" s="49">
        <f t="shared" si="0"/>
        <v>1.2540132200188858</v>
      </c>
      <c r="G13" s="49">
        <v>33830000</v>
      </c>
      <c r="H13" s="49">
        <v>33830000</v>
      </c>
      <c r="I13" s="49">
        <v>33830000</v>
      </c>
      <c r="J13" s="49">
        <f t="shared" si="1"/>
        <v>1.27780925401322</v>
      </c>
      <c r="K13" s="49">
        <v>20800000</v>
      </c>
      <c r="L13" s="49">
        <v>18240000</v>
      </c>
      <c r="M13" s="49">
        <v>24760000</v>
      </c>
      <c r="N13" s="49">
        <v>24760000</v>
      </c>
      <c r="O13" s="49">
        <f t="shared" si="2"/>
        <v>1.3574561403508771</v>
      </c>
      <c r="P13" s="49">
        <f t="shared" si="3"/>
        <v>1.1903846153846154</v>
      </c>
      <c r="Q13" s="49">
        <v>17790000</v>
      </c>
      <c r="R13" s="49">
        <v>24510000</v>
      </c>
      <c r="S13" s="49">
        <v>28190000</v>
      </c>
      <c r="T13" s="49">
        <f t="shared" si="4"/>
        <v>1.2000709471443773</v>
      </c>
      <c r="U13" s="49">
        <f t="shared" si="5"/>
        <v>1.3552884615384615</v>
      </c>
      <c r="V13" s="49"/>
      <c r="W13" s="49">
        <f t="shared" si="6"/>
        <v>26475000</v>
      </c>
      <c r="X13" s="49">
        <f t="shared" si="7"/>
        <v>1.2787635437476272</v>
      </c>
      <c r="Y13" s="49">
        <f t="shared" si="8"/>
        <v>1.2728365384615385</v>
      </c>
      <c r="Z13" s="49">
        <f t="shared" si="9"/>
        <v>1.265911237016053</v>
      </c>
      <c r="AA13" s="49">
        <f t="shared" si="15"/>
        <v>26475000</v>
      </c>
      <c r="AB13" s="49">
        <f t="shared" si="10"/>
        <v>1.2728365384615385</v>
      </c>
      <c r="AC13" s="49">
        <f t="shared" si="11"/>
        <v>1.2728365384615385</v>
      </c>
      <c r="AD13" s="49">
        <f t="shared" si="12"/>
        <v>1.27780925401322</v>
      </c>
      <c r="AE13" s="49">
        <f t="shared" si="13"/>
        <v>33515000.000000004</v>
      </c>
      <c r="AF13" s="50"/>
    </row>
    <row r="14" spans="1:32" ht="39.4" customHeight="1">
      <c r="A14" s="40">
        <v>32062701</v>
      </c>
      <c r="B14" s="57" t="s">
        <v>2342</v>
      </c>
      <c r="C14" s="58" t="s">
        <v>1967</v>
      </c>
      <c r="D14" s="43"/>
      <c r="E14" s="43"/>
      <c r="F14" s="43">
        <f t="shared" si="0"/>
        <v>0</v>
      </c>
      <c r="G14" s="43">
        <v>29600000</v>
      </c>
      <c r="H14" s="43">
        <v>29600000</v>
      </c>
      <c r="I14" s="43">
        <v>29600000</v>
      </c>
      <c r="J14" s="43">
        <f t="shared" si="1"/>
        <v>1.2790320838284541</v>
      </c>
      <c r="K14" s="43">
        <v>18360000</v>
      </c>
      <c r="L14" s="43">
        <v>14980000</v>
      </c>
      <c r="M14" s="43">
        <v>21560000</v>
      </c>
      <c r="N14" s="43">
        <v>21560000</v>
      </c>
      <c r="O14" s="43">
        <f t="shared" si="2"/>
        <v>1.4392523364485981</v>
      </c>
      <c r="P14" s="43">
        <f t="shared" si="3"/>
        <v>1.1742919389978212</v>
      </c>
      <c r="Q14" s="43">
        <v>16400000</v>
      </c>
      <c r="R14" s="43">
        <v>21500000</v>
      </c>
      <c r="S14" s="43">
        <v>24725000</v>
      </c>
      <c r="T14" s="43">
        <f t="shared" si="4"/>
        <v>1.1971688574317492</v>
      </c>
      <c r="U14" s="43">
        <f t="shared" si="5"/>
        <v>1.346677559912854</v>
      </c>
      <c r="V14" s="43"/>
      <c r="W14" s="43">
        <f t="shared" si="6"/>
        <v>23142500</v>
      </c>
      <c r="X14" s="43">
        <f t="shared" si="7"/>
        <v>1.3182105969401736</v>
      </c>
      <c r="Y14" s="43">
        <f t="shared" si="8"/>
        <v>1.2604847494553377</v>
      </c>
      <c r="Z14" s="43">
        <v>1.2790320838284539</v>
      </c>
      <c r="AA14" s="43">
        <f t="shared" si="15"/>
        <v>23142500</v>
      </c>
      <c r="AB14" s="43">
        <f t="shared" si="10"/>
        <v>1.2604847494553377</v>
      </c>
      <c r="AC14" s="43">
        <f t="shared" si="11"/>
        <v>1.2604847494553377</v>
      </c>
      <c r="AD14" s="43">
        <f t="shared" si="12"/>
        <v>1.2790320838284541</v>
      </c>
      <c r="AE14" s="43">
        <f t="shared" si="13"/>
        <v>29599999.999999996</v>
      </c>
      <c r="AF14" s="44"/>
    </row>
    <row r="15" spans="1:32" ht="39.4" customHeight="1">
      <c r="A15" s="46">
        <v>32062702</v>
      </c>
      <c r="B15" s="59" t="s">
        <v>2343</v>
      </c>
      <c r="C15" s="60" t="s">
        <v>1967</v>
      </c>
      <c r="D15" s="49"/>
      <c r="E15" s="49"/>
      <c r="F15" s="49">
        <f t="shared" si="0"/>
        <v>0</v>
      </c>
      <c r="G15" s="49">
        <v>35600000</v>
      </c>
      <c r="H15" s="49">
        <v>35600000</v>
      </c>
      <c r="I15" s="49">
        <v>35600000</v>
      </c>
      <c r="J15" s="49">
        <f t="shared" si="1"/>
        <v>1.2812668706136405</v>
      </c>
      <c r="K15" s="49">
        <v>22320000</v>
      </c>
      <c r="L15" s="49">
        <v>18060000</v>
      </c>
      <c r="M15" s="49">
        <v>25900000</v>
      </c>
      <c r="N15" s="49">
        <v>25900000</v>
      </c>
      <c r="O15" s="49">
        <f t="shared" si="2"/>
        <v>1.4341085271317831</v>
      </c>
      <c r="P15" s="49">
        <f t="shared" si="3"/>
        <v>1.1603942652329748</v>
      </c>
      <c r="Q15" s="49">
        <v>19200000</v>
      </c>
      <c r="R15" s="49">
        <v>25800000</v>
      </c>
      <c r="S15" s="49">
        <v>29670000</v>
      </c>
      <c r="T15" s="49">
        <f t="shared" si="4"/>
        <v>1.1998651836872261</v>
      </c>
      <c r="U15" s="49">
        <f t="shared" si="5"/>
        <v>1.3293010752688172</v>
      </c>
      <c r="V15" s="49"/>
      <c r="W15" s="49">
        <f t="shared" si="6"/>
        <v>27785000</v>
      </c>
      <c r="X15" s="49">
        <f t="shared" si="7"/>
        <v>1.3169868554095046</v>
      </c>
      <c r="Y15" s="49">
        <f t="shared" si="8"/>
        <v>1.2448476702508962</v>
      </c>
      <c r="Z15" s="49">
        <v>1.281266870613641</v>
      </c>
      <c r="AA15" s="49">
        <f t="shared" si="15"/>
        <v>27785000</v>
      </c>
      <c r="AB15" s="49">
        <f t="shared" si="10"/>
        <v>1.2448476702508962</v>
      </c>
      <c r="AC15" s="49">
        <f t="shared" si="11"/>
        <v>1.2448476702508962</v>
      </c>
      <c r="AD15" s="49">
        <f t="shared" si="12"/>
        <v>1.2812668706136405</v>
      </c>
      <c r="AE15" s="49">
        <f t="shared" si="13"/>
        <v>35600000.000000015</v>
      </c>
      <c r="AF15" s="50"/>
    </row>
    <row r="16" spans="1:32" ht="39.4" customHeight="1">
      <c r="A16" s="40">
        <v>32062703</v>
      </c>
      <c r="B16" s="57" t="s">
        <v>2344</v>
      </c>
      <c r="C16" s="58" t="s">
        <v>1967</v>
      </c>
      <c r="D16" s="43"/>
      <c r="E16" s="43"/>
      <c r="F16" s="43">
        <f t="shared" si="0"/>
        <v>0</v>
      </c>
      <c r="G16" s="43">
        <v>48100000</v>
      </c>
      <c r="H16" s="43">
        <v>48100000</v>
      </c>
      <c r="I16" s="43">
        <v>48100000</v>
      </c>
      <c r="J16" s="43">
        <f t="shared" si="1"/>
        <v>1.2779807372965792</v>
      </c>
      <c r="K16" s="43">
        <v>32280000</v>
      </c>
      <c r="L16" s="43">
        <v>24500000</v>
      </c>
      <c r="M16" s="43">
        <v>35140000</v>
      </c>
      <c r="N16" s="43">
        <v>35140000</v>
      </c>
      <c r="O16" s="43">
        <f t="shared" si="2"/>
        <v>1.4342857142857144</v>
      </c>
      <c r="P16" s="43">
        <f t="shared" si="3"/>
        <v>1.0885997521685253</v>
      </c>
      <c r="Q16" s="43">
        <v>24300000</v>
      </c>
      <c r="R16" s="43">
        <v>34900000</v>
      </c>
      <c r="S16" s="43">
        <v>40135000</v>
      </c>
      <c r="T16" s="43">
        <f t="shared" si="4"/>
        <v>1.1984552136539179</v>
      </c>
      <c r="U16" s="43">
        <f t="shared" si="5"/>
        <v>1.2433395291201983</v>
      </c>
      <c r="V16" s="43"/>
      <c r="W16" s="43">
        <f t="shared" si="6"/>
        <v>37637500</v>
      </c>
      <c r="X16" s="43">
        <f t="shared" si="7"/>
        <v>1.3163704639698162</v>
      </c>
      <c r="Y16" s="43">
        <f t="shared" si="8"/>
        <v>1.1659696406443618</v>
      </c>
      <c r="Z16" s="43">
        <v>1.277980737296579</v>
      </c>
      <c r="AA16" s="43">
        <f t="shared" si="15"/>
        <v>37637500</v>
      </c>
      <c r="AB16" s="43">
        <f t="shared" si="10"/>
        <v>1.1659696406443618</v>
      </c>
      <c r="AC16" s="43">
        <f t="shared" si="11"/>
        <v>1.1659696406443618</v>
      </c>
      <c r="AD16" s="43">
        <f t="shared" si="12"/>
        <v>1.2779807372965792</v>
      </c>
      <c r="AE16" s="43">
        <f t="shared" si="13"/>
        <v>48099999.999999993</v>
      </c>
      <c r="AF16" s="44"/>
    </row>
    <row r="17" spans="1:32" ht="39.4" customHeight="1">
      <c r="A17" s="46">
        <v>32062704</v>
      </c>
      <c r="B17" s="59" t="s">
        <v>2345</v>
      </c>
      <c r="C17" s="60" t="s">
        <v>1967</v>
      </c>
      <c r="D17" s="49"/>
      <c r="E17" s="49"/>
      <c r="F17" s="49">
        <f t="shared" si="0"/>
        <v>0</v>
      </c>
      <c r="G17" s="49">
        <v>55000000</v>
      </c>
      <c r="H17" s="49">
        <v>55000000</v>
      </c>
      <c r="I17" s="49">
        <v>55000000</v>
      </c>
      <c r="J17" s="49">
        <f t="shared" si="1"/>
        <v>1.2819018762382006</v>
      </c>
      <c r="K17" s="49">
        <v>42840000</v>
      </c>
      <c r="L17" s="49">
        <v>27860000</v>
      </c>
      <c r="M17" s="49">
        <v>40040000</v>
      </c>
      <c r="N17" s="49">
        <v>40040000</v>
      </c>
      <c r="O17" s="49">
        <f t="shared" si="2"/>
        <v>1.4371859296482412</v>
      </c>
      <c r="P17" s="49">
        <f t="shared" si="3"/>
        <v>0.934640522875817</v>
      </c>
      <c r="Q17" s="49">
        <v>29700000</v>
      </c>
      <c r="R17" s="49">
        <v>39800000</v>
      </c>
      <c r="S17" s="49">
        <v>45770000</v>
      </c>
      <c r="T17" s="49">
        <f t="shared" si="4"/>
        <v>1.201660476294516</v>
      </c>
      <c r="U17" s="49">
        <f t="shared" si="5"/>
        <v>1.0683940242763772</v>
      </c>
      <c r="V17" s="49"/>
      <c r="W17" s="49">
        <f t="shared" si="6"/>
        <v>42905000</v>
      </c>
      <c r="X17" s="49">
        <f t="shared" si="7"/>
        <v>1.3194232029713786</v>
      </c>
      <c r="Y17" s="49">
        <f t="shared" si="8"/>
        <v>1.0015172735760971</v>
      </c>
      <c r="Z17" s="49">
        <v>1.2819018762382011</v>
      </c>
      <c r="AA17" s="49">
        <f t="shared" si="15"/>
        <v>42905000</v>
      </c>
      <c r="AB17" s="49">
        <f t="shared" si="10"/>
        <v>1.0015172735760971</v>
      </c>
      <c r="AC17" s="49">
        <f t="shared" si="11"/>
        <v>1.0015172735760971</v>
      </c>
      <c r="AD17" s="49">
        <f t="shared" si="12"/>
        <v>1.2819018762382006</v>
      </c>
      <c r="AE17" s="49">
        <f t="shared" si="13"/>
        <v>55000000.000000015</v>
      </c>
      <c r="AF17" s="50"/>
    </row>
    <row r="18" spans="1:32" ht="39.4" customHeight="1">
      <c r="A18" s="40">
        <v>32062705</v>
      </c>
      <c r="B18" s="57" t="s">
        <v>2346</v>
      </c>
      <c r="C18" s="58" t="s">
        <v>1967</v>
      </c>
      <c r="D18" s="43"/>
      <c r="E18" s="43"/>
      <c r="F18" s="43">
        <f t="shared" si="0"/>
        <v>0</v>
      </c>
      <c r="G18" s="43">
        <v>66400000</v>
      </c>
      <c r="H18" s="43">
        <v>66400000</v>
      </c>
      <c r="I18" s="43">
        <v>66400000</v>
      </c>
      <c r="J18" s="43">
        <f t="shared" si="1"/>
        <v>1.2779675696482702</v>
      </c>
      <c r="K18" s="43">
        <v>50160000</v>
      </c>
      <c r="L18" s="43">
        <v>33750000</v>
      </c>
      <c r="M18" s="43">
        <v>48600000</v>
      </c>
      <c r="N18" s="43">
        <v>48600000</v>
      </c>
      <c r="O18" s="43">
        <f t="shared" si="2"/>
        <v>1.44</v>
      </c>
      <c r="P18" s="43">
        <f t="shared" si="3"/>
        <v>0.96889952153110048</v>
      </c>
      <c r="Q18" s="43">
        <v>37200000</v>
      </c>
      <c r="R18" s="43">
        <v>48100000</v>
      </c>
      <c r="S18" s="43">
        <v>55315000</v>
      </c>
      <c r="T18" s="43">
        <f t="shared" si="4"/>
        <v>1.2003977221368525</v>
      </c>
      <c r="U18" s="43">
        <f t="shared" si="5"/>
        <v>1.1027711323763956</v>
      </c>
      <c r="V18" s="43"/>
      <c r="W18" s="43">
        <f t="shared" si="6"/>
        <v>51957500</v>
      </c>
      <c r="X18" s="43">
        <f t="shared" si="7"/>
        <v>1.3201988610684263</v>
      </c>
      <c r="Y18" s="43">
        <f t="shared" si="8"/>
        <v>1.0358353269537479</v>
      </c>
      <c r="Z18" s="43">
        <v>1.27796756964827</v>
      </c>
      <c r="AA18" s="43">
        <f t="shared" si="15"/>
        <v>51957500</v>
      </c>
      <c r="AB18" s="43">
        <f t="shared" si="10"/>
        <v>1.0358353269537479</v>
      </c>
      <c r="AC18" s="43">
        <f t="shared" si="11"/>
        <v>1.0358353269537479</v>
      </c>
      <c r="AD18" s="43">
        <f t="shared" si="12"/>
        <v>1.2779675696482702</v>
      </c>
      <c r="AE18" s="43">
        <f t="shared" si="13"/>
        <v>66399999.999999985</v>
      </c>
      <c r="AF18" s="44"/>
    </row>
    <row r="19" spans="1:32" ht="39.4" customHeight="1">
      <c r="A19" s="46">
        <v>32062706</v>
      </c>
      <c r="B19" s="59" t="s">
        <v>2347</v>
      </c>
      <c r="C19" s="60" t="s">
        <v>1967</v>
      </c>
      <c r="D19" s="49"/>
      <c r="E19" s="49"/>
      <c r="F19" s="49">
        <f t="shared" si="0"/>
        <v>0</v>
      </c>
      <c r="G19" s="49">
        <v>101300000</v>
      </c>
      <c r="H19" s="49">
        <v>101300000</v>
      </c>
      <c r="I19" s="49">
        <v>101300000</v>
      </c>
      <c r="J19" s="49">
        <f t="shared" si="1"/>
        <v>1.2791211566386766</v>
      </c>
      <c r="K19" s="49">
        <v>77760000</v>
      </c>
      <c r="L19" s="49">
        <v>51435000</v>
      </c>
      <c r="M19" s="49">
        <v>73980000</v>
      </c>
      <c r="N19" s="49">
        <v>73980000</v>
      </c>
      <c r="O19" s="49">
        <f t="shared" si="2"/>
        <v>1.4383202099737533</v>
      </c>
      <c r="P19" s="49">
        <f t="shared" si="3"/>
        <v>0.95138888888888884</v>
      </c>
      <c r="Q19" s="49">
        <v>48600000</v>
      </c>
      <c r="R19" s="49">
        <v>73400000</v>
      </c>
      <c r="S19" s="49">
        <v>84410000</v>
      </c>
      <c r="T19" s="49">
        <f t="shared" si="4"/>
        <v>1.2000947755005331</v>
      </c>
      <c r="U19" s="49">
        <f t="shared" si="5"/>
        <v>1.0855195473251029</v>
      </c>
      <c r="V19" s="49"/>
      <c r="W19" s="49">
        <f t="shared" si="6"/>
        <v>79195000</v>
      </c>
      <c r="X19" s="49">
        <f t="shared" si="7"/>
        <v>1.3192074927371431</v>
      </c>
      <c r="Y19" s="49">
        <f t="shared" si="8"/>
        <v>1.018454218106996</v>
      </c>
      <c r="Z19" s="49">
        <v>1.2791211566386771</v>
      </c>
      <c r="AA19" s="49">
        <f t="shared" si="15"/>
        <v>79195000</v>
      </c>
      <c r="AB19" s="49">
        <f t="shared" si="10"/>
        <v>1.018454218106996</v>
      </c>
      <c r="AC19" s="49">
        <f t="shared" si="11"/>
        <v>1.018454218106996</v>
      </c>
      <c r="AD19" s="49">
        <f t="shared" si="12"/>
        <v>1.2791211566386766</v>
      </c>
      <c r="AE19" s="49">
        <f t="shared" si="13"/>
        <v>101300000.00000003</v>
      </c>
      <c r="AF19" s="50"/>
    </row>
    <row r="20" spans="1:32" ht="39.4" customHeight="1">
      <c r="A20" s="40">
        <v>32062707</v>
      </c>
      <c r="B20" s="57" t="s">
        <v>2348</v>
      </c>
      <c r="C20" s="58" t="s">
        <v>1967</v>
      </c>
      <c r="D20" s="43"/>
      <c r="E20" s="43"/>
      <c r="F20" s="43">
        <f t="shared" si="0"/>
        <v>0</v>
      </c>
      <c r="G20" s="43">
        <v>117600000</v>
      </c>
      <c r="H20" s="43">
        <v>117600000</v>
      </c>
      <c r="I20" s="43">
        <v>117600000</v>
      </c>
      <c r="J20" s="43">
        <f t="shared" si="1"/>
        <v>1.1187214611872147</v>
      </c>
      <c r="K20" s="43">
        <v>105120000</v>
      </c>
      <c r="L20" s="43">
        <v>60000000</v>
      </c>
      <c r="M20" s="43">
        <v>86250000</v>
      </c>
      <c r="N20" s="43">
        <v>86250000</v>
      </c>
      <c r="O20" s="43">
        <f t="shared" si="2"/>
        <v>1.4375</v>
      </c>
      <c r="P20" s="43">
        <f t="shared" si="3"/>
        <v>0.82049086757990863</v>
      </c>
      <c r="Q20" s="43">
        <v>71800000</v>
      </c>
      <c r="R20" s="43">
        <v>852000000</v>
      </c>
      <c r="S20" s="43">
        <v>97980000</v>
      </c>
      <c r="T20" s="43">
        <f t="shared" si="4"/>
        <v>1.2002449479485608</v>
      </c>
      <c r="U20" s="43">
        <f t="shared" si="5"/>
        <v>0.93207762557077622</v>
      </c>
      <c r="V20" s="43"/>
      <c r="W20" s="43">
        <f t="shared" si="6"/>
        <v>92115000</v>
      </c>
      <c r="X20" s="43">
        <f t="shared" si="7"/>
        <v>1.3188724739742805</v>
      </c>
      <c r="Y20" s="43">
        <f t="shared" si="8"/>
        <v>0.87628424657534243</v>
      </c>
      <c r="Z20" s="43">
        <v>1.1187214611872149</v>
      </c>
      <c r="AA20" s="43">
        <v>105120000</v>
      </c>
      <c r="AB20" s="43">
        <f t="shared" si="10"/>
        <v>1</v>
      </c>
      <c r="AC20" s="43">
        <f t="shared" si="11"/>
        <v>0.87628424657534243</v>
      </c>
      <c r="AD20" s="43">
        <f t="shared" si="12"/>
        <v>1.1187214611872147</v>
      </c>
      <c r="AE20" s="43">
        <f t="shared" si="13"/>
        <v>117600000.00000003</v>
      </c>
      <c r="AF20" s="44"/>
    </row>
    <row r="21" spans="1:32" ht="39.4" customHeight="1">
      <c r="A21" s="46">
        <v>32062708</v>
      </c>
      <c r="B21" s="59" t="s">
        <v>2349</v>
      </c>
      <c r="C21" s="60" t="s">
        <v>1967</v>
      </c>
      <c r="D21" s="49"/>
      <c r="E21" s="49"/>
      <c r="F21" s="49">
        <f t="shared" si="0"/>
        <v>0</v>
      </c>
      <c r="G21" s="49">
        <v>268100000</v>
      </c>
      <c r="H21" s="49">
        <v>268100000</v>
      </c>
      <c r="I21" s="49">
        <v>268100000</v>
      </c>
      <c r="J21" s="49">
        <f t="shared" si="1"/>
        <v>1.2775944435840312</v>
      </c>
      <c r="K21" s="49">
        <v>153600000</v>
      </c>
      <c r="L21" s="49">
        <v>151250000</v>
      </c>
      <c r="M21" s="49">
        <v>196250000</v>
      </c>
      <c r="N21" s="49">
        <v>196250000</v>
      </c>
      <c r="O21" s="49">
        <f t="shared" si="2"/>
        <v>1.2975206611570247</v>
      </c>
      <c r="P21" s="49">
        <f t="shared" si="3"/>
        <v>1.2776692708333333</v>
      </c>
      <c r="Q21" s="49">
        <v>130500000</v>
      </c>
      <c r="R21" s="49">
        <v>194300000</v>
      </c>
      <c r="S21" s="49">
        <v>223445000</v>
      </c>
      <c r="T21" s="49">
        <f t="shared" si="4"/>
        <v>1.1998478372753922</v>
      </c>
      <c r="U21" s="49">
        <f t="shared" si="5"/>
        <v>1.4547200520833334</v>
      </c>
      <c r="V21" s="49"/>
      <c r="W21" s="49">
        <f t="shared" si="6"/>
        <v>209847500</v>
      </c>
      <c r="X21" s="49">
        <f t="shared" si="7"/>
        <v>1.2486842492162085</v>
      </c>
      <c r="Y21" s="49">
        <f t="shared" si="8"/>
        <v>1.3661946614583333</v>
      </c>
      <c r="Z21" s="49">
        <v>1.277594443584031</v>
      </c>
      <c r="AA21" s="49">
        <f>W21</f>
        <v>209847500</v>
      </c>
      <c r="AB21" s="49">
        <f t="shared" si="10"/>
        <v>1.3661946614583333</v>
      </c>
      <c r="AC21" s="49">
        <f t="shared" si="11"/>
        <v>1.3661946614583333</v>
      </c>
      <c r="AD21" s="49">
        <f t="shared" si="12"/>
        <v>1.2775944435840312</v>
      </c>
      <c r="AE21" s="49">
        <f t="shared" si="13"/>
        <v>268099999.99999994</v>
      </c>
      <c r="AF21" s="50"/>
    </row>
    <row r="22" spans="1:32" ht="39.4" customHeight="1">
      <c r="A22" s="40">
        <v>32062709</v>
      </c>
      <c r="B22" s="57" t="s">
        <v>2350</v>
      </c>
      <c r="C22" s="58" t="s">
        <v>1967</v>
      </c>
      <c r="D22" s="43"/>
      <c r="E22" s="43"/>
      <c r="F22" s="43">
        <f t="shared" si="0"/>
        <v>0</v>
      </c>
      <c r="G22" s="43">
        <v>368900000</v>
      </c>
      <c r="H22" s="43">
        <v>368900000</v>
      </c>
      <c r="I22" s="43">
        <v>368900000</v>
      </c>
      <c r="J22" s="43">
        <f t="shared" si="1"/>
        <v>1.2778080863187247</v>
      </c>
      <c r="K22" s="43">
        <v>195960000</v>
      </c>
      <c r="L22" s="43">
        <v>207500000</v>
      </c>
      <c r="M22" s="43">
        <v>270000000</v>
      </c>
      <c r="N22" s="43">
        <v>270000000</v>
      </c>
      <c r="O22" s="43">
        <f t="shared" si="2"/>
        <v>1.3012048192771084</v>
      </c>
      <c r="P22" s="43">
        <f t="shared" si="3"/>
        <v>1.3778322106552359</v>
      </c>
      <c r="Q22" s="43">
        <v>185200000</v>
      </c>
      <c r="R22" s="43">
        <v>267300000</v>
      </c>
      <c r="S22" s="43">
        <v>307395000</v>
      </c>
      <c r="T22" s="43">
        <f t="shared" si="4"/>
        <v>1.2000845817270938</v>
      </c>
      <c r="U22" s="43">
        <f t="shared" si="5"/>
        <v>1.568661971830986</v>
      </c>
      <c r="V22" s="43"/>
      <c r="W22" s="43">
        <f t="shared" si="6"/>
        <v>288697500</v>
      </c>
      <c r="X22" s="43">
        <f t="shared" si="7"/>
        <v>1.2506447005021011</v>
      </c>
      <c r="Y22" s="43">
        <f t="shared" si="8"/>
        <v>1.4732470912431108</v>
      </c>
      <c r="Z22" s="43">
        <v>1.2778080863187249</v>
      </c>
      <c r="AA22" s="43">
        <f>K22*Y22</f>
        <v>288697500</v>
      </c>
      <c r="AB22" s="43">
        <f t="shared" si="10"/>
        <v>1.4732470912431108</v>
      </c>
      <c r="AC22" s="43">
        <f t="shared" si="11"/>
        <v>1.4732470912431108</v>
      </c>
      <c r="AD22" s="43">
        <f t="shared" si="12"/>
        <v>1.2778080863187247</v>
      </c>
      <c r="AE22" s="43">
        <f t="shared" si="13"/>
        <v>368900000.00000006</v>
      </c>
      <c r="AF22" s="44"/>
    </row>
    <row r="23" spans="1:32" ht="39.4" customHeight="1">
      <c r="A23" s="46">
        <v>32062710</v>
      </c>
      <c r="B23" s="59" t="s">
        <v>2351</v>
      </c>
      <c r="C23" s="60" t="s">
        <v>1967</v>
      </c>
      <c r="D23" s="49"/>
      <c r="E23" s="49"/>
      <c r="F23" s="49">
        <f t="shared" si="0"/>
        <v>0</v>
      </c>
      <c r="G23" s="49">
        <v>530600000</v>
      </c>
      <c r="H23" s="49">
        <v>530600000</v>
      </c>
      <c r="I23" s="49">
        <v>530600000</v>
      </c>
      <c r="J23" s="49">
        <f t="shared" si="1"/>
        <v>1.2785927286966474</v>
      </c>
      <c r="K23" s="49">
        <v>256800000</v>
      </c>
      <c r="L23" s="49">
        <v>299600000</v>
      </c>
      <c r="M23" s="49">
        <v>387800000</v>
      </c>
      <c r="N23" s="49">
        <v>387800000</v>
      </c>
      <c r="O23" s="49">
        <f t="shared" si="2"/>
        <v>1.294392523364486</v>
      </c>
      <c r="P23" s="49">
        <f t="shared" si="3"/>
        <v>1.5101246105919004</v>
      </c>
      <c r="Q23" s="49">
        <v>223300000</v>
      </c>
      <c r="R23" s="49">
        <v>384500000</v>
      </c>
      <c r="S23" s="49">
        <v>442175000</v>
      </c>
      <c r="T23" s="49">
        <f t="shared" si="4"/>
        <v>1.1999773845197037</v>
      </c>
      <c r="U23" s="49">
        <f t="shared" si="5"/>
        <v>1.7218652647975077</v>
      </c>
      <c r="V23" s="49"/>
      <c r="W23" s="49">
        <f t="shared" si="6"/>
        <v>414987500</v>
      </c>
      <c r="X23" s="49">
        <f t="shared" si="7"/>
        <v>1.2471849539420949</v>
      </c>
      <c r="Y23" s="49">
        <f t="shared" si="8"/>
        <v>1.615994937694704</v>
      </c>
      <c r="Z23" s="49">
        <v>1.278592728696647</v>
      </c>
      <c r="AA23" s="49">
        <v>414987500</v>
      </c>
      <c r="AB23" s="49">
        <f t="shared" si="10"/>
        <v>1.615994937694704</v>
      </c>
      <c r="AC23" s="49">
        <f t="shared" si="11"/>
        <v>1.615994937694704</v>
      </c>
      <c r="AD23" s="49">
        <f t="shared" si="12"/>
        <v>1.2785927286966474</v>
      </c>
      <c r="AE23" s="49">
        <f t="shared" si="13"/>
        <v>530599999.99999976</v>
      </c>
      <c r="AF23" s="50"/>
    </row>
    <row r="24" spans="1:32" ht="39.4" customHeight="1">
      <c r="A24" s="40">
        <v>32062711</v>
      </c>
      <c r="B24" s="57" t="s">
        <v>2352</v>
      </c>
      <c r="C24" s="58" t="s">
        <v>1967</v>
      </c>
      <c r="D24" s="43"/>
      <c r="E24" s="43"/>
      <c r="F24" s="43">
        <f t="shared" si="0"/>
        <v>0</v>
      </c>
      <c r="G24" s="43">
        <v>537800000</v>
      </c>
      <c r="H24" s="43">
        <v>537800000</v>
      </c>
      <c r="I24" s="43">
        <v>537800000</v>
      </c>
      <c r="J24" s="43">
        <f t="shared" si="1"/>
        <v>1.2778064876359512</v>
      </c>
      <c r="K24" s="43">
        <v>295680000</v>
      </c>
      <c r="L24" s="43">
        <v>303600000</v>
      </c>
      <c r="M24" s="43">
        <v>393600000</v>
      </c>
      <c r="N24" s="43">
        <v>393600000</v>
      </c>
      <c r="O24" s="43">
        <f t="shared" si="2"/>
        <v>1.2964426877470356</v>
      </c>
      <c r="P24" s="43">
        <f t="shared" si="3"/>
        <v>1.3311688311688312</v>
      </c>
      <c r="Q24" s="43">
        <v>250800000</v>
      </c>
      <c r="R24" s="43">
        <v>389700000</v>
      </c>
      <c r="S24" s="43">
        <v>448155000</v>
      </c>
      <c r="T24" s="43">
        <f t="shared" si="4"/>
        <v>1.2000312391917975</v>
      </c>
      <c r="U24" s="43">
        <f t="shared" si="5"/>
        <v>1.5156757305194806</v>
      </c>
      <c r="V24" s="43"/>
      <c r="W24" s="43">
        <f t="shared" si="6"/>
        <v>420877500</v>
      </c>
      <c r="X24" s="43">
        <f t="shared" si="7"/>
        <v>1.2482369634694166</v>
      </c>
      <c r="Y24" s="43">
        <f t="shared" si="8"/>
        <v>1.4234222808441559</v>
      </c>
      <c r="Z24" s="43">
        <v>1.2778064876359509</v>
      </c>
      <c r="AA24" s="43">
        <v>420877500</v>
      </c>
      <c r="AB24" s="43">
        <f t="shared" si="10"/>
        <v>1.4234222808441559</v>
      </c>
      <c r="AC24" s="43">
        <f t="shared" si="11"/>
        <v>1.4234222808441559</v>
      </c>
      <c r="AD24" s="43">
        <f t="shared" si="12"/>
        <v>1.2778064876359512</v>
      </c>
      <c r="AE24" s="43">
        <f t="shared" si="13"/>
        <v>537800000</v>
      </c>
      <c r="AF24" s="44"/>
    </row>
    <row r="25" spans="1:32" ht="39.4" customHeight="1">
      <c r="A25" s="46">
        <v>32062712</v>
      </c>
      <c r="B25" s="59" t="s">
        <v>2353</v>
      </c>
      <c r="C25" s="60" t="s">
        <v>1967</v>
      </c>
      <c r="D25" s="49"/>
      <c r="E25" s="49"/>
      <c r="F25" s="49">
        <f t="shared" si="0"/>
        <v>0</v>
      </c>
      <c r="G25" s="49">
        <v>688700000</v>
      </c>
      <c r="H25" s="49">
        <v>688700000</v>
      </c>
      <c r="I25" s="49">
        <v>688700000</v>
      </c>
      <c r="J25" s="49">
        <f t="shared" si="1"/>
        <v>1.2779143665630655</v>
      </c>
      <c r="K25" s="49">
        <v>369600000</v>
      </c>
      <c r="L25" s="49">
        <v>388800000</v>
      </c>
      <c r="M25" s="49">
        <v>504000000</v>
      </c>
      <c r="N25" s="49">
        <v>504000000</v>
      </c>
      <c r="O25" s="49">
        <f t="shared" si="2"/>
        <v>1.2962962962962963</v>
      </c>
      <c r="P25" s="49">
        <f t="shared" si="3"/>
        <v>1.3636363636363635</v>
      </c>
      <c r="Q25" s="49">
        <v>316800000</v>
      </c>
      <c r="R25" s="49">
        <v>499000000</v>
      </c>
      <c r="S25" s="49">
        <v>573850000</v>
      </c>
      <c r="T25" s="49">
        <f t="shared" si="4"/>
        <v>1.2001394092532891</v>
      </c>
      <c r="U25" s="49">
        <f t="shared" si="5"/>
        <v>1.5526244588744589</v>
      </c>
      <c r="V25" s="49"/>
      <c r="W25" s="49">
        <f t="shared" si="6"/>
        <v>538925000</v>
      </c>
      <c r="X25" s="49">
        <f t="shared" si="7"/>
        <v>1.2482178527747927</v>
      </c>
      <c r="Y25" s="49">
        <f t="shared" si="8"/>
        <v>1.4581304112554112</v>
      </c>
      <c r="Z25" s="49">
        <v>1.277914366563065</v>
      </c>
      <c r="AA25" s="49">
        <v>538925000</v>
      </c>
      <c r="AB25" s="49">
        <f t="shared" si="10"/>
        <v>1.4581304112554112</v>
      </c>
      <c r="AC25" s="49">
        <f t="shared" si="11"/>
        <v>1.4581304112554112</v>
      </c>
      <c r="AD25" s="49">
        <f t="shared" si="12"/>
        <v>1.2779143665630655</v>
      </c>
      <c r="AE25" s="49">
        <f t="shared" si="13"/>
        <v>688699999.99999976</v>
      </c>
      <c r="AF25" s="50"/>
    </row>
    <row r="26" spans="1:32" ht="39.4" customHeight="1">
      <c r="A26" s="40">
        <v>32062713</v>
      </c>
      <c r="B26" s="57" t="s">
        <v>2354</v>
      </c>
      <c r="C26" s="58" t="s">
        <v>1967</v>
      </c>
      <c r="D26" s="43"/>
      <c r="E26" s="43"/>
      <c r="F26" s="43">
        <f t="shared" si="0"/>
        <v>0</v>
      </c>
      <c r="G26" s="43">
        <v>934600000</v>
      </c>
      <c r="H26" s="43">
        <v>934600000</v>
      </c>
      <c r="I26" s="43">
        <v>934600000</v>
      </c>
      <c r="J26" s="43">
        <f t="shared" si="1"/>
        <v>1.2778408236371841</v>
      </c>
      <c r="K26" s="43">
        <v>513600000</v>
      </c>
      <c r="L26" s="43">
        <v>526800000</v>
      </c>
      <c r="M26" s="43">
        <v>684000000</v>
      </c>
      <c r="N26" s="43">
        <v>684000000</v>
      </c>
      <c r="O26" s="43">
        <f t="shared" si="2"/>
        <v>1.2984054669703873</v>
      </c>
      <c r="P26" s="43">
        <f t="shared" si="3"/>
        <v>1.3317757009345794</v>
      </c>
      <c r="Q26" s="43">
        <v>442200000</v>
      </c>
      <c r="R26" s="43">
        <v>677200000</v>
      </c>
      <c r="S26" s="43">
        <v>778780000</v>
      </c>
      <c r="T26" s="43">
        <f t="shared" si="4"/>
        <v>1.2000821798197181</v>
      </c>
      <c r="U26" s="43">
        <f t="shared" si="5"/>
        <v>1.5163161993769469</v>
      </c>
      <c r="V26" s="43"/>
      <c r="W26" s="43">
        <f t="shared" si="6"/>
        <v>731390000</v>
      </c>
      <c r="X26" s="43">
        <f t="shared" si="7"/>
        <v>1.2492438233950527</v>
      </c>
      <c r="Y26" s="43">
        <f t="shared" si="8"/>
        <v>1.4240459501557632</v>
      </c>
      <c r="Z26" s="43">
        <v>1.2778408236371841</v>
      </c>
      <c r="AA26" s="43">
        <v>731390000</v>
      </c>
      <c r="AB26" s="43">
        <f t="shared" si="10"/>
        <v>1.4240459501557632</v>
      </c>
      <c r="AC26" s="43">
        <f t="shared" si="11"/>
        <v>1.4240459501557632</v>
      </c>
      <c r="AD26" s="43">
        <f t="shared" si="12"/>
        <v>1.2778408236371841</v>
      </c>
      <c r="AE26" s="43">
        <f t="shared" si="13"/>
        <v>934600000.00000012</v>
      </c>
      <c r="AF26" s="44"/>
    </row>
    <row r="27" spans="1:32" ht="39.4" customHeight="1">
      <c r="A27" s="46">
        <v>32062714</v>
      </c>
      <c r="B27" s="59" t="s">
        <v>2355</v>
      </c>
      <c r="C27" s="60" t="s">
        <v>1967</v>
      </c>
      <c r="D27" s="49"/>
      <c r="E27" s="49"/>
      <c r="F27" s="49">
        <f t="shared" si="0"/>
        <v>0</v>
      </c>
      <c r="G27" s="49">
        <v>1166600000</v>
      </c>
      <c r="H27" s="49">
        <v>1166600000</v>
      </c>
      <c r="I27" s="49">
        <v>1166600000</v>
      </c>
      <c r="J27" s="49">
        <f t="shared" si="1"/>
        <v>1.3267914983440696</v>
      </c>
      <c r="K27" s="49">
        <v>619200000</v>
      </c>
      <c r="L27" s="49"/>
      <c r="M27" s="49"/>
      <c r="N27" s="49"/>
      <c r="O27" s="49" t="e">
        <f t="shared" si="2"/>
        <v>#DIV/0!</v>
      </c>
      <c r="P27" s="49">
        <f t="shared" si="3"/>
        <v>0</v>
      </c>
      <c r="Q27" s="49">
        <v>510000000</v>
      </c>
      <c r="R27" s="49">
        <v>760000000</v>
      </c>
      <c r="S27" s="49">
        <v>880000000</v>
      </c>
      <c r="T27" s="49">
        <f t="shared" si="4"/>
        <v>1.3256818181818182</v>
      </c>
      <c r="U27" s="49">
        <f t="shared" si="5"/>
        <v>1.421188630490956</v>
      </c>
      <c r="V27" s="49"/>
      <c r="W27" s="49">
        <f t="shared" si="6"/>
        <v>440000000</v>
      </c>
      <c r="X27" s="49" t="e">
        <f t="shared" si="7"/>
        <v>#DIV/0!</v>
      </c>
      <c r="Y27" s="49">
        <f t="shared" si="8"/>
        <v>0.710594315245478</v>
      </c>
      <c r="Z27" s="49"/>
      <c r="AA27" s="49">
        <v>879264000</v>
      </c>
      <c r="AB27" s="49">
        <f t="shared" si="10"/>
        <v>1.42</v>
      </c>
      <c r="AC27" s="49">
        <f t="shared" si="11"/>
        <v>0.710594315245478</v>
      </c>
      <c r="AD27" s="49">
        <f t="shared" si="12"/>
        <v>1.3267914983440696</v>
      </c>
      <c r="AE27" s="49">
        <f>AA27*1.28</f>
        <v>1125457920</v>
      </c>
      <c r="AF27" s="50"/>
    </row>
    <row r="28" spans="1:32" ht="39.4" customHeight="1">
      <c r="A28" s="40">
        <v>32062715</v>
      </c>
      <c r="B28" s="57" t="s">
        <v>2356</v>
      </c>
      <c r="C28" s="58" t="s">
        <v>1967</v>
      </c>
      <c r="D28" s="43"/>
      <c r="E28" s="43"/>
      <c r="F28" s="43">
        <f t="shared" si="0"/>
        <v>0</v>
      </c>
      <c r="G28" s="43">
        <v>1166600000</v>
      </c>
      <c r="H28" s="43">
        <v>1166600000</v>
      </c>
      <c r="I28" s="43">
        <v>1166600000</v>
      </c>
      <c r="J28" s="43">
        <f t="shared" si="1"/>
        <v>1.2773388955496794</v>
      </c>
      <c r="K28" s="43">
        <v>711600000</v>
      </c>
      <c r="L28" s="43">
        <v>657600000</v>
      </c>
      <c r="M28" s="43">
        <v>854400000</v>
      </c>
      <c r="N28" s="43">
        <v>854400000</v>
      </c>
      <c r="O28" s="43">
        <f t="shared" si="2"/>
        <v>1.2992700729927007</v>
      </c>
      <c r="P28" s="43">
        <f t="shared" si="3"/>
        <v>1.2006745362563238</v>
      </c>
      <c r="Q28" s="43">
        <v>561000000</v>
      </c>
      <c r="R28" s="43">
        <v>845400000</v>
      </c>
      <c r="S28" s="43">
        <v>972210000</v>
      </c>
      <c r="T28" s="43">
        <f t="shared" si="4"/>
        <v>1.1999465136133141</v>
      </c>
      <c r="U28" s="43">
        <f t="shared" si="5"/>
        <v>1.366231028667791</v>
      </c>
      <c r="V28" s="43"/>
      <c r="W28" s="43">
        <f t="shared" si="6"/>
        <v>913305000</v>
      </c>
      <c r="X28" s="43">
        <f t="shared" si="7"/>
        <v>1.2496082933030075</v>
      </c>
      <c r="Y28" s="43">
        <f t="shared" si="8"/>
        <v>1.2834527824620574</v>
      </c>
      <c r="Z28" s="43">
        <v>1.2773388955496789</v>
      </c>
      <c r="AA28" s="43">
        <f>W28</f>
        <v>913305000</v>
      </c>
      <c r="AB28" s="43">
        <f t="shared" si="10"/>
        <v>1.2834527824620574</v>
      </c>
      <c r="AC28" s="43">
        <f t="shared" si="11"/>
        <v>1.2834527824620574</v>
      </c>
      <c r="AD28" s="43">
        <f t="shared" si="12"/>
        <v>1.2773388955496794</v>
      </c>
      <c r="AE28" s="43">
        <f t="shared" ref="AE28:AE57" si="16">AA28*Z28</f>
        <v>1166599999.9999995</v>
      </c>
      <c r="AF28" s="44"/>
    </row>
    <row r="29" spans="1:32" ht="39.4" customHeight="1">
      <c r="A29" s="46">
        <v>32062801</v>
      </c>
      <c r="B29" s="59" t="s">
        <v>2357</v>
      </c>
      <c r="C29" s="60" t="s">
        <v>1967</v>
      </c>
      <c r="D29" s="49">
        <v>37700000</v>
      </c>
      <c r="E29" s="49">
        <v>37700000</v>
      </c>
      <c r="F29" s="49">
        <f t="shared" si="0"/>
        <v>1.3780989657510687</v>
      </c>
      <c r="G29" s="49">
        <v>43630000</v>
      </c>
      <c r="H29" s="49">
        <v>43630000</v>
      </c>
      <c r="I29" s="49">
        <v>43630000</v>
      </c>
      <c r="J29" s="49">
        <f t="shared" si="1"/>
        <v>1.5948662566503748</v>
      </c>
      <c r="K29" s="49">
        <v>22200000</v>
      </c>
      <c r="L29" s="49">
        <v>23800000</v>
      </c>
      <c r="M29" s="49">
        <v>30100000</v>
      </c>
      <c r="N29" s="49">
        <v>30100000</v>
      </c>
      <c r="O29" s="49">
        <f t="shared" si="2"/>
        <v>1.2647058823529411</v>
      </c>
      <c r="P29" s="49">
        <f t="shared" si="3"/>
        <v>1.3558558558558558</v>
      </c>
      <c r="Q29" s="49">
        <v>23960000</v>
      </c>
      <c r="R29" s="49">
        <v>31620000</v>
      </c>
      <c r="S29" s="49">
        <v>36363000</v>
      </c>
      <c r="T29" s="49">
        <f t="shared" si="4"/>
        <v>1.1998459973049529</v>
      </c>
      <c r="U29" s="49">
        <f t="shared" si="5"/>
        <v>1.6379729729729731</v>
      </c>
      <c r="V29" s="49"/>
      <c r="W29" s="49">
        <f t="shared" si="6"/>
        <v>33231500</v>
      </c>
      <c r="X29" s="49">
        <f t="shared" si="7"/>
        <v>1.2322759398289471</v>
      </c>
      <c r="Y29" s="49">
        <f t="shared" si="8"/>
        <v>1.4969144144144144</v>
      </c>
      <c r="Z29" s="49">
        <v>1.38</v>
      </c>
      <c r="AA29" s="49">
        <f>K29*X29</f>
        <v>27356525.864202626</v>
      </c>
      <c r="AB29" s="49">
        <f t="shared" si="10"/>
        <v>1.2322759398289471</v>
      </c>
      <c r="AC29" s="49">
        <f t="shared" si="11"/>
        <v>1.4969144144144144</v>
      </c>
      <c r="AD29" s="49">
        <f t="shared" si="12"/>
        <v>1.5948662566503748</v>
      </c>
      <c r="AE29" s="49">
        <f t="shared" si="16"/>
        <v>37752005.692599624</v>
      </c>
      <c r="AF29" s="50"/>
    </row>
    <row r="30" spans="1:32" ht="39.4" customHeight="1">
      <c r="A30" s="40">
        <v>32062802</v>
      </c>
      <c r="B30" s="57" t="s">
        <v>2358</v>
      </c>
      <c r="C30" s="58" t="s">
        <v>1967</v>
      </c>
      <c r="D30" s="43">
        <v>45500000</v>
      </c>
      <c r="E30" s="43">
        <v>45500000</v>
      </c>
      <c r="F30" s="43">
        <f t="shared" si="0"/>
        <v>1.3192337016497262</v>
      </c>
      <c r="G30" s="43">
        <v>58660000</v>
      </c>
      <c r="H30" s="43">
        <v>58660000</v>
      </c>
      <c r="I30" s="43">
        <v>58660000</v>
      </c>
      <c r="J30" s="43">
        <f t="shared" si="1"/>
        <v>1.7007966799730316</v>
      </c>
      <c r="K30" s="43">
        <v>27960000</v>
      </c>
      <c r="L30" s="43">
        <v>32600000</v>
      </c>
      <c r="M30" s="43">
        <v>41300000</v>
      </c>
      <c r="N30" s="43">
        <v>41300000</v>
      </c>
      <c r="O30" s="43">
        <f t="shared" si="2"/>
        <v>1.2668711656441718</v>
      </c>
      <c r="P30" s="43">
        <f t="shared" si="3"/>
        <v>1.4771101573676682</v>
      </c>
      <c r="Q30" s="43">
        <v>32560000</v>
      </c>
      <c r="R30" s="43">
        <v>42500000</v>
      </c>
      <c r="S30" s="43">
        <v>48875000</v>
      </c>
      <c r="T30" s="43">
        <f t="shared" si="4"/>
        <v>1.2002046035805627</v>
      </c>
      <c r="U30" s="43">
        <f t="shared" si="5"/>
        <v>1.7480329041487839</v>
      </c>
      <c r="V30" s="43"/>
      <c r="W30" s="43">
        <f t="shared" si="6"/>
        <v>45087500</v>
      </c>
      <c r="X30" s="43">
        <f t="shared" si="7"/>
        <v>1.2335378846123672</v>
      </c>
      <c r="Y30" s="43">
        <f t="shared" si="8"/>
        <v>1.612571530758226</v>
      </c>
      <c r="Z30" s="43">
        <v>1.32</v>
      </c>
      <c r="AA30" s="43">
        <f>K30*X30</f>
        <v>34489719.253761791</v>
      </c>
      <c r="AB30" s="43">
        <f t="shared" si="10"/>
        <v>1.2335378846123672</v>
      </c>
      <c r="AC30" s="43">
        <f t="shared" si="11"/>
        <v>1.612571530758226</v>
      </c>
      <c r="AD30" s="43">
        <f t="shared" si="12"/>
        <v>1.7007966799730316</v>
      </c>
      <c r="AE30" s="43">
        <f t="shared" si="16"/>
        <v>45526429.414965563</v>
      </c>
      <c r="AF30" s="44"/>
    </row>
    <row r="31" spans="1:32" ht="39.4" customHeight="1">
      <c r="A31" s="46">
        <v>32062803</v>
      </c>
      <c r="B31" s="59" t="s">
        <v>2359</v>
      </c>
      <c r="C31" s="60" t="s">
        <v>1967</v>
      </c>
      <c r="D31" s="49">
        <v>53300000</v>
      </c>
      <c r="E31" s="49">
        <v>53300000</v>
      </c>
      <c r="F31" s="49">
        <f t="shared" si="0"/>
        <v>1.155793870327078</v>
      </c>
      <c r="G31" s="49">
        <v>77420000</v>
      </c>
      <c r="H31" s="49">
        <v>77420000</v>
      </c>
      <c r="I31" s="49">
        <v>77420000</v>
      </c>
      <c r="J31" s="49">
        <f t="shared" si="1"/>
        <v>1.6788285448540785</v>
      </c>
      <c r="K31" s="49">
        <v>37440000</v>
      </c>
      <c r="L31" s="49">
        <v>42900000</v>
      </c>
      <c r="M31" s="49">
        <v>54200000</v>
      </c>
      <c r="N31" s="49">
        <v>54200000</v>
      </c>
      <c r="O31" s="49">
        <f t="shared" si="2"/>
        <v>1.2634032634032635</v>
      </c>
      <c r="P31" s="49">
        <f t="shared" si="3"/>
        <v>1.4476495726495726</v>
      </c>
      <c r="Q31" s="49">
        <v>42900000</v>
      </c>
      <c r="R31" s="49">
        <v>56100000</v>
      </c>
      <c r="S31" s="49">
        <v>64515000</v>
      </c>
      <c r="T31" s="49">
        <f t="shared" si="4"/>
        <v>1.2000310005425094</v>
      </c>
      <c r="U31" s="49">
        <f t="shared" si="5"/>
        <v>1.7231570512820513</v>
      </c>
      <c r="V31" s="49"/>
      <c r="W31" s="49">
        <f t="shared" si="6"/>
        <v>59357500</v>
      </c>
      <c r="X31" s="49">
        <f t="shared" si="7"/>
        <v>1.2317171319728866</v>
      </c>
      <c r="Y31" s="49">
        <f t="shared" si="8"/>
        <v>1.585403311965812</v>
      </c>
      <c r="Z31" s="49">
        <v>1.2</v>
      </c>
      <c r="AA31" s="49">
        <f>K31*X31</f>
        <v>46115489.421064876</v>
      </c>
      <c r="AB31" s="49">
        <f t="shared" si="10"/>
        <v>1.2317171319728866</v>
      </c>
      <c r="AC31" s="49">
        <f t="shared" si="11"/>
        <v>1.585403311965812</v>
      </c>
      <c r="AD31" s="49">
        <f t="shared" si="12"/>
        <v>1.6788285448540785</v>
      </c>
      <c r="AE31" s="49">
        <f t="shared" si="16"/>
        <v>55338587.305277847</v>
      </c>
      <c r="AF31" s="50"/>
    </row>
    <row r="32" spans="1:32" ht="39.4" customHeight="1">
      <c r="A32" s="40">
        <v>32062804</v>
      </c>
      <c r="B32" s="57" t="s">
        <v>2360</v>
      </c>
      <c r="C32" s="58" t="s">
        <v>1967</v>
      </c>
      <c r="D32" s="43">
        <v>74000000</v>
      </c>
      <c r="E32" s="43">
        <v>74000000</v>
      </c>
      <c r="F32" s="43">
        <f t="shared" si="0"/>
        <v>1.111461766837319</v>
      </c>
      <c r="G32" s="43">
        <v>140760000</v>
      </c>
      <c r="H32" s="43">
        <v>140760000</v>
      </c>
      <c r="I32" s="43">
        <v>140760000</v>
      </c>
      <c r="J32" s="43">
        <f t="shared" si="1"/>
        <v>2.1141805175678519</v>
      </c>
      <c r="K32" s="43">
        <v>54000000</v>
      </c>
      <c r="L32" s="43">
        <v>77100000</v>
      </c>
      <c r="M32" s="43">
        <v>97600000</v>
      </c>
      <c r="N32" s="43">
        <v>97600000</v>
      </c>
      <c r="O32" s="43">
        <f t="shared" si="2"/>
        <v>1.2658884565499351</v>
      </c>
      <c r="P32" s="43">
        <f t="shared" si="3"/>
        <v>1.8074074074074074</v>
      </c>
      <c r="Q32" s="43">
        <v>77000000</v>
      </c>
      <c r="R32" s="43">
        <v>102000000</v>
      </c>
      <c r="S32" s="43">
        <v>117300000</v>
      </c>
      <c r="T32" s="43">
        <f t="shared" si="4"/>
        <v>1.2</v>
      </c>
      <c r="U32" s="43">
        <f t="shared" si="5"/>
        <v>2.1722222222222221</v>
      </c>
      <c r="V32" s="43"/>
      <c r="W32" s="43">
        <f t="shared" si="6"/>
        <v>107450000</v>
      </c>
      <c r="X32" s="43">
        <f t="shared" si="7"/>
        <v>1.2329442282749676</v>
      </c>
      <c r="Y32" s="43">
        <f t="shared" si="8"/>
        <v>1.9898148148148149</v>
      </c>
      <c r="Z32" s="43">
        <v>1.3</v>
      </c>
      <c r="AA32" s="43">
        <f>K32*X32</f>
        <v>66578988.326848254</v>
      </c>
      <c r="AB32" s="43">
        <f t="shared" si="10"/>
        <v>1.2329442282749676</v>
      </c>
      <c r="AC32" s="43">
        <f t="shared" si="11"/>
        <v>1.9898148148148149</v>
      </c>
      <c r="AD32" s="43">
        <f t="shared" si="12"/>
        <v>2.1141805175678519</v>
      </c>
      <c r="AE32" s="43">
        <f t="shared" si="16"/>
        <v>86552684.824902728</v>
      </c>
      <c r="AF32" s="44"/>
    </row>
    <row r="33" spans="1:32" ht="39.4" customHeight="1">
      <c r="A33" s="46">
        <v>32062805</v>
      </c>
      <c r="B33" s="59" t="s">
        <v>2361</v>
      </c>
      <c r="C33" s="60" t="s">
        <v>1967</v>
      </c>
      <c r="D33" s="49">
        <v>105200000</v>
      </c>
      <c r="E33" s="49">
        <v>105200000</v>
      </c>
      <c r="F33" s="49">
        <f t="shared" si="0"/>
        <v>1.2226331959654442</v>
      </c>
      <c r="G33" s="49">
        <v>147800000</v>
      </c>
      <c r="H33" s="49">
        <v>147800000</v>
      </c>
      <c r="I33" s="49">
        <v>147800000</v>
      </c>
      <c r="J33" s="49">
        <f t="shared" si="1"/>
        <v>1.7177299084001203</v>
      </c>
      <c r="K33" s="49">
        <v>69840000</v>
      </c>
      <c r="L33" s="49">
        <v>80300000</v>
      </c>
      <c r="M33" s="49">
        <v>101500000</v>
      </c>
      <c r="N33" s="49">
        <v>101500000</v>
      </c>
      <c r="O33" s="49">
        <f t="shared" si="2"/>
        <v>1.2640099626400996</v>
      </c>
      <c r="P33" s="49">
        <f t="shared" si="3"/>
        <v>1.4533218785796105</v>
      </c>
      <c r="Q33" s="49">
        <v>79420000</v>
      </c>
      <c r="R33" s="49">
        <v>107100000</v>
      </c>
      <c r="S33" s="49">
        <v>123165000</v>
      </c>
      <c r="T33" s="49">
        <f t="shared" si="4"/>
        <v>1.2000162383794097</v>
      </c>
      <c r="U33" s="49">
        <f t="shared" si="5"/>
        <v>1.7635309278350515</v>
      </c>
      <c r="V33" s="49"/>
      <c r="W33" s="49">
        <f t="shared" si="6"/>
        <v>112332500</v>
      </c>
      <c r="X33" s="49">
        <f t="shared" si="7"/>
        <v>1.2320131005097545</v>
      </c>
      <c r="Y33" s="49">
        <f t="shared" si="8"/>
        <v>1.608426403207331</v>
      </c>
      <c r="Z33" s="49">
        <v>1.25</v>
      </c>
      <c r="AA33" s="49">
        <f>K33*X33</f>
        <v>86043794.939601257</v>
      </c>
      <c r="AB33" s="49">
        <f t="shared" si="10"/>
        <v>1.2320131005097545</v>
      </c>
      <c r="AC33" s="49">
        <f t="shared" si="11"/>
        <v>1.608426403207331</v>
      </c>
      <c r="AD33" s="49">
        <f t="shared" si="12"/>
        <v>1.7177299084001203</v>
      </c>
      <c r="AE33" s="49">
        <f t="shared" si="16"/>
        <v>107554743.67450157</v>
      </c>
      <c r="AF33" s="50"/>
    </row>
    <row r="34" spans="1:32" ht="39.4" customHeight="1">
      <c r="A34" s="40">
        <v>32062901</v>
      </c>
      <c r="B34" s="57" t="s">
        <v>2362</v>
      </c>
      <c r="C34" s="58" t="s">
        <v>1967</v>
      </c>
      <c r="D34" s="43">
        <v>37700000</v>
      </c>
      <c r="E34" s="43">
        <v>37700000</v>
      </c>
      <c r="F34" s="43">
        <f t="shared" si="0"/>
        <v>0.95491388044579539</v>
      </c>
      <c r="G34" s="43">
        <v>56740000</v>
      </c>
      <c r="H34" s="43">
        <v>56740000</v>
      </c>
      <c r="I34" s="43">
        <v>56740000</v>
      </c>
      <c r="J34" s="43">
        <f t="shared" si="1"/>
        <v>1.4371833839918946</v>
      </c>
      <c r="K34" s="43">
        <v>28200000</v>
      </c>
      <c r="L34" s="43"/>
      <c r="M34" s="43"/>
      <c r="N34" s="43"/>
      <c r="O34" s="43" t="e">
        <f t="shared" si="2"/>
        <v>#DIV/0!</v>
      </c>
      <c r="P34" s="43">
        <f t="shared" si="3"/>
        <v>0</v>
      </c>
      <c r="Q34" s="43">
        <v>31150000</v>
      </c>
      <c r="R34" s="43">
        <v>41110000</v>
      </c>
      <c r="S34" s="43">
        <v>47276500</v>
      </c>
      <c r="T34" s="43">
        <f t="shared" si="4"/>
        <v>1.2001734476960011</v>
      </c>
      <c r="U34" s="43">
        <f t="shared" si="5"/>
        <v>1.6764716312056738</v>
      </c>
      <c r="V34" s="43"/>
      <c r="W34" s="43">
        <f t="shared" si="6"/>
        <v>23638250</v>
      </c>
      <c r="X34" s="43" t="e">
        <f t="shared" si="7"/>
        <v>#DIV/0!</v>
      </c>
      <c r="Y34" s="43">
        <f t="shared" si="8"/>
        <v>0.83823581560283689</v>
      </c>
      <c r="Z34" s="43">
        <f>(J34+F34)/2</f>
        <v>1.1960486322188451</v>
      </c>
      <c r="AA34" s="43">
        <f>K34*1.4</f>
        <v>39480000</v>
      </c>
      <c r="AB34" s="43">
        <f t="shared" si="10"/>
        <v>1.4</v>
      </c>
      <c r="AC34" s="43">
        <f t="shared" si="11"/>
        <v>0.83823581560283689</v>
      </c>
      <c r="AD34" s="43">
        <f t="shared" si="12"/>
        <v>1.4371833839918946</v>
      </c>
      <c r="AE34" s="43">
        <f t="shared" si="16"/>
        <v>47220000</v>
      </c>
      <c r="AF34" s="44"/>
    </row>
    <row r="35" spans="1:32" ht="39.4" customHeight="1">
      <c r="A35" s="46">
        <v>32062902</v>
      </c>
      <c r="B35" s="59" t="s">
        <v>2363</v>
      </c>
      <c r="C35" s="60" t="s">
        <v>1967</v>
      </c>
      <c r="D35" s="49">
        <v>45500000</v>
      </c>
      <c r="E35" s="49">
        <v>45500000</v>
      </c>
      <c r="F35" s="49">
        <f t="shared" ref="F35:F66" si="17">E35/AA35</f>
        <v>1.0416666666666667</v>
      </c>
      <c r="G35" s="49">
        <v>59480000</v>
      </c>
      <c r="H35" s="49">
        <v>59480000</v>
      </c>
      <c r="I35" s="49">
        <v>59480000</v>
      </c>
      <c r="J35" s="49">
        <f t="shared" ref="J35:J66" si="18">I35/AA35</f>
        <v>1.3617216117216118</v>
      </c>
      <c r="K35" s="49">
        <v>31200000</v>
      </c>
      <c r="L35" s="49"/>
      <c r="M35" s="49"/>
      <c r="N35" s="49"/>
      <c r="O35" s="49" t="e">
        <f t="shared" ref="O35:O66" si="19">(N35/L35)</f>
        <v>#DIV/0!</v>
      </c>
      <c r="P35" s="49">
        <f t="shared" ref="P35:P66" si="20">(N35/K35)</f>
        <v>0</v>
      </c>
      <c r="Q35" s="49">
        <v>32700000</v>
      </c>
      <c r="R35" s="49">
        <v>43100000</v>
      </c>
      <c r="S35" s="49">
        <v>49565000</v>
      </c>
      <c r="T35" s="49">
        <f t="shared" ref="T35:T66" si="21">G35/S35</f>
        <v>1.2000403510541713</v>
      </c>
      <c r="U35" s="49">
        <f t="shared" ref="U35:U66" si="22">S35/K35</f>
        <v>1.5886217948717949</v>
      </c>
      <c r="V35" s="49"/>
      <c r="W35" s="49">
        <f t="shared" ref="W35:W66" si="23">(S35+N35)/2</f>
        <v>24782500</v>
      </c>
      <c r="X35" s="49" t="e">
        <f t="shared" ref="X35:X66" si="24">(T35+O35)/2</f>
        <v>#DIV/0!</v>
      </c>
      <c r="Y35" s="49">
        <f t="shared" ref="Y35:Y66" si="25">W35/K35</f>
        <v>0.79431089743589745</v>
      </c>
      <c r="Z35" s="49">
        <f>(J35+F35)/2</f>
        <v>1.2016941391941391</v>
      </c>
      <c r="AA35" s="49">
        <f>K35*1.4</f>
        <v>43680000</v>
      </c>
      <c r="AB35" s="49">
        <f t="shared" ref="AB35:AB66" si="26">AA35/K35</f>
        <v>1.4</v>
      </c>
      <c r="AC35" s="49">
        <f t="shared" ref="AC35:AC66" si="27">W35/K35</f>
        <v>0.79431089743589745</v>
      </c>
      <c r="AD35" s="49">
        <f t="shared" ref="AD35:AD66" si="28">G35/AA35</f>
        <v>1.3617216117216118</v>
      </c>
      <c r="AE35" s="49">
        <f t="shared" si="16"/>
        <v>52490000</v>
      </c>
      <c r="AF35" s="50"/>
    </row>
    <row r="36" spans="1:32" ht="39.4" customHeight="1">
      <c r="A36" s="40">
        <v>32062903</v>
      </c>
      <c r="B36" s="57" t="s">
        <v>2364</v>
      </c>
      <c r="C36" s="58" t="s">
        <v>1967</v>
      </c>
      <c r="D36" s="43">
        <v>45500000</v>
      </c>
      <c r="E36" s="43">
        <v>45500000</v>
      </c>
      <c r="F36" s="43">
        <f t="shared" si="17"/>
        <v>0.92393657886274427</v>
      </c>
      <c r="G36" s="43">
        <v>76250000</v>
      </c>
      <c r="H36" s="43">
        <v>76250000</v>
      </c>
      <c r="I36" s="43">
        <v>76250000</v>
      </c>
      <c r="J36" s="43">
        <f t="shared" si="18"/>
        <v>1.548355255786467</v>
      </c>
      <c r="K36" s="43">
        <v>37440000</v>
      </c>
      <c r="L36" s="43">
        <v>78500000</v>
      </c>
      <c r="M36" s="43">
        <v>112300000</v>
      </c>
      <c r="N36" s="43">
        <v>112300000</v>
      </c>
      <c r="O36" s="43">
        <f t="shared" si="19"/>
        <v>1.4305732484076432</v>
      </c>
      <c r="P36" s="43">
        <f t="shared" si="20"/>
        <v>2.9994658119658117</v>
      </c>
      <c r="Q36" s="43">
        <v>42330000</v>
      </c>
      <c r="R36" s="43">
        <v>55250000</v>
      </c>
      <c r="S36" s="43">
        <v>63537500</v>
      </c>
      <c r="T36" s="43">
        <f t="shared" si="21"/>
        <v>1.2000786936848318</v>
      </c>
      <c r="U36" s="43">
        <f t="shared" si="22"/>
        <v>1.6970486111111112</v>
      </c>
      <c r="V36" s="43"/>
      <c r="W36" s="43">
        <f t="shared" si="23"/>
        <v>87918750</v>
      </c>
      <c r="X36" s="43">
        <f t="shared" si="24"/>
        <v>1.3153259710462375</v>
      </c>
      <c r="Y36" s="43">
        <f t="shared" si="25"/>
        <v>2.3482572115384617</v>
      </c>
      <c r="Z36" s="43">
        <f>(J36+F36)/2</f>
        <v>1.2361459173246057</v>
      </c>
      <c r="AA36" s="43">
        <f t="shared" ref="AA36:AA49" si="29">K36*X36</f>
        <v>49245804.355971135</v>
      </c>
      <c r="AB36" s="43">
        <f t="shared" si="26"/>
        <v>1.3153259710462375</v>
      </c>
      <c r="AC36" s="43">
        <f t="shared" si="27"/>
        <v>2.3482572115384617</v>
      </c>
      <c r="AD36" s="43">
        <f t="shared" si="28"/>
        <v>1.548355255786467</v>
      </c>
      <c r="AE36" s="43">
        <f t="shared" si="16"/>
        <v>60875000</v>
      </c>
      <c r="AF36" s="44"/>
    </row>
    <row r="37" spans="1:32" ht="39.4" customHeight="1">
      <c r="A37" s="46">
        <v>32062904</v>
      </c>
      <c r="B37" s="59" t="s">
        <v>2365</v>
      </c>
      <c r="C37" s="60" t="s">
        <v>1967</v>
      </c>
      <c r="D37" s="49">
        <v>53300000</v>
      </c>
      <c r="E37" s="49">
        <v>53300000</v>
      </c>
      <c r="F37" s="49">
        <f t="shared" si="17"/>
        <v>0.81212135931520413</v>
      </c>
      <c r="G37" s="49">
        <v>100640000</v>
      </c>
      <c r="H37" s="49">
        <v>100640000</v>
      </c>
      <c r="I37" s="49">
        <v>100640000</v>
      </c>
      <c r="J37" s="49">
        <f t="shared" si="18"/>
        <v>1.533431399652573</v>
      </c>
      <c r="K37" s="49">
        <v>49920000</v>
      </c>
      <c r="L37" s="49">
        <v>79400000</v>
      </c>
      <c r="M37" s="49">
        <v>113500000</v>
      </c>
      <c r="N37" s="49">
        <v>113500000</v>
      </c>
      <c r="O37" s="49">
        <f t="shared" si="19"/>
        <v>1.429471032745592</v>
      </c>
      <c r="P37" s="49">
        <f t="shared" si="20"/>
        <v>2.2736378205128207</v>
      </c>
      <c r="Q37" s="49">
        <v>55770000</v>
      </c>
      <c r="R37" s="49">
        <v>72930000</v>
      </c>
      <c r="S37" s="49">
        <v>83869500</v>
      </c>
      <c r="T37" s="49">
        <f t="shared" si="21"/>
        <v>1.199959460829026</v>
      </c>
      <c r="U37" s="49">
        <f t="shared" si="22"/>
        <v>1.6800781250000001</v>
      </c>
      <c r="V37" s="49"/>
      <c r="W37" s="49">
        <f t="shared" si="23"/>
        <v>98684750</v>
      </c>
      <c r="X37" s="49">
        <f t="shared" si="24"/>
        <v>1.3147152467873089</v>
      </c>
      <c r="Y37" s="49">
        <f t="shared" si="25"/>
        <v>1.9768579727564102</v>
      </c>
      <c r="Z37" s="49">
        <f>(J37+F37)/2</f>
        <v>1.1727763794838886</v>
      </c>
      <c r="AA37" s="49">
        <f t="shared" si="29"/>
        <v>65630585.119622461</v>
      </c>
      <c r="AB37" s="49">
        <f t="shared" si="26"/>
        <v>1.3147152467873089</v>
      </c>
      <c r="AC37" s="49">
        <f t="shared" si="27"/>
        <v>1.9768579727564102</v>
      </c>
      <c r="AD37" s="49">
        <f t="shared" si="28"/>
        <v>1.533431399652573</v>
      </c>
      <c r="AE37" s="49">
        <f t="shared" si="16"/>
        <v>76970000</v>
      </c>
      <c r="AF37" s="50"/>
    </row>
    <row r="38" spans="1:32" ht="39.4" customHeight="1">
      <c r="A38" s="40">
        <v>32062905</v>
      </c>
      <c r="B38" s="57" t="s">
        <v>2366</v>
      </c>
      <c r="C38" s="58" t="s">
        <v>1967</v>
      </c>
      <c r="D38" s="43">
        <v>74000000</v>
      </c>
      <c r="E38" s="43">
        <v>74000000</v>
      </c>
      <c r="F38" s="43">
        <f t="shared" si="17"/>
        <v>0.80847554344543537</v>
      </c>
      <c r="G38" s="43">
        <v>182990000</v>
      </c>
      <c r="H38" s="43">
        <v>182990000</v>
      </c>
      <c r="I38" s="43">
        <v>182990000</v>
      </c>
      <c r="J38" s="43">
        <f t="shared" si="18"/>
        <v>1.9992289147983813</v>
      </c>
      <c r="K38" s="43">
        <v>69600000</v>
      </c>
      <c r="L38" s="43">
        <v>107400000</v>
      </c>
      <c r="M38" s="43">
        <v>153600000</v>
      </c>
      <c r="N38" s="43">
        <v>153600000</v>
      </c>
      <c r="O38" s="43">
        <f t="shared" si="19"/>
        <v>1.4301675977653632</v>
      </c>
      <c r="P38" s="43">
        <f t="shared" si="20"/>
        <v>2.2068965517241379</v>
      </c>
      <c r="Q38" s="43">
        <v>100100000</v>
      </c>
      <c r="R38" s="43">
        <v>132600000</v>
      </c>
      <c r="S38" s="43">
        <v>152490000</v>
      </c>
      <c r="T38" s="43">
        <f t="shared" si="21"/>
        <v>1.2000131156141387</v>
      </c>
      <c r="U38" s="43">
        <f t="shared" si="22"/>
        <v>2.1909482758620689</v>
      </c>
      <c r="V38" s="43"/>
      <c r="W38" s="43">
        <f t="shared" si="23"/>
        <v>153045000</v>
      </c>
      <c r="X38" s="43">
        <f t="shared" si="24"/>
        <v>1.3150903566897509</v>
      </c>
      <c r="Y38" s="43">
        <f t="shared" si="25"/>
        <v>2.1989224137931034</v>
      </c>
      <c r="Z38" s="43">
        <v>1.3</v>
      </c>
      <c r="AA38" s="43">
        <f t="shared" si="29"/>
        <v>91530288.825606659</v>
      </c>
      <c r="AB38" s="43">
        <f t="shared" si="26"/>
        <v>1.3150903566897509</v>
      </c>
      <c r="AC38" s="43">
        <f t="shared" si="27"/>
        <v>2.1989224137931034</v>
      </c>
      <c r="AD38" s="43">
        <f t="shared" si="28"/>
        <v>1.9992289147983813</v>
      </c>
      <c r="AE38" s="43">
        <f t="shared" si="16"/>
        <v>118989375.47328866</v>
      </c>
      <c r="AF38" s="44"/>
    </row>
    <row r="39" spans="1:32" ht="39.4" customHeight="1">
      <c r="A39" s="46">
        <v>32062906</v>
      </c>
      <c r="B39" s="59" t="s">
        <v>2367</v>
      </c>
      <c r="C39" s="60" t="s">
        <v>1967</v>
      </c>
      <c r="D39" s="49">
        <v>105300000</v>
      </c>
      <c r="E39" s="49">
        <v>105300000</v>
      </c>
      <c r="F39" s="49">
        <f t="shared" si="17"/>
        <v>0.87698468912466787</v>
      </c>
      <c r="G39" s="49">
        <v>193130000</v>
      </c>
      <c r="H39" s="49">
        <v>192130000</v>
      </c>
      <c r="I39" s="49">
        <v>192130000</v>
      </c>
      <c r="J39" s="49">
        <f t="shared" si="18"/>
        <v>1.6001430989698238</v>
      </c>
      <c r="K39" s="49">
        <v>91080000</v>
      </c>
      <c r="L39" s="49">
        <v>164500000</v>
      </c>
      <c r="M39" s="49">
        <v>235300000</v>
      </c>
      <c r="N39" s="49">
        <v>235300000</v>
      </c>
      <c r="O39" s="49">
        <f t="shared" si="19"/>
        <v>1.4303951367781156</v>
      </c>
      <c r="P39" s="49">
        <f t="shared" si="20"/>
        <v>2.583443126921388</v>
      </c>
      <c r="Q39" s="49">
        <v>103250000</v>
      </c>
      <c r="R39" s="49">
        <v>139230000</v>
      </c>
      <c r="S39" s="49">
        <v>160114500</v>
      </c>
      <c r="T39" s="49">
        <f t="shared" si="21"/>
        <v>1.2061993136161935</v>
      </c>
      <c r="U39" s="49">
        <f t="shared" si="22"/>
        <v>1.7579545454545455</v>
      </c>
      <c r="V39" s="49"/>
      <c r="W39" s="49">
        <f t="shared" si="23"/>
        <v>197707250</v>
      </c>
      <c r="X39" s="49">
        <f t="shared" si="24"/>
        <v>1.3182972251971545</v>
      </c>
      <c r="Y39" s="49">
        <f t="shared" si="25"/>
        <v>2.1706988361879667</v>
      </c>
      <c r="Z39" s="49">
        <f>(J39+F39)/2</f>
        <v>1.2385638940472459</v>
      </c>
      <c r="AA39" s="49">
        <f t="shared" si="29"/>
        <v>120070511.27095683</v>
      </c>
      <c r="AB39" s="49">
        <f t="shared" si="26"/>
        <v>1.3182972251971545</v>
      </c>
      <c r="AC39" s="49">
        <f t="shared" si="27"/>
        <v>2.1706988361879667</v>
      </c>
      <c r="AD39" s="49">
        <f t="shared" si="28"/>
        <v>1.6084715385626505</v>
      </c>
      <c r="AE39" s="49">
        <f t="shared" si="16"/>
        <v>148715000.00000003</v>
      </c>
      <c r="AF39" s="50"/>
    </row>
    <row r="40" spans="1:32" ht="39.4" customHeight="1">
      <c r="A40" s="40">
        <v>32062907</v>
      </c>
      <c r="B40" s="57" t="s">
        <v>2368</v>
      </c>
      <c r="C40" s="58" t="s">
        <v>1967</v>
      </c>
      <c r="D40" s="43"/>
      <c r="E40" s="43"/>
      <c r="F40" s="43">
        <f t="shared" si="17"/>
        <v>0</v>
      </c>
      <c r="G40" s="43">
        <v>121680000</v>
      </c>
      <c r="H40" s="43">
        <v>121680000</v>
      </c>
      <c r="I40" s="43">
        <v>121680000</v>
      </c>
      <c r="J40" s="43">
        <f t="shared" si="18"/>
        <v>1.134755418253943</v>
      </c>
      <c r="K40" s="43">
        <v>114000000</v>
      </c>
      <c r="L40" s="43">
        <v>167700000</v>
      </c>
      <c r="M40" s="43">
        <v>239800000</v>
      </c>
      <c r="N40" s="43">
        <v>239800000</v>
      </c>
      <c r="O40" s="43">
        <f t="shared" si="19"/>
        <v>1.4299344066785926</v>
      </c>
      <c r="P40" s="43">
        <f t="shared" si="20"/>
        <v>2.1035087719298247</v>
      </c>
      <c r="Q40" s="43">
        <v>154440000</v>
      </c>
      <c r="R40" s="43">
        <v>234455000</v>
      </c>
      <c r="S40" s="43">
        <v>269623250</v>
      </c>
      <c r="T40" s="43">
        <f t="shared" si="21"/>
        <v>0.45129639228071022</v>
      </c>
      <c r="U40" s="43">
        <f t="shared" si="22"/>
        <v>2.3651162280701756</v>
      </c>
      <c r="V40" s="43"/>
      <c r="W40" s="43">
        <f t="shared" si="23"/>
        <v>254711625</v>
      </c>
      <c r="X40" s="43">
        <f t="shared" si="24"/>
        <v>0.94061539947965145</v>
      </c>
      <c r="Y40" s="43">
        <f t="shared" si="25"/>
        <v>2.2343125000000001</v>
      </c>
      <c r="Z40" s="43">
        <f>J40</f>
        <v>1.134755418253943</v>
      </c>
      <c r="AA40" s="43">
        <f t="shared" si="29"/>
        <v>107230155.54068026</v>
      </c>
      <c r="AB40" s="43">
        <f t="shared" si="26"/>
        <v>0.94061539947965145</v>
      </c>
      <c r="AC40" s="43">
        <f t="shared" si="27"/>
        <v>2.2343125000000001</v>
      </c>
      <c r="AD40" s="43">
        <f t="shared" si="28"/>
        <v>1.134755418253943</v>
      </c>
      <c r="AE40" s="43">
        <f t="shared" si="16"/>
        <v>121679999.99999999</v>
      </c>
      <c r="AF40" s="44">
        <v>560729175.39999998</v>
      </c>
    </row>
    <row r="41" spans="1:32" ht="39.4" customHeight="1">
      <c r="A41" s="46">
        <v>32063001</v>
      </c>
      <c r="B41" s="59" t="s">
        <v>2369</v>
      </c>
      <c r="C41" s="60" t="s">
        <v>1967</v>
      </c>
      <c r="D41" s="49">
        <v>16500000</v>
      </c>
      <c r="E41" s="49">
        <v>16500000</v>
      </c>
      <c r="F41" s="49">
        <f t="shared" si="17"/>
        <v>1.7225691565507326</v>
      </c>
      <c r="G41" s="49">
        <v>20100000</v>
      </c>
      <c r="H41" s="49">
        <v>20100000</v>
      </c>
      <c r="I41" s="49">
        <v>20100000</v>
      </c>
      <c r="J41" s="49">
        <f t="shared" si="18"/>
        <v>2.0984024270708925</v>
      </c>
      <c r="K41" s="49">
        <v>7840000</v>
      </c>
      <c r="L41" s="49">
        <v>8990000</v>
      </c>
      <c r="M41" s="49">
        <v>12200000</v>
      </c>
      <c r="N41" s="49">
        <v>12200000</v>
      </c>
      <c r="O41" s="49">
        <f t="shared" si="19"/>
        <v>1.35706340378198</v>
      </c>
      <c r="P41" s="49">
        <f t="shared" si="20"/>
        <v>1.5561224489795917</v>
      </c>
      <c r="Q41" s="49">
        <v>9890000</v>
      </c>
      <c r="R41" s="49">
        <v>16100000</v>
      </c>
      <c r="S41" s="49">
        <v>18500000</v>
      </c>
      <c r="T41" s="49">
        <f t="shared" si="21"/>
        <v>1.0864864864864865</v>
      </c>
      <c r="U41" s="49">
        <f t="shared" si="22"/>
        <v>2.3596938775510203</v>
      </c>
      <c r="V41" s="49"/>
      <c r="W41" s="49">
        <f t="shared" si="23"/>
        <v>15350000</v>
      </c>
      <c r="X41" s="49">
        <f t="shared" si="24"/>
        <v>1.2217749451342332</v>
      </c>
      <c r="Y41" s="49">
        <f t="shared" si="25"/>
        <v>1.9579081632653061</v>
      </c>
      <c r="Z41" s="49">
        <v>1.6</v>
      </c>
      <c r="AA41" s="49">
        <f t="shared" si="29"/>
        <v>9578715.5698523894</v>
      </c>
      <c r="AB41" s="49">
        <f t="shared" si="26"/>
        <v>1.2217749451342332</v>
      </c>
      <c r="AC41" s="49">
        <f t="shared" si="27"/>
        <v>1.9579081632653061</v>
      </c>
      <c r="AD41" s="49">
        <f t="shared" si="28"/>
        <v>2.0984024270708925</v>
      </c>
      <c r="AE41" s="49">
        <f t="shared" si="16"/>
        <v>15325944.911763825</v>
      </c>
      <c r="AF41" s="50">
        <f t="shared" ref="AF41:AF46" si="30">(J41+F41)/2</f>
        <v>1.9104857918108125</v>
      </c>
    </row>
    <row r="42" spans="1:32" ht="39.4" customHeight="1">
      <c r="A42" s="40">
        <v>32063002</v>
      </c>
      <c r="B42" s="57" t="s">
        <v>2370</v>
      </c>
      <c r="C42" s="58" t="s">
        <v>1967</v>
      </c>
      <c r="D42" s="43">
        <v>20000000</v>
      </c>
      <c r="E42" s="43">
        <v>20000000</v>
      </c>
      <c r="F42" s="43">
        <f t="shared" si="17"/>
        <v>1.6366661768312509</v>
      </c>
      <c r="G42" s="43">
        <v>24300000</v>
      </c>
      <c r="H42" s="43">
        <v>24300000</v>
      </c>
      <c r="I42" s="43">
        <v>24300000</v>
      </c>
      <c r="J42" s="43">
        <f t="shared" si="18"/>
        <v>1.9885494048499699</v>
      </c>
      <c r="K42" s="43">
        <v>9480000</v>
      </c>
      <c r="L42" s="43">
        <v>10870000</v>
      </c>
      <c r="M42" s="43">
        <v>14750000</v>
      </c>
      <c r="N42" s="43">
        <v>14750000</v>
      </c>
      <c r="O42" s="43">
        <f t="shared" si="19"/>
        <v>1.3569457221711132</v>
      </c>
      <c r="P42" s="43">
        <f t="shared" si="20"/>
        <v>1.5559071729957805</v>
      </c>
      <c r="Q42" s="43">
        <v>11960000</v>
      </c>
      <c r="R42" s="43">
        <v>18400000</v>
      </c>
      <c r="S42" s="43">
        <v>19900000</v>
      </c>
      <c r="T42" s="43">
        <f t="shared" si="21"/>
        <v>1.221105527638191</v>
      </c>
      <c r="U42" s="43">
        <f t="shared" si="22"/>
        <v>2.0991561181434597</v>
      </c>
      <c r="V42" s="43"/>
      <c r="W42" s="43">
        <f t="shared" si="23"/>
        <v>17325000</v>
      </c>
      <c r="X42" s="43">
        <f t="shared" si="24"/>
        <v>1.2890256249046521</v>
      </c>
      <c r="Y42" s="43">
        <f t="shared" si="25"/>
        <v>1.8275316455696202</v>
      </c>
      <c r="Z42" s="43">
        <v>1.6</v>
      </c>
      <c r="AA42" s="43">
        <f t="shared" si="29"/>
        <v>12219962.924096102</v>
      </c>
      <c r="AB42" s="43">
        <f t="shared" si="26"/>
        <v>1.2890256249046521</v>
      </c>
      <c r="AC42" s="43">
        <f t="shared" si="27"/>
        <v>1.8275316455696202</v>
      </c>
      <c r="AD42" s="43">
        <f t="shared" si="28"/>
        <v>1.9885494048499699</v>
      </c>
      <c r="AE42" s="43">
        <f t="shared" si="16"/>
        <v>19551940.678553764</v>
      </c>
      <c r="AF42" s="44">
        <f t="shared" si="30"/>
        <v>1.8126077908406104</v>
      </c>
    </row>
    <row r="43" spans="1:32" ht="39.4" customHeight="1">
      <c r="A43" s="46">
        <v>32063003</v>
      </c>
      <c r="B43" s="59" t="s">
        <v>2371</v>
      </c>
      <c r="C43" s="60" t="s">
        <v>1967</v>
      </c>
      <c r="D43" s="49">
        <v>25500000</v>
      </c>
      <c r="E43" s="49">
        <v>25500000</v>
      </c>
      <c r="F43" s="49">
        <f t="shared" si="17"/>
        <v>1.869183057819976</v>
      </c>
      <c r="G43" s="49">
        <v>30400000</v>
      </c>
      <c r="H43" s="49">
        <v>30400000</v>
      </c>
      <c r="I43" s="49">
        <v>30400000</v>
      </c>
      <c r="J43" s="49">
        <f t="shared" si="18"/>
        <v>2.2283594101069517</v>
      </c>
      <c r="K43" s="49">
        <v>11840000</v>
      </c>
      <c r="L43" s="49">
        <v>13570000</v>
      </c>
      <c r="M43" s="49">
        <v>18420000</v>
      </c>
      <c r="N43" s="49">
        <v>18420000</v>
      </c>
      <c r="O43" s="49">
        <f t="shared" si="19"/>
        <v>1.3574060427413412</v>
      </c>
      <c r="P43" s="49">
        <f t="shared" si="20"/>
        <v>1.5557432432432432</v>
      </c>
      <c r="Q43" s="49">
        <v>14930000</v>
      </c>
      <c r="R43" s="49">
        <v>26100000</v>
      </c>
      <c r="S43" s="49">
        <v>32100000</v>
      </c>
      <c r="T43" s="49">
        <f t="shared" si="21"/>
        <v>0.9470404984423676</v>
      </c>
      <c r="U43" s="49">
        <f t="shared" si="22"/>
        <v>2.7111486486486487</v>
      </c>
      <c r="V43" s="49"/>
      <c r="W43" s="49">
        <f t="shared" si="23"/>
        <v>25260000</v>
      </c>
      <c r="X43" s="49">
        <f t="shared" si="24"/>
        <v>1.1522232705918545</v>
      </c>
      <c r="Y43" s="49">
        <f t="shared" si="25"/>
        <v>2.1334459459459461</v>
      </c>
      <c r="Z43" s="49">
        <v>1.6</v>
      </c>
      <c r="AA43" s="49">
        <f t="shared" si="29"/>
        <v>13642323.523807557</v>
      </c>
      <c r="AB43" s="49">
        <f t="shared" si="26"/>
        <v>1.1522232705918545</v>
      </c>
      <c r="AC43" s="49">
        <f t="shared" si="27"/>
        <v>2.1334459459459461</v>
      </c>
      <c r="AD43" s="49">
        <f t="shared" si="28"/>
        <v>2.2283594101069517</v>
      </c>
      <c r="AE43" s="49">
        <f t="shared" si="16"/>
        <v>21827717.638092093</v>
      </c>
      <c r="AF43" s="50">
        <f t="shared" si="30"/>
        <v>2.0487712339634641</v>
      </c>
    </row>
    <row r="44" spans="1:32" ht="39.4" customHeight="1">
      <c r="A44" s="40">
        <v>32063004</v>
      </c>
      <c r="B44" s="57" t="s">
        <v>2372</v>
      </c>
      <c r="C44" s="58" t="s">
        <v>1967</v>
      </c>
      <c r="D44" s="43">
        <v>31000000</v>
      </c>
      <c r="E44" s="43">
        <v>31000000</v>
      </c>
      <c r="F44" s="43">
        <f t="shared" si="17"/>
        <v>1.7924268010387816</v>
      </c>
      <c r="G44" s="43">
        <v>36700000</v>
      </c>
      <c r="H44" s="43">
        <v>36700000</v>
      </c>
      <c r="I44" s="43">
        <v>36700000</v>
      </c>
      <c r="J44" s="43">
        <f t="shared" si="18"/>
        <v>2.1220020515523639</v>
      </c>
      <c r="K44" s="43">
        <v>14288000</v>
      </c>
      <c r="L44" s="43">
        <v>16380000</v>
      </c>
      <c r="M44" s="43">
        <v>22230000</v>
      </c>
      <c r="N44" s="43">
        <v>22230000</v>
      </c>
      <c r="O44" s="43">
        <f t="shared" si="19"/>
        <v>1.3571428571428572</v>
      </c>
      <c r="P44" s="43">
        <f t="shared" si="20"/>
        <v>1.5558510638297873</v>
      </c>
      <c r="Q44" s="43">
        <v>18200000</v>
      </c>
      <c r="R44" s="43">
        <v>29700000</v>
      </c>
      <c r="S44" s="43">
        <v>34500000</v>
      </c>
      <c r="T44" s="43">
        <f t="shared" si="21"/>
        <v>1.0637681159420289</v>
      </c>
      <c r="U44" s="43">
        <f t="shared" si="22"/>
        <v>2.4146136618141099</v>
      </c>
      <c r="V44" s="43"/>
      <c r="W44" s="43">
        <f t="shared" si="23"/>
        <v>28365000</v>
      </c>
      <c r="X44" s="43">
        <f t="shared" si="24"/>
        <v>1.2104554865424431</v>
      </c>
      <c r="Y44" s="43">
        <f t="shared" si="25"/>
        <v>1.9852323628219486</v>
      </c>
      <c r="Z44" s="43">
        <v>1.6</v>
      </c>
      <c r="AA44" s="43">
        <f t="shared" si="29"/>
        <v>17294987.991718426</v>
      </c>
      <c r="AB44" s="43">
        <f t="shared" si="26"/>
        <v>1.2104554865424431</v>
      </c>
      <c r="AC44" s="43">
        <f t="shared" si="27"/>
        <v>1.9852323628219486</v>
      </c>
      <c r="AD44" s="43">
        <f t="shared" si="28"/>
        <v>2.1220020515523639</v>
      </c>
      <c r="AE44" s="43">
        <f t="shared" si="16"/>
        <v>27671980.786749482</v>
      </c>
      <c r="AF44" s="44">
        <f t="shared" si="30"/>
        <v>1.9572144262955726</v>
      </c>
    </row>
    <row r="45" spans="1:32" ht="39.4" customHeight="1">
      <c r="A45" s="46">
        <v>32063005</v>
      </c>
      <c r="B45" s="59" t="s">
        <v>2373</v>
      </c>
      <c r="C45" s="60" t="s">
        <v>1967</v>
      </c>
      <c r="D45" s="49">
        <v>55000000</v>
      </c>
      <c r="E45" s="49">
        <v>55000000</v>
      </c>
      <c r="F45" s="49">
        <f t="shared" si="17"/>
        <v>1.6225583654837623</v>
      </c>
      <c r="G45" s="49">
        <v>65500000</v>
      </c>
      <c r="H45" s="49">
        <v>65500000</v>
      </c>
      <c r="I45" s="49">
        <v>65500000</v>
      </c>
      <c r="J45" s="49">
        <f t="shared" si="18"/>
        <v>1.9323195079852078</v>
      </c>
      <c r="K45" s="49">
        <v>25496000</v>
      </c>
      <c r="L45" s="49">
        <v>29230000</v>
      </c>
      <c r="M45" s="49">
        <v>39660000</v>
      </c>
      <c r="N45" s="49">
        <v>39660000</v>
      </c>
      <c r="O45" s="49">
        <f t="shared" si="19"/>
        <v>1.3568251796099897</v>
      </c>
      <c r="P45" s="49">
        <f t="shared" si="20"/>
        <v>1.5555381236272356</v>
      </c>
      <c r="Q45" s="49">
        <v>32150000</v>
      </c>
      <c r="R45" s="49">
        <v>47900000</v>
      </c>
      <c r="S45" s="49">
        <v>50300000</v>
      </c>
      <c r="T45" s="49">
        <f t="shared" si="21"/>
        <v>1.3021868787276343</v>
      </c>
      <c r="U45" s="49">
        <f t="shared" si="22"/>
        <v>1.972858487605899</v>
      </c>
      <c r="V45" s="49"/>
      <c r="W45" s="49">
        <f t="shared" si="23"/>
        <v>44980000</v>
      </c>
      <c r="X45" s="49">
        <f t="shared" si="24"/>
        <v>1.3295060291688121</v>
      </c>
      <c r="Y45" s="49">
        <f t="shared" si="25"/>
        <v>1.7641983056165673</v>
      </c>
      <c r="Z45" s="49">
        <v>1.6</v>
      </c>
      <c r="AA45" s="49">
        <f t="shared" si="29"/>
        <v>33897085.719688036</v>
      </c>
      <c r="AB45" s="49">
        <f t="shared" si="26"/>
        <v>1.3295060291688121</v>
      </c>
      <c r="AC45" s="49">
        <f t="shared" si="27"/>
        <v>1.7641983056165673</v>
      </c>
      <c r="AD45" s="49">
        <f t="shared" si="28"/>
        <v>1.9323195079852078</v>
      </c>
      <c r="AE45" s="49">
        <f t="shared" si="16"/>
        <v>54235337.151500858</v>
      </c>
      <c r="AF45" s="50">
        <f t="shared" si="30"/>
        <v>1.7774389367344852</v>
      </c>
    </row>
    <row r="46" spans="1:32" ht="39.4" customHeight="1">
      <c r="A46" s="40">
        <v>32063006</v>
      </c>
      <c r="B46" s="57" t="s">
        <v>2374</v>
      </c>
      <c r="C46" s="58" t="s">
        <v>1967</v>
      </c>
      <c r="D46" s="43">
        <v>85900000</v>
      </c>
      <c r="E46" s="43">
        <v>85900000</v>
      </c>
      <c r="F46" s="43">
        <f t="shared" si="17"/>
        <v>1.6846076808655461</v>
      </c>
      <c r="G46" s="43">
        <v>97800000</v>
      </c>
      <c r="H46" s="43">
        <v>97800000</v>
      </c>
      <c r="I46" s="43">
        <v>97800000</v>
      </c>
      <c r="J46" s="43">
        <f t="shared" si="18"/>
        <v>1.9179817367712504</v>
      </c>
      <c r="K46" s="43">
        <v>39744000</v>
      </c>
      <c r="L46" s="43">
        <v>43660000</v>
      </c>
      <c r="M46" s="43">
        <v>59250000</v>
      </c>
      <c r="N46" s="43">
        <v>59250000</v>
      </c>
      <c r="O46" s="43">
        <f t="shared" si="19"/>
        <v>1.3570774163994503</v>
      </c>
      <c r="P46" s="43">
        <f t="shared" si="20"/>
        <v>1.4907910628019323</v>
      </c>
      <c r="Q46" s="43">
        <v>48030000</v>
      </c>
      <c r="R46" s="43">
        <v>74200000</v>
      </c>
      <c r="S46" s="43">
        <v>80900000</v>
      </c>
      <c r="T46" s="43">
        <f t="shared" si="21"/>
        <v>1.2088998763906056</v>
      </c>
      <c r="U46" s="43">
        <f t="shared" si="22"/>
        <v>2.0355273752012883</v>
      </c>
      <c r="V46" s="43"/>
      <c r="W46" s="43">
        <f t="shared" si="23"/>
        <v>70075000</v>
      </c>
      <c r="X46" s="43">
        <f t="shared" si="24"/>
        <v>1.282988646395028</v>
      </c>
      <c r="Y46" s="43">
        <f t="shared" si="25"/>
        <v>1.7631592190016103</v>
      </c>
      <c r="Z46" s="43">
        <v>1.6</v>
      </c>
      <c r="AA46" s="43">
        <f t="shared" si="29"/>
        <v>50991100.76232399</v>
      </c>
      <c r="AB46" s="43">
        <f t="shared" si="26"/>
        <v>1.282988646395028</v>
      </c>
      <c r="AC46" s="43">
        <f t="shared" si="27"/>
        <v>1.7631592190016103</v>
      </c>
      <c r="AD46" s="43">
        <f t="shared" si="28"/>
        <v>1.9179817367712504</v>
      </c>
      <c r="AE46" s="43">
        <f t="shared" si="16"/>
        <v>81585761.219718397</v>
      </c>
      <c r="AF46" s="44">
        <f t="shared" si="30"/>
        <v>1.8012947088183981</v>
      </c>
    </row>
    <row r="47" spans="1:32" ht="39.4" customHeight="1">
      <c r="A47" s="46">
        <v>32063007</v>
      </c>
      <c r="B47" s="59" t="s">
        <v>2375</v>
      </c>
      <c r="C47" s="60" t="s">
        <v>1967</v>
      </c>
      <c r="D47" s="49">
        <v>153000000</v>
      </c>
      <c r="E47" s="49">
        <v>153000000</v>
      </c>
      <c r="F47" s="49">
        <f t="shared" si="17"/>
        <v>1.5547480323002036</v>
      </c>
      <c r="G47" s="49">
        <v>173400000</v>
      </c>
      <c r="H47" s="49">
        <v>173400000</v>
      </c>
      <c r="I47" s="49">
        <v>173400000</v>
      </c>
      <c r="J47" s="49">
        <f t="shared" si="18"/>
        <v>1.7620477699402308</v>
      </c>
      <c r="K47" s="49">
        <v>70512000</v>
      </c>
      <c r="L47" s="49">
        <v>77450000</v>
      </c>
      <c r="M47" s="49">
        <v>105100000</v>
      </c>
      <c r="N47" s="49">
        <v>105100000</v>
      </c>
      <c r="O47" s="49">
        <f t="shared" si="19"/>
        <v>1.3570045190445448</v>
      </c>
      <c r="P47" s="49">
        <f t="shared" si="20"/>
        <v>1.4905264352167007</v>
      </c>
      <c r="Q47" s="49">
        <v>76680000</v>
      </c>
      <c r="R47" s="49">
        <v>120900000</v>
      </c>
      <c r="S47" s="49">
        <v>120900000</v>
      </c>
      <c r="T47" s="49">
        <f t="shared" si="21"/>
        <v>1.43424317617866</v>
      </c>
      <c r="U47" s="49">
        <f t="shared" si="22"/>
        <v>1.7146017699115044</v>
      </c>
      <c r="V47" s="49"/>
      <c r="W47" s="49">
        <f t="shared" si="23"/>
        <v>113000000</v>
      </c>
      <c r="X47" s="49">
        <f t="shared" si="24"/>
        <v>1.3956238476116023</v>
      </c>
      <c r="Y47" s="49">
        <f t="shared" si="25"/>
        <v>1.6025641025641026</v>
      </c>
      <c r="Z47" s="49">
        <f>(J47+F47)/2</f>
        <v>1.6583979011202172</v>
      </c>
      <c r="AA47" s="49">
        <f t="shared" si="29"/>
        <v>98408228.742789298</v>
      </c>
      <c r="AB47" s="49">
        <f t="shared" si="26"/>
        <v>1.3956238476116023</v>
      </c>
      <c r="AC47" s="49">
        <f t="shared" si="27"/>
        <v>1.6025641025641026</v>
      </c>
      <c r="AD47" s="49">
        <f t="shared" si="28"/>
        <v>1.7620477699402308</v>
      </c>
      <c r="AE47" s="49">
        <f t="shared" si="16"/>
        <v>163200000</v>
      </c>
      <c r="AF47" s="50"/>
    </row>
    <row r="48" spans="1:32" ht="39.4" customHeight="1">
      <c r="A48" s="40">
        <v>32063008</v>
      </c>
      <c r="B48" s="57" t="s">
        <v>2376</v>
      </c>
      <c r="C48" s="58" t="s">
        <v>1967</v>
      </c>
      <c r="D48" s="43">
        <v>214000000</v>
      </c>
      <c r="E48" s="43">
        <v>214000000</v>
      </c>
      <c r="F48" s="43">
        <f t="shared" si="17"/>
        <v>1.5803908280859136</v>
      </c>
      <c r="G48" s="43">
        <v>270300000</v>
      </c>
      <c r="H48" s="43">
        <v>270300000</v>
      </c>
      <c r="I48" s="43">
        <v>270300000</v>
      </c>
      <c r="J48" s="43">
        <f t="shared" si="18"/>
        <v>1.9961665459421611</v>
      </c>
      <c r="K48" s="43">
        <v>98930000</v>
      </c>
      <c r="L48" s="43">
        <v>108630000</v>
      </c>
      <c r="M48" s="43">
        <v>147410000</v>
      </c>
      <c r="N48" s="43">
        <v>147410000</v>
      </c>
      <c r="O48" s="43">
        <f t="shared" si="19"/>
        <v>1.3569916229402559</v>
      </c>
      <c r="P48" s="43">
        <f t="shared" si="20"/>
        <v>1.4900434650763166</v>
      </c>
      <c r="Q48" s="43">
        <v>107540000</v>
      </c>
      <c r="R48" s="43">
        <v>195800000</v>
      </c>
      <c r="S48" s="43">
        <v>195800000</v>
      </c>
      <c r="T48" s="43">
        <f t="shared" si="21"/>
        <v>1.3804902962206334</v>
      </c>
      <c r="U48" s="43">
        <f t="shared" si="22"/>
        <v>1.9791771959971698</v>
      </c>
      <c r="V48" s="43"/>
      <c r="W48" s="43">
        <f t="shared" si="23"/>
        <v>171605000</v>
      </c>
      <c r="X48" s="43">
        <f t="shared" si="24"/>
        <v>1.3687409595804447</v>
      </c>
      <c r="Y48" s="43">
        <f t="shared" si="25"/>
        <v>1.7346103305367431</v>
      </c>
      <c r="Z48" s="43">
        <v>1.6</v>
      </c>
      <c r="AA48" s="43">
        <f t="shared" si="29"/>
        <v>135409543.13129339</v>
      </c>
      <c r="AB48" s="43">
        <f t="shared" si="26"/>
        <v>1.3687409595804447</v>
      </c>
      <c r="AC48" s="43">
        <f t="shared" si="27"/>
        <v>1.7346103305367431</v>
      </c>
      <c r="AD48" s="43">
        <f t="shared" si="28"/>
        <v>1.9961665459421611</v>
      </c>
      <c r="AE48" s="43">
        <f t="shared" si="16"/>
        <v>216655269.01006943</v>
      </c>
      <c r="AF48" s="44"/>
    </row>
    <row r="49" spans="1:32" ht="39.4" customHeight="1">
      <c r="A49" s="46">
        <v>32063009</v>
      </c>
      <c r="B49" s="59" t="s">
        <v>2377</v>
      </c>
      <c r="C49" s="60" t="s">
        <v>1967</v>
      </c>
      <c r="D49" s="49"/>
      <c r="E49" s="49"/>
      <c r="F49" s="49">
        <f t="shared" si="17"/>
        <v>0</v>
      </c>
      <c r="G49" s="49">
        <v>393400000</v>
      </c>
      <c r="H49" s="49">
        <v>393400000</v>
      </c>
      <c r="I49" s="49">
        <v>393400000</v>
      </c>
      <c r="J49" s="49">
        <f t="shared" si="18"/>
        <v>2.0471820933829088</v>
      </c>
      <c r="K49" s="49">
        <v>140400000</v>
      </c>
      <c r="L49" s="49">
        <v>146640000</v>
      </c>
      <c r="M49" s="49">
        <v>199000000</v>
      </c>
      <c r="N49" s="49">
        <v>199000000</v>
      </c>
      <c r="O49" s="49">
        <f t="shared" si="19"/>
        <v>1.3570649208947081</v>
      </c>
      <c r="P49" s="49">
        <f t="shared" si="20"/>
        <v>1.4173789173789173</v>
      </c>
      <c r="Q49" s="49">
        <v>232000000</v>
      </c>
      <c r="R49" s="49">
        <v>285000000</v>
      </c>
      <c r="S49" s="49">
        <v>285000000</v>
      </c>
      <c r="T49" s="49">
        <f t="shared" si="21"/>
        <v>1.3803508771929824</v>
      </c>
      <c r="U49" s="49">
        <f t="shared" si="22"/>
        <v>2.0299145299145298</v>
      </c>
      <c r="V49" s="49"/>
      <c r="W49" s="49">
        <f t="shared" si="23"/>
        <v>242000000</v>
      </c>
      <c r="X49" s="49">
        <f t="shared" si="24"/>
        <v>1.3687078990438453</v>
      </c>
      <c r="Y49" s="49">
        <f t="shared" si="25"/>
        <v>1.7236467236467237</v>
      </c>
      <c r="Z49" s="49">
        <v>1.5</v>
      </c>
      <c r="AA49" s="49">
        <f t="shared" si="29"/>
        <v>192166589.02575588</v>
      </c>
      <c r="AB49" s="49">
        <f t="shared" si="26"/>
        <v>1.3687078990438453</v>
      </c>
      <c r="AC49" s="49">
        <f t="shared" si="27"/>
        <v>1.7236467236467237</v>
      </c>
      <c r="AD49" s="49">
        <f t="shared" si="28"/>
        <v>2.0471820933829088</v>
      </c>
      <c r="AE49" s="49">
        <f t="shared" si="16"/>
        <v>288249883.53863382</v>
      </c>
      <c r="AF49" s="50"/>
    </row>
    <row r="50" spans="1:32" ht="39.4" customHeight="1">
      <c r="A50" s="40">
        <v>32063101</v>
      </c>
      <c r="B50" s="57" t="s">
        <v>2378</v>
      </c>
      <c r="C50" s="58" t="s">
        <v>1967</v>
      </c>
      <c r="D50" s="43">
        <v>39000000</v>
      </c>
      <c r="E50" s="43">
        <v>39000000</v>
      </c>
      <c r="F50" s="43">
        <f t="shared" si="17"/>
        <v>1.625</v>
      </c>
      <c r="G50" s="43">
        <v>35100000</v>
      </c>
      <c r="H50" s="43">
        <v>39000000</v>
      </c>
      <c r="I50" s="43">
        <v>39000000</v>
      </c>
      <c r="J50" s="43">
        <f t="shared" si="18"/>
        <v>1.625</v>
      </c>
      <c r="K50" s="43">
        <v>19318000</v>
      </c>
      <c r="L50" s="43">
        <v>21700000</v>
      </c>
      <c r="M50" s="43">
        <v>29500000</v>
      </c>
      <c r="N50" s="43">
        <v>29500000</v>
      </c>
      <c r="O50" s="43">
        <f t="shared" si="19"/>
        <v>1.3594470046082949</v>
      </c>
      <c r="P50" s="43">
        <f t="shared" si="20"/>
        <v>1.527073195983021</v>
      </c>
      <c r="Q50" s="43">
        <v>9890000</v>
      </c>
      <c r="R50" s="43">
        <v>16100000</v>
      </c>
      <c r="S50" s="43">
        <v>18500000</v>
      </c>
      <c r="T50" s="43">
        <f t="shared" si="21"/>
        <v>1.8972972972972972</v>
      </c>
      <c r="U50" s="43">
        <f t="shared" si="22"/>
        <v>0.95765607205714876</v>
      </c>
      <c r="V50" s="43"/>
      <c r="W50" s="43">
        <f t="shared" si="23"/>
        <v>24000000</v>
      </c>
      <c r="X50" s="43">
        <f t="shared" si="24"/>
        <v>1.6283721509527962</v>
      </c>
      <c r="Y50" s="43">
        <f t="shared" si="25"/>
        <v>1.2423646340200849</v>
      </c>
      <c r="Z50" s="43">
        <v>1.6</v>
      </c>
      <c r="AA50" s="43">
        <v>24000000</v>
      </c>
      <c r="AB50" s="43">
        <f t="shared" si="26"/>
        <v>1.2423646340200849</v>
      </c>
      <c r="AC50" s="43">
        <f t="shared" si="27"/>
        <v>1.2423646340200849</v>
      </c>
      <c r="AD50" s="43">
        <f t="shared" si="28"/>
        <v>1.4624999999999999</v>
      </c>
      <c r="AE50" s="43">
        <f t="shared" si="16"/>
        <v>38400000</v>
      </c>
      <c r="AF50" s="44">
        <f t="shared" ref="AF50:AF63" si="31">(J50+F50)/2</f>
        <v>1.625</v>
      </c>
    </row>
    <row r="51" spans="1:32" ht="39.4" customHeight="1">
      <c r="A51" s="46">
        <v>32063102</v>
      </c>
      <c r="B51" s="59" t="s">
        <v>2379</v>
      </c>
      <c r="C51" s="60" t="s">
        <v>1967</v>
      </c>
      <c r="D51" s="49">
        <v>43500000</v>
      </c>
      <c r="E51" s="49">
        <v>43500000</v>
      </c>
      <c r="F51" s="49">
        <f t="shared" si="17"/>
        <v>1.6322701688555348</v>
      </c>
      <c r="G51" s="49">
        <v>39600000</v>
      </c>
      <c r="H51" s="49">
        <v>44000000</v>
      </c>
      <c r="I51" s="49">
        <v>44000000</v>
      </c>
      <c r="J51" s="49">
        <f t="shared" si="18"/>
        <v>1.6510318949343339</v>
      </c>
      <c r="K51" s="49">
        <v>21454000</v>
      </c>
      <c r="L51" s="49">
        <v>24600000</v>
      </c>
      <c r="M51" s="49">
        <v>33400000</v>
      </c>
      <c r="N51" s="49">
        <v>33400000</v>
      </c>
      <c r="O51" s="49">
        <f t="shared" si="19"/>
        <v>1.3577235772357723</v>
      </c>
      <c r="P51" s="49">
        <f t="shared" si="20"/>
        <v>1.5568192411671484</v>
      </c>
      <c r="Q51" s="49">
        <v>11960000</v>
      </c>
      <c r="R51" s="49">
        <v>18400000</v>
      </c>
      <c r="S51" s="49">
        <v>19900000</v>
      </c>
      <c r="T51" s="49">
        <f t="shared" si="21"/>
        <v>1.9899497487437185</v>
      </c>
      <c r="U51" s="49">
        <f t="shared" si="22"/>
        <v>0.92756595506665429</v>
      </c>
      <c r="V51" s="49"/>
      <c r="W51" s="49">
        <f t="shared" si="23"/>
        <v>26650000</v>
      </c>
      <c r="X51" s="49">
        <f t="shared" si="24"/>
        <v>1.6738366629897454</v>
      </c>
      <c r="Y51" s="49">
        <f t="shared" si="25"/>
        <v>1.2421925981169013</v>
      </c>
      <c r="Z51" s="49">
        <v>1.6</v>
      </c>
      <c r="AA51" s="49">
        <v>26650000</v>
      </c>
      <c r="AB51" s="49">
        <f t="shared" si="26"/>
        <v>1.2421925981169013</v>
      </c>
      <c r="AC51" s="49">
        <f t="shared" si="27"/>
        <v>1.2421925981169013</v>
      </c>
      <c r="AD51" s="49">
        <f t="shared" si="28"/>
        <v>1.4859287054409005</v>
      </c>
      <c r="AE51" s="49">
        <f t="shared" si="16"/>
        <v>42640000</v>
      </c>
      <c r="AF51" s="50">
        <f t="shared" si="31"/>
        <v>1.6416510318949342</v>
      </c>
    </row>
    <row r="52" spans="1:32" ht="39.4" customHeight="1">
      <c r="A52" s="40">
        <v>32063103</v>
      </c>
      <c r="B52" s="57" t="s">
        <v>2380</v>
      </c>
      <c r="C52" s="58" t="s">
        <v>1967</v>
      </c>
      <c r="D52" s="43">
        <v>55700000</v>
      </c>
      <c r="E52" s="43">
        <v>55700000</v>
      </c>
      <c r="F52" s="43">
        <f t="shared" si="17"/>
        <v>1.4581151832460733</v>
      </c>
      <c r="G52" s="43">
        <v>52200000</v>
      </c>
      <c r="H52" s="43">
        <v>58400000</v>
      </c>
      <c r="I52" s="43">
        <v>58400000</v>
      </c>
      <c r="J52" s="43">
        <f t="shared" si="18"/>
        <v>1.5287958115183247</v>
      </c>
      <c r="K52" s="43">
        <v>23590000</v>
      </c>
      <c r="L52" s="43">
        <v>32600000</v>
      </c>
      <c r="M52" s="43">
        <v>44300000</v>
      </c>
      <c r="N52" s="43">
        <v>44300000</v>
      </c>
      <c r="O52" s="43">
        <f t="shared" si="19"/>
        <v>1.3588957055214723</v>
      </c>
      <c r="P52" s="43">
        <f t="shared" si="20"/>
        <v>1.8779143704959729</v>
      </c>
      <c r="Q52" s="43">
        <v>14930000</v>
      </c>
      <c r="R52" s="43">
        <v>26100000</v>
      </c>
      <c r="S52" s="43">
        <v>32100000</v>
      </c>
      <c r="T52" s="43">
        <f t="shared" si="21"/>
        <v>1.6261682242990654</v>
      </c>
      <c r="U52" s="43">
        <f t="shared" si="22"/>
        <v>1.360746078846969</v>
      </c>
      <c r="V52" s="43"/>
      <c r="W52" s="43">
        <f t="shared" si="23"/>
        <v>38200000</v>
      </c>
      <c r="X52" s="43">
        <f t="shared" si="24"/>
        <v>1.4925319649102688</v>
      </c>
      <c r="Y52" s="43">
        <f t="shared" si="25"/>
        <v>1.6193302246714709</v>
      </c>
      <c r="Z52" s="43">
        <v>1.35</v>
      </c>
      <c r="AA52" s="43">
        <v>38200000</v>
      </c>
      <c r="AB52" s="43">
        <f t="shared" si="26"/>
        <v>1.6193302246714709</v>
      </c>
      <c r="AC52" s="43">
        <f t="shared" si="27"/>
        <v>1.6193302246714709</v>
      </c>
      <c r="AD52" s="43">
        <f t="shared" si="28"/>
        <v>1.3664921465968587</v>
      </c>
      <c r="AE52" s="43">
        <f t="shared" si="16"/>
        <v>51570000</v>
      </c>
      <c r="AF52" s="44">
        <f t="shared" si="31"/>
        <v>1.493455497382199</v>
      </c>
    </row>
    <row r="53" spans="1:32" ht="39.4" customHeight="1">
      <c r="A53" s="46">
        <v>32063104</v>
      </c>
      <c r="B53" s="59" t="s">
        <v>2381</v>
      </c>
      <c r="C53" s="60" t="s">
        <v>1967</v>
      </c>
      <c r="D53" s="49">
        <v>70000000</v>
      </c>
      <c r="E53" s="49">
        <v>70000000</v>
      </c>
      <c r="F53" s="49">
        <f t="shared" si="17"/>
        <v>1.5074157610395491</v>
      </c>
      <c r="G53" s="49">
        <v>71100000</v>
      </c>
      <c r="H53" s="49">
        <v>79000000</v>
      </c>
      <c r="I53" s="49">
        <v>79000000</v>
      </c>
      <c r="J53" s="49">
        <f t="shared" si="18"/>
        <v>1.7012263588874912</v>
      </c>
      <c r="K53" s="49">
        <v>27181000</v>
      </c>
      <c r="L53" s="49">
        <v>44100000</v>
      </c>
      <c r="M53" s="49">
        <v>59800000</v>
      </c>
      <c r="N53" s="49">
        <v>59800000</v>
      </c>
      <c r="O53" s="49">
        <f t="shared" si="19"/>
        <v>1.3560090702947847</v>
      </c>
      <c r="P53" s="49">
        <f t="shared" si="20"/>
        <v>2.2000662227291121</v>
      </c>
      <c r="Q53" s="49">
        <v>18020000</v>
      </c>
      <c r="R53" s="49">
        <v>29700000</v>
      </c>
      <c r="S53" s="49">
        <v>34500000</v>
      </c>
      <c r="T53" s="49">
        <f t="shared" si="21"/>
        <v>2.0608695652173914</v>
      </c>
      <c r="U53" s="49">
        <f t="shared" si="22"/>
        <v>1.269268974651411</v>
      </c>
      <c r="V53" s="49"/>
      <c r="W53" s="49">
        <f t="shared" si="23"/>
        <v>47150000</v>
      </c>
      <c r="X53" s="49">
        <f t="shared" si="24"/>
        <v>1.7084393177560879</v>
      </c>
      <c r="Y53" s="49">
        <f t="shared" si="25"/>
        <v>1.7346675986902615</v>
      </c>
      <c r="Z53" s="49">
        <f>(J53+F53)/2</f>
        <v>1.60432105996352</v>
      </c>
      <c r="AA53" s="49">
        <f>K53*X53</f>
        <v>46437089.095928229</v>
      </c>
      <c r="AB53" s="49">
        <f t="shared" si="26"/>
        <v>1.7084393177560881</v>
      </c>
      <c r="AC53" s="49">
        <f t="shared" si="27"/>
        <v>1.7346675986902615</v>
      </c>
      <c r="AD53" s="49">
        <f t="shared" si="28"/>
        <v>1.5311037229987421</v>
      </c>
      <c r="AE53" s="49">
        <f t="shared" si="16"/>
        <v>74500000</v>
      </c>
      <c r="AF53" s="50">
        <f t="shared" si="31"/>
        <v>1.60432105996352</v>
      </c>
    </row>
    <row r="54" spans="1:32" ht="39.4" customHeight="1">
      <c r="A54" s="40">
        <v>32063105</v>
      </c>
      <c r="B54" s="57" t="s">
        <v>2382</v>
      </c>
      <c r="C54" s="58" t="s">
        <v>1967</v>
      </c>
      <c r="D54" s="43">
        <v>108000000</v>
      </c>
      <c r="E54" s="43">
        <v>108000000</v>
      </c>
      <c r="F54" s="43">
        <f t="shared" si="17"/>
        <v>1.6167664670658684</v>
      </c>
      <c r="G54" s="43">
        <v>98100000</v>
      </c>
      <c r="H54" s="43">
        <v>109000000</v>
      </c>
      <c r="I54" s="43">
        <v>109000000</v>
      </c>
      <c r="J54" s="43">
        <f t="shared" si="18"/>
        <v>1.6317365269461077</v>
      </c>
      <c r="K54" s="43">
        <v>41818000</v>
      </c>
      <c r="L54" s="43">
        <v>61400000</v>
      </c>
      <c r="M54" s="43">
        <v>83300000</v>
      </c>
      <c r="N54" s="43">
        <v>83300000</v>
      </c>
      <c r="O54" s="43">
        <f t="shared" si="19"/>
        <v>1.3566775244299674</v>
      </c>
      <c r="P54" s="43">
        <f t="shared" si="20"/>
        <v>1.991965182457315</v>
      </c>
      <c r="Q54" s="43">
        <v>32150000</v>
      </c>
      <c r="R54" s="43">
        <v>47900000</v>
      </c>
      <c r="S54" s="43">
        <v>50300000</v>
      </c>
      <c r="T54" s="43">
        <f t="shared" si="21"/>
        <v>1.9502982107355864</v>
      </c>
      <c r="U54" s="43">
        <f t="shared" si="22"/>
        <v>1.2028313166578986</v>
      </c>
      <c r="V54" s="43"/>
      <c r="W54" s="43">
        <f t="shared" si="23"/>
        <v>66800000</v>
      </c>
      <c r="X54" s="43">
        <f t="shared" si="24"/>
        <v>1.6534878675827769</v>
      </c>
      <c r="Y54" s="43">
        <f t="shared" si="25"/>
        <v>1.5973982495576067</v>
      </c>
      <c r="Z54" s="43">
        <v>1.6</v>
      </c>
      <c r="AA54" s="43">
        <v>66800000</v>
      </c>
      <c r="AB54" s="43">
        <f t="shared" si="26"/>
        <v>1.5973982495576067</v>
      </c>
      <c r="AC54" s="43">
        <f t="shared" si="27"/>
        <v>1.5973982495576067</v>
      </c>
      <c r="AD54" s="43">
        <f t="shared" si="28"/>
        <v>1.4685628742514969</v>
      </c>
      <c r="AE54" s="43">
        <f t="shared" si="16"/>
        <v>106880000</v>
      </c>
      <c r="AF54" s="44">
        <f t="shared" si="31"/>
        <v>1.624251497005988</v>
      </c>
    </row>
    <row r="55" spans="1:32" ht="39.4" customHeight="1">
      <c r="A55" s="46">
        <v>32063106</v>
      </c>
      <c r="B55" s="59" t="s">
        <v>2383</v>
      </c>
      <c r="C55" s="60" t="s">
        <v>1967</v>
      </c>
      <c r="D55" s="49">
        <v>155000000</v>
      </c>
      <c r="E55" s="49">
        <v>155000000</v>
      </c>
      <c r="F55" s="49">
        <f t="shared" si="17"/>
        <v>1.5961204759877072</v>
      </c>
      <c r="G55" s="49">
        <v>152100000</v>
      </c>
      <c r="H55" s="49">
        <v>169000000</v>
      </c>
      <c r="I55" s="49">
        <v>169000000</v>
      </c>
      <c r="J55" s="49">
        <f t="shared" si="18"/>
        <v>1.7402861963995</v>
      </c>
      <c r="K55" s="49">
        <v>60000000</v>
      </c>
      <c r="L55" s="49">
        <v>94700000</v>
      </c>
      <c r="M55" s="49">
        <v>128500000</v>
      </c>
      <c r="N55" s="49">
        <v>128500000</v>
      </c>
      <c r="O55" s="49">
        <f t="shared" si="19"/>
        <v>1.3569165786694826</v>
      </c>
      <c r="P55" s="49">
        <f t="shared" si="20"/>
        <v>2.1416666666666666</v>
      </c>
      <c r="Q55" s="49">
        <v>48030000</v>
      </c>
      <c r="R55" s="49">
        <v>74200000</v>
      </c>
      <c r="S55" s="49">
        <v>80900000</v>
      </c>
      <c r="T55" s="49">
        <f t="shared" si="21"/>
        <v>1.8800988875154512</v>
      </c>
      <c r="U55" s="49">
        <f t="shared" si="22"/>
        <v>1.3483333333333334</v>
      </c>
      <c r="V55" s="49"/>
      <c r="W55" s="49">
        <f t="shared" si="23"/>
        <v>104700000</v>
      </c>
      <c r="X55" s="49">
        <f t="shared" si="24"/>
        <v>1.6185077330924669</v>
      </c>
      <c r="Y55" s="49">
        <f t="shared" si="25"/>
        <v>1.7450000000000001</v>
      </c>
      <c r="Z55" s="49">
        <f>(J55+F55)/2</f>
        <v>1.6682033361936037</v>
      </c>
      <c r="AA55" s="49">
        <f>K55*X55</f>
        <v>97110463.985548019</v>
      </c>
      <c r="AB55" s="49">
        <f t="shared" si="26"/>
        <v>1.6185077330924671</v>
      </c>
      <c r="AC55" s="49">
        <f t="shared" si="27"/>
        <v>1.7450000000000001</v>
      </c>
      <c r="AD55" s="49">
        <f t="shared" si="28"/>
        <v>1.5662575767595501</v>
      </c>
      <c r="AE55" s="49">
        <f t="shared" si="16"/>
        <v>162000000</v>
      </c>
      <c r="AF55" s="50">
        <f t="shared" si="31"/>
        <v>1.6682033361936037</v>
      </c>
    </row>
    <row r="56" spans="1:32" ht="39.4" customHeight="1">
      <c r="A56" s="40">
        <v>32063107</v>
      </c>
      <c r="B56" s="57" t="s">
        <v>2384</v>
      </c>
      <c r="C56" s="58" t="s">
        <v>1967</v>
      </c>
      <c r="D56" s="43">
        <v>259000000</v>
      </c>
      <c r="E56" s="43">
        <v>259000000</v>
      </c>
      <c r="F56" s="43">
        <f t="shared" si="17"/>
        <v>1.4928901069442471</v>
      </c>
      <c r="G56" s="43">
        <v>247950000</v>
      </c>
      <c r="H56" s="43">
        <v>275500000</v>
      </c>
      <c r="I56" s="43">
        <v>275500000</v>
      </c>
      <c r="J56" s="43">
        <f t="shared" si="18"/>
        <v>1.5879970056491894</v>
      </c>
      <c r="K56" s="43">
        <v>101818000</v>
      </c>
      <c r="L56" s="43">
        <v>153800000</v>
      </c>
      <c r="M56" s="43">
        <v>208700000</v>
      </c>
      <c r="N56" s="43">
        <v>208700000</v>
      </c>
      <c r="O56" s="43">
        <f t="shared" si="19"/>
        <v>1.3569570871261378</v>
      </c>
      <c r="P56" s="43">
        <f t="shared" si="20"/>
        <v>2.0497358030996482</v>
      </c>
      <c r="Q56" s="43">
        <v>76680000</v>
      </c>
      <c r="R56" s="43">
        <v>120900000</v>
      </c>
      <c r="S56" s="43">
        <v>120900000</v>
      </c>
      <c r="T56" s="43">
        <f t="shared" si="21"/>
        <v>2.0508684863523574</v>
      </c>
      <c r="U56" s="43">
        <f t="shared" si="22"/>
        <v>1.1874128346657762</v>
      </c>
      <c r="V56" s="43"/>
      <c r="W56" s="43">
        <f t="shared" si="23"/>
        <v>164800000</v>
      </c>
      <c r="X56" s="43">
        <f t="shared" si="24"/>
        <v>1.7039127867392476</v>
      </c>
      <c r="Y56" s="43">
        <f t="shared" si="25"/>
        <v>1.6185743188827122</v>
      </c>
      <c r="Z56" s="43">
        <f>(J56+F56)/2</f>
        <v>1.5404435562967183</v>
      </c>
      <c r="AA56" s="43">
        <f>K56*X56</f>
        <v>173488992.12021673</v>
      </c>
      <c r="AB56" s="43">
        <f t="shared" si="26"/>
        <v>1.7039127867392478</v>
      </c>
      <c r="AC56" s="43">
        <f t="shared" si="27"/>
        <v>1.6185743188827122</v>
      </c>
      <c r="AD56" s="43">
        <f t="shared" si="28"/>
        <v>1.4291973050842706</v>
      </c>
      <c r="AE56" s="43">
        <f t="shared" si="16"/>
        <v>267250000</v>
      </c>
      <c r="AF56" s="44">
        <f t="shared" si="31"/>
        <v>1.5404435562967183</v>
      </c>
    </row>
    <row r="57" spans="1:32" ht="39.4" customHeight="1">
      <c r="A57" s="46">
        <v>32063108</v>
      </c>
      <c r="B57" s="59" t="s">
        <v>2385</v>
      </c>
      <c r="C57" s="60" t="s">
        <v>1967</v>
      </c>
      <c r="D57" s="49">
        <v>321000000</v>
      </c>
      <c r="E57" s="49">
        <v>321000000</v>
      </c>
      <c r="F57" s="49">
        <f t="shared" si="17"/>
        <v>1.162478302755799</v>
      </c>
      <c r="G57" s="49">
        <v>344340000</v>
      </c>
      <c r="H57" s="49">
        <v>382600000</v>
      </c>
      <c r="I57" s="49">
        <v>382600000</v>
      </c>
      <c r="J57" s="49">
        <f t="shared" si="18"/>
        <v>1.3855582511974103</v>
      </c>
      <c r="K57" s="49">
        <v>177272000</v>
      </c>
      <c r="L57" s="49">
        <v>213600000</v>
      </c>
      <c r="M57" s="49">
        <v>289800000</v>
      </c>
      <c r="N57" s="49">
        <v>289800000</v>
      </c>
      <c r="O57" s="49">
        <f t="shared" si="19"/>
        <v>1.3567415730337078</v>
      </c>
      <c r="P57" s="49">
        <f t="shared" si="20"/>
        <v>1.6347759375423079</v>
      </c>
      <c r="Q57" s="49">
        <v>107540000</v>
      </c>
      <c r="R57" s="49">
        <v>195800000</v>
      </c>
      <c r="S57" s="49">
        <v>195800000</v>
      </c>
      <c r="T57" s="49">
        <f t="shared" si="21"/>
        <v>1.7586312563840654</v>
      </c>
      <c r="U57" s="49">
        <f t="shared" si="22"/>
        <v>1.1045173518660589</v>
      </c>
      <c r="V57" s="49"/>
      <c r="W57" s="49">
        <f t="shared" si="23"/>
        <v>242800000</v>
      </c>
      <c r="X57" s="49">
        <f t="shared" si="24"/>
        <v>1.5576864147088867</v>
      </c>
      <c r="Y57" s="49">
        <f t="shared" si="25"/>
        <v>1.3696466447041833</v>
      </c>
      <c r="Z57" s="49">
        <f>(J57+F57)/2</f>
        <v>1.2740182769766046</v>
      </c>
      <c r="AA57" s="49">
        <f>K57*X57</f>
        <v>276134186.10827374</v>
      </c>
      <c r="AB57" s="49">
        <f t="shared" si="26"/>
        <v>1.5576864147088867</v>
      </c>
      <c r="AC57" s="49">
        <f t="shared" si="27"/>
        <v>1.3696466447041833</v>
      </c>
      <c r="AD57" s="49">
        <f t="shared" si="28"/>
        <v>1.2470024260776693</v>
      </c>
      <c r="AE57" s="49">
        <f t="shared" si="16"/>
        <v>351800000</v>
      </c>
      <c r="AF57" s="50">
        <f t="shared" si="31"/>
        <v>1.2740182769766046</v>
      </c>
    </row>
    <row r="58" spans="1:32" ht="39.4" customHeight="1">
      <c r="A58" s="40">
        <v>32063109</v>
      </c>
      <c r="B58" s="57" t="s">
        <v>2386</v>
      </c>
      <c r="C58" s="58" t="s">
        <v>1967</v>
      </c>
      <c r="D58" s="43">
        <v>391000000</v>
      </c>
      <c r="E58" s="43">
        <v>391000000</v>
      </c>
      <c r="F58" s="43">
        <f t="shared" si="17"/>
        <v>1.3576388888888888</v>
      </c>
      <c r="G58" s="43">
        <v>433000000</v>
      </c>
      <c r="H58" s="43">
        <v>476000000</v>
      </c>
      <c r="I58" s="43">
        <v>476000000</v>
      </c>
      <c r="J58" s="43">
        <f t="shared" si="18"/>
        <v>1.6527777777777777</v>
      </c>
      <c r="K58" s="43">
        <v>240000000</v>
      </c>
      <c r="L58" s="43"/>
      <c r="M58" s="43"/>
      <c r="N58" s="43"/>
      <c r="O58" s="43" t="e">
        <f t="shared" si="19"/>
        <v>#DIV/0!</v>
      </c>
      <c r="P58" s="43">
        <f t="shared" si="20"/>
        <v>0</v>
      </c>
      <c r="Q58" s="43">
        <v>232000000</v>
      </c>
      <c r="R58" s="43">
        <v>285000000</v>
      </c>
      <c r="S58" s="43">
        <v>285000000</v>
      </c>
      <c r="T58" s="43">
        <f t="shared" si="21"/>
        <v>1.5192982456140351</v>
      </c>
      <c r="U58" s="43">
        <f t="shared" si="22"/>
        <v>1.1875</v>
      </c>
      <c r="V58" s="43"/>
      <c r="W58" s="43">
        <f t="shared" si="23"/>
        <v>142500000</v>
      </c>
      <c r="X58" s="43" t="e">
        <f t="shared" si="24"/>
        <v>#DIV/0!</v>
      </c>
      <c r="Y58" s="43">
        <f t="shared" si="25"/>
        <v>0.59375</v>
      </c>
      <c r="Z58" s="43"/>
      <c r="AA58" s="43">
        <v>288000000</v>
      </c>
      <c r="AB58" s="43">
        <f t="shared" si="26"/>
        <v>1.2</v>
      </c>
      <c r="AC58" s="43">
        <f t="shared" si="27"/>
        <v>0.59375</v>
      </c>
      <c r="AD58" s="43">
        <f t="shared" si="28"/>
        <v>1.5034722222222223</v>
      </c>
      <c r="AE58" s="43">
        <f>AA58*AB58</f>
        <v>345600000</v>
      </c>
      <c r="AF58" s="44">
        <f t="shared" si="31"/>
        <v>1.5052083333333333</v>
      </c>
    </row>
    <row r="59" spans="1:32" ht="26.65" customHeight="1">
      <c r="A59" s="46">
        <v>32063201</v>
      </c>
      <c r="B59" s="59" t="s">
        <v>2387</v>
      </c>
      <c r="C59" s="60" t="s">
        <v>1967</v>
      </c>
      <c r="D59" s="49"/>
      <c r="E59" s="49"/>
      <c r="F59" s="49">
        <f t="shared" si="17"/>
        <v>0</v>
      </c>
      <c r="G59" s="49">
        <v>59200000</v>
      </c>
      <c r="H59" s="49">
        <v>59200000</v>
      </c>
      <c r="I59" s="49">
        <v>59200000</v>
      </c>
      <c r="J59" s="49">
        <f t="shared" si="18"/>
        <v>1.6666464657392486</v>
      </c>
      <c r="K59" s="49">
        <v>27135000</v>
      </c>
      <c r="L59" s="49">
        <v>29000000</v>
      </c>
      <c r="M59" s="49">
        <v>41100000</v>
      </c>
      <c r="N59" s="49">
        <v>41100000</v>
      </c>
      <c r="O59" s="49">
        <f t="shared" si="19"/>
        <v>1.4172413793103449</v>
      </c>
      <c r="P59" s="49">
        <f t="shared" si="20"/>
        <v>1.5146489773355445</v>
      </c>
      <c r="Q59" s="49">
        <v>28710000</v>
      </c>
      <c r="R59" s="49">
        <v>40700000</v>
      </c>
      <c r="S59" s="49">
        <v>49300000</v>
      </c>
      <c r="T59" s="49">
        <f t="shared" si="21"/>
        <v>1.2008113590263692</v>
      </c>
      <c r="U59" s="49">
        <f t="shared" si="22"/>
        <v>1.8168417173392297</v>
      </c>
      <c r="V59" s="49"/>
      <c r="W59" s="49">
        <f t="shared" si="23"/>
        <v>45200000</v>
      </c>
      <c r="X59" s="49">
        <f t="shared" si="24"/>
        <v>1.309026369168357</v>
      </c>
      <c r="Y59" s="49">
        <f t="shared" si="25"/>
        <v>1.6657453473373871</v>
      </c>
      <c r="Z59" s="49">
        <f>1.6</f>
        <v>1.6</v>
      </c>
      <c r="AA59" s="49">
        <f t="shared" ref="AA59:AA90" si="32">K59*X59</f>
        <v>35520430.527383365</v>
      </c>
      <c r="AB59" s="49">
        <f t="shared" si="26"/>
        <v>1.309026369168357</v>
      </c>
      <c r="AC59" s="49">
        <f t="shared" si="27"/>
        <v>1.6657453473373871</v>
      </c>
      <c r="AD59" s="49">
        <f t="shared" si="28"/>
        <v>1.6666464657392486</v>
      </c>
      <c r="AE59" s="49">
        <f t="shared" ref="AE59:AE90" si="33">AA59*Z59</f>
        <v>56832688.84381339</v>
      </c>
      <c r="AF59" s="50">
        <f t="shared" si="31"/>
        <v>0.83332323286962429</v>
      </c>
    </row>
    <row r="60" spans="1:32" ht="26.65" customHeight="1">
      <c r="A60" s="40">
        <v>32063202</v>
      </c>
      <c r="B60" s="57" t="s">
        <v>2388</v>
      </c>
      <c r="C60" s="58" t="s">
        <v>1967</v>
      </c>
      <c r="D60" s="43"/>
      <c r="E60" s="43"/>
      <c r="F60" s="43">
        <f t="shared" si="17"/>
        <v>0</v>
      </c>
      <c r="G60" s="43">
        <v>64200000</v>
      </c>
      <c r="H60" s="43">
        <v>64200000</v>
      </c>
      <c r="I60" s="43">
        <v>64200000</v>
      </c>
      <c r="J60" s="43">
        <f t="shared" si="18"/>
        <v>1.6911266651614361</v>
      </c>
      <c r="K60" s="43">
        <v>29025000</v>
      </c>
      <c r="L60" s="43">
        <v>31500000</v>
      </c>
      <c r="M60" s="43">
        <v>44600000</v>
      </c>
      <c r="N60" s="43">
        <v>44600000</v>
      </c>
      <c r="O60" s="43">
        <f t="shared" si="19"/>
        <v>1.4158730158730159</v>
      </c>
      <c r="P60" s="43">
        <f t="shared" si="20"/>
        <v>1.5366063738156761</v>
      </c>
      <c r="Q60" s="43">
        <v>31190000</v>
      </c>
      <c r="R60" s="43">
        <v>44100000</v>
      </c>
      <c r="S60" s="43">
        <v>53500000</v>
      </c>
      <c r="T60" s="43">
        <f t="shared" si="21"/>
        <v>1.2</v>
      </c>
      <c r="U60" s="43">
        <f t="shared" si="22"/>
        <v>1.843238587424634</v>
      </c>
      <c r="V60" s="43"/>
      <c r="W60" s="43">
        <f t="shared" si="23"/>
        <v>49050000</v>
      </c>
      <c r="X60" s="43">
        <f t="shared" si="24"/>
        <v>1.307936507936508</v>
      </c>
      <c r="Y60" s="43">
        <f t="shared" si="25"/>
        <v>1.6899224806201549</v>
      </c>
      <c r="Z60" s="43">
        <f>1.6</f>
        <v>1.6</v>
      </c>
      <c r="AA60" s="43">
        <f t="shared" si="32"/>
        <v>37962857.142857142</v>
      </c>
      <c r="AB60" s="43">
        <f t="shared" si="26"/>
        <v>1.307936507936508</v>
      </c>
      <c r="AC60" s="43">
        <f t="shared" si="27"/>
        <v>1.6899224806201549</v>
      </c>
      <c r="AD60" s="43">
        <f t="shared" si="28"/>
        <v>1.6911266651614361</v>
      </c>
      <c r="AE60" s="43">
        <f t="shared" si="33"/>
        <v>60740571.428571433</v>
      </c>
      <c r="AF60" s="44">
        <f t="shared" si="31"/>
        <v>0.84556333258071803</v>
      </c>
    </row>
    <row r="61" spans="1:32" ht="26.65" customHeight="1">
      <c r="A61" s="46">
        <v>32063203</v>
      </c>
      <c r="B61" s="59" t="s">
        <v>2389</v>
      </c>
      <c r="C61" s="60" t="s">
        <v>1967</v>
      </c>
      <c r="D61" s="49"/>
      <c r="E61" s="49"/>
      <c r="F61" s="49">
        <f t="shared" si="17"/>
        <v>0</v>
      </c>
      <c r="G61" s="49">
        <v>78500000</v>
      </c>
      <c r="H61" s="49">
        <v>78500000</v>
      </c>
      <c r="I61" s="49">
        <v>78500000</v>
      </c>
      <c r="J61" s="49">
        <f t="shared" si="18"/>
        <v>1.7366264183997864</v>
      </c>
      <c r="K61" s="49">
        <v>34560000</v>
      </c>
      <c r="L61" s="49">
        <v>38500000</v>
      </c>
      <c r="M61" s="49">
        <v>54500000</v>
      </c>
      <c r="N61" s="49">
        <v>54500000</v>
      </c>
      <c r="O61" s="49">
        <f t="shared" si="19"/>
        <v>1.4155844155844155</v>
      </c>
      <c r="P61" s="49">
        <f t="shared" si="20"/>
        <v>1.5769675925925926</v>
      </c>
      <c r="Q61" s="49">
        <v>38120000</v>
      </c>
      <c r="R61" s="49">
        <v>53900000</v>
      </c>
      <c r="S61" s="49">
        <v>65400000</v>
      </c>
      <c r="T61" s="49">
        <f t="shared" si="21"/>
        <v>1.2003058103975535</v>
      </c>
      <c r="U61" s="49">
        <f t="shared" si="22"/>
        <v>1.8923611111111112</v>
      </c>
      <c r="V61" s="49"/>
      <c r="W61" s="49">
        <f t="shared" si="23"/>
        <v>59950000</v>
      </c>
      <c r="X61" s="49">
        <f t="shared" si="24"/>
        <v>1.3079451129909845</v>
      </c>
      <c r="Y61" s="49">
        <f t="shared" si="25"/>
        <v>1.7346643518518519</v>
      </c>
      <c r="Z61" s="49">
        <f>1.6</f>
        <v>1.6</v>
      </c>
      <c r="AA61" s="49">
        <f t="shared" si="32"/>
        <v>45202583.104968421</v>
      </c>
      <c r="AB61" s="49">
        <f t="shared" si="26"/>
        <v>1.3079451129909845</v>
      </c>
      <c r="AC61" s="49">
        <f t="shared" si="27"/>
        <v>1.7346643518518519</v>
      </c>
      <c r="AD61" s="49">
        <f t="shared" si="28"/>
        <v>1.7366264183997864</v>
      </c>
      <c r="AE61" s="49">
        <f t="shared" si="33"/>
        <v>72324132.96794948</v>
      </c>
      <c r="AF61" s="50">
        <f t="shared" si="31"/>
        <v>0.86831320919989319</v>
      </c>
    </row>
    <row r="62" spans="1:32" ht="26.65" customHeight="1">
      <c r="A62" s="40">
        <v>32063204</v>
      </c>
      <c r="B62" s="57" t="s">
        <v>2390</v>
      </c>
      <c r="C62" s="58" t="s">
        <v>1967</v>
      </c>
      <c r="D62" s="43"/>
      <c r="E62" s="43"/>
      <c r="F62" s="43">
        <f t="shared" si="17"/>
        <v>0</v>
      </c>
      <c r="G62" s="43">
        <v>81500000</v>
      </c>
      <c r="H62" s="43">
        <v>81500000</v>
      </c>
      <c r="I62" s="43">
        <v>81500000</v>
      </c>
      <c r="J62" s="43">
        <f t="shared" si="18"/>
        <v>1.6788060791135488</v>
      </c>
      <c r="K62" s="43">
        <v>37125000</v>
      </c>
      <c r="L62" s="43">
        <v>40000000</v>
      </c>
      <c r="M62" s="43">
        <v>56600000</v>
      </c>
      <c r="N62" s="43">
        <v>56600000</v>
      </c>
      <c r="O62" s="43">
        <f t="shared" si="19"/>
        <v>1.415</v>
      </c>
      <c r="P62" s="43">
        <f t="shared" si="20"/>
        <v>1.5245791245791245</v>
      </c>
      <c r="Q62" s="43">
        <v>39600000</v>
      </c>
      <c r="R62" s="43">
        <v>56100000</v>
      </c>
      <c r="S62" s="43">
        <v>67900000</v>
      </c>
      <c r="T62" s="43">
        <f t="shared" si="21"/>
        <v>1.2002945508100147</v>
      </c>
      <c r="U62" s="43">
        <f t="shared" si="22"/>
        <v>1.8289562289562289</v>
      </c>
      <c r="V62" s="43"/>
      <c r="W62" s="43">
        <f t="shared" si="23"/>
        <v>62250000</v>
      </c>
      <c r="X62" s="43">
        <f t="shared" si="24"/>
        <v>1.3076472754050075</v>
      </c>
      <c r="Y62" s="43">
        <f t="shared" si="25"/>
        <v>1.6767676767676767</v>
      </c>
      <c r="Z62" s="43">
        <f>1.6</f>
        <v>1.6</v>
      </c>
      <c r="AA62" s="43">
        <f t="shared" si="32"/>
        <v>48546405.099410899</v>
      </c>
      <c r="AB62" s="43">
        <f t="shared" si="26"/>
        <v>1.3076472754050075</v>
      </c>
      <c r="AC62" s="43">
        <f t="shared" si="27"/>
        <v>1.6767676767676767</v>
      </c>
      <c r="AD62" s="43">
        <f t="shared" si="28"/>
        <v>1.6788060791135488</v>
      </c>
      <c r="AE62" s="43">
        <f t="shared" si="33"/>
        <v>77674248.159057438</v>
      </c>
      <c r="AF62" s="44">
        <f t="shared" si="31"/>
        <v>0.83940303955677442</v>
      </c>
    </row>
    <row r="63" spans="1:32" ht="26.65" customHeight="1">
      <c r="A63" s="46">
        <v>32063205</v>
      </c>
      <c r="B63" s="59" t="s">
        <v>2391</v>
      </c>
      <c r="C63" s="60" t="s">
        <v>1967</v>
      </c>
      <c r="D63" s="49"/>
      <c r="E63" s="49"/>
      <c r="F63" s="49">
        <f t="shared" si="17"/>
        <v>0</v>
      </c>
      <c r="G63" s="49">
        <v>110200000</v>
      </c>
      <c r="H63" s="49">
        <v>110200000</v>
      </c>
      <c r="I63" s="49">
        <v>110200000</v>
      </c>
      <c r="J63" s="49">
        <f t="shared" si="18"/>
        <v>1.9373194330439956</v>
      </c>
      <c r="K63" s="49">
        <v>43470000</v>
      </c>
      <c r="L63" s="49">
        <v>54000000</v>
      </c>
      <c r="M63" s="49">
        <v>76500000</v>
      </c>
      <c r="N63" s="49">
        <v>76500000</v>
      </c>
      <c r="O63" s="49">
        <f t="shared" si="19"/>
        <v>1.4166666666666667</v>
      </c>
      <c r="P63" s="49">
        <f t="shared" si="20"/>
        <v>1.7598343685300206</v>
      </c>
      <c r="Q63" s="49">
        <v>53600000</v>
      </c>
      <c r="R63" s="49">
        <v>75800000</v>
      </c>
      <c r="S63" s="49">
        <v>91800000</v>
      </c>
      <c r="T63" s="49">
        <f t="shared" si="21"/>
        <v>1.2004357298474946</v>
      </c>
      <c r="U63" s="49">
        <f t="shared" si="22"/>
        <v>2.1118012422360248</v>
      </c>
      <c r="V63" s="49"/>
      <c r="W63" s="49">
        <f t="shared" si="23"/>
        <v>84150000</v>
      </c>
      <c r="X63" s="49">
        <f t="shared" si="24"/>
        <v>1.3085511982570806</v>
      </c>
      <c r="Y63" s="49">
        <f t="shared" si="25"/>
        <v>1.9358178053830228</v>
      </c>
      <c r="Z63" s="49">
        <f>1.6</f>
        <v>1.6</v>
      </c>
      <c r="AA63" s="49">
        <f t="shared" si="32"/>
        <v>56882720.588235289</v>
      </c>
      <c r="AB63" s="49">
        <f t="shared" si="26"/>
        <v>1.3085511982570806</v>
      </c>
      <c r="AC63" s="49">
        <f t="shared" si="27"/>
        <v>1.9358178053830228</v>
      </c>
      <c r="AD63" s="49">
        <f t="shared" si="28"/>
        <v>1.9373194330439956</v>
      </c>
      <c r="AE63" s="49">
        <f t="shared" si="33"/>
        <v>91012352.941176474</v>
      </c>
      <c r="AF63" s="50">
        <f t="shared" si="31"/>
        <v>0.96865971652199778</v>
      </c>
    </row>
    <row r="64" spans="1:32" ht="26.65" customHeight="1">
      <c r="A64" s="40">
        <v>32063206</v>
      </c>
      <c r="B64" s="57" t="s">
        <v>2392</v>
      </c>
      <c r="C64" s="58" t="s">
        <v>1967</v>
      </c>
      <c r="D64" s="43"/>
      <c r="E64" s="43"/>
      <c r="F64" s="43">
        <f t="shared" si="17"/>
        <v>0</v>
      </c>
      <c r="G64" s="43">
        <v>160300000</v>
      </c>
      <c r="H64" s="43">
        <v>160300000</v>
      </c>
      <c r="I64" s="43">
        <v>160300000</v>
      </c>
      <c r="J64" s="43">
        <f t="shared" si="18"/>
        <v>2.6458393947270915</v>
      </c>
      <c r="K64" s="43">
        <v>47385000</v>
      </c>
      <c r="L64" s="43">
        <v>82000000</v>
      </c>
      <c r="M64" s="43">
        <v>111300000</v>
      </c>
      <c r="N64" s="43">
        <v>111300000</v>
      </c>
      <c r="O64" s="43">
        <f t="shared" si="19"/>
        <v>1.3573170731707318</v>
      </c>
      <c r="P64" s="43">
        <f t="shared" si="20"/>
        <v>2.3488445710667931</v>
      </c>
      <c r="Q64" s="43">
        <v>81180000</v>
      </c>
      <c r="R64" s="43">
        <v>110200000</v>
      </c>
      <c r="S64" s="43">
        <v>133600000</v>
      </c>
      <c r="T64" s="43">
        <f t="shared" si="21"/>
        <v>1.1998502994011977</v>
      </c>
      <c r="U64" s="43">
        <f t="shared" si="22"/>
        <v>2.8194576342724491</v>
      </c>
      <c r="V64" s="43"/>
      <c r="W64" s="43">
        <f t="shared" si="23"/>
        <v>122450000</v>
      </c>
      <c r="X64" s="43">
        <f t="shared" si="24"/>
        <v>1.2785836862859647</v>
      </c>
      <c r="Y64" s="43">
        <f t="shared" si="25"/>
        <v>2.5841511026696211</v>
      </c>
      <c r="Z64" s="43">
        <f>(J64+F64)/2</f>
        <v>1.3229196973635458</v>
      </c>
      <c r="AA64" s="43">
        <f t="shared" si="32"/>
        <v>60585687.974660441</v>
      </c>
      <c r="AB64" s="43">
        <f t="shared" si="26"/>
        <v>1.2785836862859647</v>
      </c>
      <c r="AC64" s="43">
        <f t="shared" si="27"/>
        <v>2.5841511026696211</v>
      </c>
      <c r="AD64" s="43">
        <f t="shared" si="28"/>
        <v>2.6458393947270915</v>
      </c>
      <c r="AE64" s="43">
        <f t="shared" si="33"/>
        <v>80150000</v>
      </c>
      <c r="AF64" s="44"/>
    </row>
    <row r="65" spans="1:32" ht="26.65" customHeight="1">
      <c r="A65" s="46">
        <v>32063207</v>
      </c>
      <c r="B65" s="59" t="s">
        <v>2393</v>
      </c>
      <c r="C65" s="60" t="s">
        <v>1967</v>
      </c>
      <c r="D65" s="49"/>
      <c r="E65" s="49"/>
      <c r="F65" s="49">
        <f t="shared" si="17"/>
        <v>0</v>
      </c>
      <c r="G65" s="49">
        <v>246200000</v>
      </c>
      <c r="H65" s="49">
        <v>246200000</v>
      </c>
      <c r="I65" s="49">
        <v>246200000</v>
      </c>
      <c r="J65" s="49">
        <f t="shared" si="18"/>
        <v>2.5748541134081986</v>
      </c>
      <c r="K65" s="49">
        <v>74790000</v>
      </c>
      <c r="L65" s="49">
        <v>126000000</v>
      </c>
      <c r="M65" s="49">
        <v>171000000</v>
      </c>
      <c r="N65" s="49">
        <v>171000000</v>
      </c>
      <c r="O65" s="49">
        <f t="shared" si="19"/>
        <v>1.3571428571428572</v>
      </c>
      <c r="P65" s="49">
        <f t="shared" si="20"/>
        <v>2.286401925391095</v>
      </c>
      <c r="Q65" s="49">
        <v>124740000</v>
      </c>
      <c r="R65" s="49">
        <v>169300000</v>
      </c>
      <c r="S65" s="49">
        <v>205200000</v>
      </c>
      <c r="T65" s="49">
        <f t="shared" si="21"/>
        <v>1.1998050682261208</v>
      </c>
      <c r="U65" s="49">
        <f t="shared" si="22"/>
        <v>2.743682310469314</v>
      </c>
      <c r="V65" s="49"/>
      <c r="W65" s="49">
        <f t="shared" si="23"/>
        <v>188100000</v>
      </c>
      <c r="X65" s="49">
        <f t="shared" si="24"/>
        <v>1.278473962684489</v>
      </c>
      <c r="Y65" s="49">
        <f t="shared" si="25"/>
        <v>2.5150421179302045</v>
      </c>
      <c r="Z65" s="49">
        <f>(J65+F65)/2</f>
        <v>1.2874270567040993</v>
      </c>
      <c r="AA65" s="49">
        <f t="shared" si="32"/>
        <v>95617067.669172928</v>
      </c>
      <c r="AB65" s="49">
        <f t="shared" si="26"/>
        <v>1.278473962684489</v>
      </c>
      <c r="AC65" s="49">
        <f t="shared" si="27"/>
        <v>2.5150421179302045</v>
      </c>
      <c r="AD65" s="49">
        <f t="shared" si="28"/>
        <v>2.5748541134081986</v>
      </c>
      <c r="AE65" s="49">
        <f t="shared" si="33"/>
        <v>123100000</v>
      </c>
      <c r="AF65" s="50"/>
    </row>
    <row r="66" spans="1:32" ht="26.65" customHeight="1">
      <c r="A66" s="40">
        <v>32063208</v>
      </c>
      <c r="B66" s="57" t="s">
        <v>2394</v>
      </c>
      <c r="C66" s="58" t="s">
        <v>1967</v>
      </c>
      <c r="D66" s="43"/>
      <c r="E66" s="43"/>
      <c r="F66" s="43">
        <f t="shared" si="17"/>
        <v>0</v>
      </c>
      <c r="G66" s="43">
        <v>301000000</v>
      </c>
      <c r="H66" s="43">
        <v>301000000</v>
      </c>
      <c r="I66" s="43">
        <v>301000000</v>
      </c>
      <c r="J66" s="43">
        <f t="shared" si="18"/>
        <v>2.1769483718330624</v>
      </c>
      <c r="K66" s="43">
        <v>108135000</v>
      </c>
      <c r="L66" s="43">
        <v>154000000</v>
      </c>
      <c r="M66" s="43">
        <v>209000000</v>
      </c>
      <c r="N66" s="43">
        <v>209000000</v>
      </c>
      <c r="O66" s="43">
        <f t="shared" si="19"/>
        <v>1.3571428571428572</v>
      </c>
      <c r="P66" s="43">
        <f t="shared" si="20"/>
        <v>1.9327692236556158</v>
      </c>
      <c r="Q66" s="43">
        <v>152460000</v>
      </c>
      <c r="R66" s="43">
        <v>206900000</v>
      </c>
      <c r="S66" s="43">
        <v>250800000</v>
      </c>
      <c r="T66" s="43">
        <f t="shared" si="21"/>
        <v>1.2001594896331738</v>
      </c>
      <c r="U66" s="43">
        <f t="shared" si="22"/>
        <v>2.3193230683867387</v>
      </c>
      <c r="V66" s="43"/>
      <c r="W66" s="43">
        <f t="shared" si="23"/>
        <v>229900000</v>
      </c>
      <c r="X66" s="43">
        <f t="shared" si="24"/>
        <v>1.2786511733880155</v>
      </c>
      <c r="Y66" s="43">
        <f t="shared" si="25"/>
        <v>2.126046146021177</v>
      </c>
      <c r="Z66" s="43">
        <v>1.5</v>
      </c>
      <c r="AA66" s="43">
        <f t="shared" si="32"/>
        <v>138266944.63431305</v>
      </c>
      <c r="AB66" s="43">
        <f t="shared" si="26"/>
        <v>1.2786511733880155</v>
      </c>
      <c r="AC66" s="43">
        <f t="shared" si="27"/>
        <v>2.126046146021177</v>
      </c>
      <c r="AD66" s="43">
        <f t="shared" si="28"/>
        <v>2.1769483718330624</v>
      </c>
      <c r="AE66" s="43">
        <f t="shared" si="33"/>
        <v>207400416.95146957</v>
      </c>
      <c r="AF66" s="44"/>
    </row>
    <row r="67" spans="1:32" ht="26.65" customHeight="1">
      <c r="A67" s="46">
        <v>32063209</v>
      </c>
      <c r="B67" s="59" t="s">
        <v>2395</v>
      </c>
      <c r="C67" s="60" t="s">
        <v>1967</v>
      </c>
      <c r="D67" s="49"/>
      <c r="E67" s="49"/>
      <c r="F67" s="49">
        <f t="shared" ref="F67:F98" si="34">E67/AA67</f>
        <v>0</v>
      </c>
      <c r="G67" s="49">
        <v>342600000</v>
      </c>
      <c r="H67" s="49">
        <v>342600000</v>
      </c>
      <c r="I67" s="49">
        <v>342600000</v>
      </c>
      <c r="J67" s="49">
        <f t="shared" ref="J67:J98" si="35">I67/AA67</f>
        <v>2.0590422999372304</v>
      </c>
      <c r="K67" s="49">
        <v>130140000</v>
      </c>
      <c r="L67" s="49">
        <v>177000000</v>
      </c>
      <c r="M67" s="49">
        <v>240200000</v>
      </c>
      <c r="N67" s="49">
        <v>240200000</v>
      </c>
      <c r="O67" s="49">
        <f t="shared" ref="O67:O98" si="36">(N67/L67)</f>
        <v>1.3570621468926554</v>
      </c>
      <c r="P67" s="49">
        <f t="shared" ref="P67:P98" si="37">(N67/K67)</f>
        <v>1.8457046257876133</v>
      </c>
      <c r="Q67" s="49">
        <v>170890000</v>
      </c>
      <c r="R67" s="49">
        <v>237900000</v>
      </c>
      <c r="S67" s="49">
        <v>285500000</v>
      </c>
      <c r="T67" s="49">
        <f t="shared" ref="T67:T98" si="38">G67/S67</f>
        <v>1.2</v>
      </c>
      <c r="U67" s="49">
        <f t="shared" ref="U67:U98" si="39">S67/K67</f>
        <v>2.1937913016751192</v>
      </c>
      <c r="V67" s="49"/>
      <c r="W67" s="49">
        <f t="shared" ref="W67:W98" si="40">(S67+N67)/2</f>
        <v>262850000</v>
      </c>
      <c r="X67" s="49">
        <f t="shared" ref="X67:X98" si="41">(T67+O67)/2</f>
        <v>1.2785310734463278</v>
      </c>
      <c r="Y67" s="49">
        <f t="shared" ref="Y67:Y98" si="42">W67/K67</f>
        <v>2.019747963731366</v>
      </c>
      <c r="Z67" s="49">
        <v>1.6</v>
      </c>
      <c r="AA67" s="49">
        <f t="shared" si="32"/>
        <v>166388033.89830509</v>
      </c>
      <c r="AB67" s="49">
        <f t="shared" ref="AB67:AB98" si="43">AA67/K67</f>
        <v>1.2785310734463278</v>
      </c>
      <c r="AC67" s="49">
        <f t="shared" ref="AC67:AC98" si="44">W67/K67</f>
        <v>2.019747963731366</v>
      </c>
      <c r="AD67" s="49">
        <f t="shared" ref="AD67:AD98" si="45">G67/AA67</f>
        <v>2.0590422999372304</v>
      </c>
      <c r="AE67" s="49">
        <f t="shared" si="33"/>
        <v>266220854.23728815</v>
      </c>
      <c r="AF67" s="50"/>
    </row>
    <row r="68" spans="1:32" ht="26.65" customHeight="1">
      <c r="A68" s="40">
        <v>32063210</v>
      </c>
      <c r="B68" s="57" t="s">
        <v>2396</v>
      </c>
      <c r="C68" s="58" t="s">
        <v>1967</v>
      </c>
      <c r="D68" s="43"/>
      <c r="E68" s="43"/>
      <c r="F68" s="43">
        <f t="shared" si="34"/>
        <v>0</v>
      </c>
      <c r="G68" s="43">
        <v>475900000</v>
      </c>
      <c r="H68" s="43">
        <v>475900000</v>
      </c>
      <c r="I68" s="43">
        <v>475900000</v>
      </c>
      <c r="J68" s="43">
        <f t="shared" si="35"/>
        <v>2.2826188294870873</v>
      </c>
      <c r="K68" s="43">
        <v>162000000</v>
      </c>
      <c r="L68" s="43">
        <v>246000000</v>
      </c>
      <c r="M68" s="43">
        <v>338000000</v>
      </c>
      <c r="N68" s="43">
        <v>338000000</v>
      </c>
      <c r="O68" s="43">
        <f t="shared" si="36"/>
        <v>1.3739837398373984</v>
      </c>
      <c r="P68" s="43">
        <f t="shared" si="37"/>
        <v>2.0864197530864197</v>
      </c>
      <c r="Q68" s="43">
        <v>236560000</v>
      </c>
      <c r="R68" s="43">
        <v>330500000</v>
      </c>
      <c r="S68" s="43">
        <v>396600000</v>
      </c>
      <c r="T68" s="43">
        <f t="shared" si="38"/>
        <v>1.1999495713565305</v>
      </c>
      <c r="U68" s="43">
        <f t="shared" si="39"/>
        <v>2.4481481481481482</v>
      </c>
      <c r="V68" s="43"/>
      <c r="W68" s="43">
        <f t="shared" si="40"/>
        <v>367300000</v>
      </c>
      <c r="X68" s="43">
        <f t="shared" si="41"/>
        <v>1.2869666555969643</v>
      </c>
      <c r="Y68" s="43">
        <f t="shared" si="42"/>
        <v>2.2672839506172839</v>
      </c>
      <c r="Z68" s="43">
        <v>1.5</v>
      </c>
      <c r="AA68" s="43">
        <f t="shared" si="32"/>
        <v>208488598.20670822</v>
      </c>
      <c r="AB68" s="43">
        <f t="shared" si="43"/>
        <v>1.2869666555969643</v>
      </c>
      <c r="AC68" s="43">
        <f t="shared" si="44"/>
        <v>2.2672839506172839</v>
      </c>
      <c r="AD68" s="43">
        <f t="shared" si="45"/>
        <v>2.2826188294870873</v>
      </c>
      <c r="AE68" s="43">
        <f t="shared" si="33"/>
        <v>312732897.31006235</v>
      </c>
      <c r="AF68" s="44"/>
    </row>
    <row r="69" spans="1:32" ht="26.65" customHeight="1">
      <c r="A69" s="46">
        <v>32063211</v>
      </c>
      <c r="B69" s="59" t="s">
        <v>2397</v>
      </c>
      <c r="C69" s="60" t="s">
        <v>1967</v>
      </c>
      <c r="D69" s="49"/>
      <c r="E69" s="49"/>
      <c r="F69" s="49">
        <f t="shared" si="34"/>
        <v>0</v>
      </c>
      <c r="G69" s="49">
        <v>677000000</v>
      </c>
      <c r="H69" s="49">
        <v>677000000</v>
      </c>
      <c r="I69" s="49">
        <v>677000000</v>
      </c>
      <c r="J69" s="49">
        <f t="shared" si="35"/>
        <v>2.6148735181890608</v>
      </c>
      <c r="K69" s="49">
        <v>202500000</v>
      </c>
      <c r="L69" s="49">
        <v>350000000</v>
      </c>
      <c r="M69" s="49">
        <v>475000000</v>
      </c>
      <c r="N69" s="49">
        <v>475000000</v>
      </c>
      <c r="O69" s="49">
        <f t="shared" si="36"/>
        <v>1.3571428571428572</v>
      </c>
      <c r="P69" s="49">
        <f t="shared" si="37"/>
        <v>2.3456790123456792</v>
      </c>
      <c r="Q69" s="49">
        <v>300040000</v>
      </c>
      <c r="R69" s="49">
        <v>470200000</v>
      </c>
      <c r="S69" s="49">
        <v>564200000</v>
      </c>
      <c r="T69" s="49">
        <f t="shared" si="38"/>
        <v>1.1999291031549095</v>
      </c>
      <c r="U69" s="49">
        <f t="shared" si="39"/>
        <v>2.7861728395061727</v>
      </c>
      <c r="V69" s="49"/>
      <c r="W69" s="49">
        <f t="shared" si="40"/>
        <v>519600000</v>
      </c>
      <c r="X69" s="49">
        <f t="shared" si="41"/>
        <v>1.2785359801488834</v>
      </c>
      <c r="Y69" s="49">
        <f t="shared" si="42"/>
        <v>2.5659259259259257</v>
      </c>
      <c r="Z69" s="49">
        <v>1.5</v>
      </c>
      <c r="AA69" s="49">
        <f t="shared" si="32"/>
        <v>258903535.98014888</v>
      </c>
      <c r="AB69" s="49">
        <f t="shared" si="43"/>
        <v>1.2785359801488834</v>
      </c>
      <c r="AC69" s="49">
        <f t="shared" si="44"/>
        <v>2.5659259259259257</v>
      </c>
      <c r="AD69" s="49">
        <f t="shared" si="45"/>
        <v>2.6148735181890608</v>
      </c>
      <c r="AE69" s="49">
        <f t="shared" si="33"/>
        <v>388355303.97022331</v>
      </c>
      <c r="AF69" s="50"/>
    </row>
    <row r="70" spans="1:32" ht="26.65" customHeight="1">
      <c r="A70" s="40">
        <v>32063212</v>
      </c>
      <c r="B70" s="57" t="s">
        <v>2398</v>
      </c>
      <c r="C70" s="58" t="s">
        <v>1967</v>
      </c>
      <c r="D70" s="43"/>
      <c r="E70" s="43"/>
      <c r="F70" s="43">
        <f t="shared" si="34"/>
        <v>0</v>
      </c>
      <c r="G70" s="43">
        <v>812600000</v>
      </c>
      <c r="H70" s="43">
        <v>812600000</v>
      </c>
      <c r="I70" s="43">
        <v>812600000</v>
      </c>
      <c r="J70" s="43">
        <f t="shared" si="35"/>
        <v>2.3541738442233786</v>
      </c>
      <c r="K70" s="43">
        <v>270000000</v>
      </c>
      <c r="L70" s="43">
        <v>420000000</v>
      </c>
      <c r="M70" s="43">
        <v>569900000</v>
      </c>
      <c r="N70" s="43">
        <v>569900000</v>
      </c>
      <c r="O70" s="43">
        <f t="shared" si="36"/>
        <v>1.3569047619047618</v>
      </c>
      <c r="P70" s="43">
        <f t="shared" si="37"/>
        <v>2.1107407407407406</v>
      </c>
      <c r="Q70" s="43">
        <v>403310000</v>
      </c>
      <c r="R70" s="43">
        <v>564300000</v>
      </c>
      <c r="S70" s="43">
        <v>677200000</v>
      </c>
      <c r="T70" s="43">
        <f t="shared" si="38"/>
        <v>1.1999409332545776</v>
      </c>
      <c r="U70" s="43">
        <f t="shared" si="39"/>
        <v>2.5081481481481482</v>
      </c>
      <c r="V70" s="43"/>
      <c r="W70" s="43">
        <f t="shared" si="40"/>
        <v>623550000</v>
      </c>
      <c r="X70" s="43">
        <f t="shared" si="41"/>
        <v>1.2784228475796697</v>
      </c>
      <c r="Y70" s="43">
        <f t="shared" si="42"/>
        <v>2.3094444444444444</v>
      </c>
      <c r="Z70" s="43">
        <v>1.5</v>
      </c>
      <c r="AA70" s="43">
        <f t="shared" si="32"/>
        <v>345174168.84651083</v>
      </c>
      <c r="AB70" s="43">
        <f t="shared" si="43"/>
        <v>1.2784228475796697</v>
      </c>
      <c r="AC70" s="43">
        <f t="shared" si="44"/>
        <v>2.3094444444444444</v>
      </c>
      <c r="AD70" s="43">
        <f t="shared" si="45"/>
        <v>2.3541738442233786</v>
      </c>
      <c r="AE70" s="43">
        <f t="shared" si="33"/>
        <v>517761253.26976621</v>
      </c>
      <c r="AF70" s="44"/>
    </row>
    <row r="71" spans="1:32" ht="26.65" customHeight="1">
      <c r="A71" s="46">
        <v>32063213</v>
      </c>
      <c r="B71" s="59" t="s">
        <v>2399</v>
      </c>
      <c r="C71" s="60" t="s">
        <v>1967</v>
      </c>
      <c r="D71" s="49"/>
      <c r="E71" s="49"/>
      <c r="F71" s="49">
        <f t="shared" si="34"/>
        <v>0</v>
      </c>
      <c r="G71" s="49">
        <v>1201000000</v>
      </c>
      <c r="H71" s="49">
        <v>1296100000</v>
      </c>
      <c r="I71" s="49">
        <v>1296100000</v>
      </c>
      <c r="J71" s="49">
        <f t="shared" si="35"/>
        <v>2.5923961219006038</v>
      </c>
      <c r="K71" s="49">
        <v>405000000</v>
      </c>
      <c r="L71" s="49">
        <v>670000000</v>
      </c>
      <c r="M71" s="49">
        <v>909200000</v>
      </c>
      <c r="N71" s="49">
        <v>909200000</v>
      </c>
      <c r="O71" s="49">
        <f t="shared" si="36"/>
        <v>1.3570149253731343</v>
      </c>
      <c r="P71" s="49">
        <f t="shared" si="37"/>
        <v>2.2449382716049384</v>
      </c>
      <c r="Q71" s="49">
        <v>636180000</v>
      </c>
      <c r="R71" s="49">
        <v>900100000</v>
      </c>
      <c r="S71" s="49">
        <v>1080100000</v>
      </c>
      <c r="T71" s="49">
        <f t="shared" si="38"/>
        <v>1.1119340801777613</v>
      </c>
      <c r="U71" s="49">
        <f t="shared" si="39"/>
        <v>2.6669135802469137</v>
      </c>
      <c r="V71" s="49"/>
      <c r="W71" s="49">
        <f t="shared" si="40"/>
        <v>994650000</v>
      </c>
      <c r="X71" s="49">
        <f t="shared" si="41"/>
        <v>1.2344745027754478</v>
      </c>
      <c r="Y71" s="49">
        <f t="shared" si="42"/>
        <v>2.4559259259259258</v>
      </c>
      <c r="Z71" s="49">
        <v>1.5</v>
      </c>
      <c r="AA71" s="49">
        <f t="shared" si="32"/>
        <v>499962173.62405634</v>
      </c>
      <c r="AB71" s="49">
        <f t="shared" si="43"/>
        <v>1.2344745027754478</v>
      </c>
      <c r="AC71" s="49">
        <f t="shared" si="44"/>
        <v>2.4559259259259258</v>
      </c>
      <c r="AD71" s="49">
        <f t="shared" si="45"/>
        <v>2.4021817316585334</v>
      </c>
      <c r="AE71" s="49">
        <f t="shared" si="33"/>
        <v>749943260.43608451</v>
      </c>
      <c r="AF71" s="50"/>
    </row>
    <row r="72" spans="1:32" ht="39.4" customHeight="1">
      <c r="A72" s="40">
        <v>32063301</v>
      </c>
      <c r="B72" s="57" t="s">
        <v>2400</v>
      </c>
      <c r="C72" s="58" t="s">
        <v>1967</v>
      </c>
      <c r="D72" s="43"/>
      <c r="E72" s="43"/>
      <c r="F72" s="43">
        <f t="shared" si="34"/>
        <v>0</v>
      </c>
      <c r="G72" s="43">
        <v>81000000</v>
      </c>
      <c r="H72" s="43">
        <v>81000000</v>
      </c>
      <c r="I72" s="43">
        <v>81000000</v>
      </c>
      <c r="J72" s="43">
        <f t="shared" si="35"/>
        <v>1.6446545044187297</v>
      </c>
      <c r="K72" s="43">
        <v>39960000</v>
      </c>
      <c r="L72" s="43">
        <v>46870000</v>
      </c>
      <c r="M72" s="43">
        <v>59290000</v>
      </c>
      <c r="N72" s="43">
        <v>59290000</v>
      </c>
      <c r="O72" s="43">
        <f t="shared" si="36"/>
        <v>1.2649882654149776</v>
      </c>
      <c r="P72" s="43">
        <f t="shared" si="37"/>
        <v>1.4837337337337337</v>
      </c>
      <c r="Q72" s="43">
        <v>42000000</v>
      </c>
      <c r="R72" s="43">
        <v>58700000</v>
      </c>
      <c r="S72" s="43">
        <v>67500000</v>
      </c>
      <c r="T72" s="43">
        <f t="shared" si="38"/>
        <v>1.2</v>
      </c>
      <c r="U72" s="43">
        <f t="shared" si="39"/>
        <v>1.6891891891891893</v>
      </c>
      <c r="V72" s="43"/>
      <c r="W72" s="43">
        <f t="shared" si="40"/>
        <v>63395000</v>
      </c>
      <c r="X72" s="43">
        <f t="shared" si="41"/>
        <v>1.2324941327074888</v>
      </c>
      <c r="Y72" s="43">
        <f t="shared" si="42"/>
        <v>1.5864614614614614</v>
      </c>
      <c r="Z72" s="43">
        <v>1.5</v>
      </c>
      <c r="AA72" s="43">
        <f t="shared" si="32"/>
        <v>49250465.542991251</v>
      </c>
      <c r="AB72" s="43">
        <f t="shared" si="43"/>
        <v>1.2324941327074888</v>
      </c>
      <c r="AC72" s="43">
        <f t="shared" si="44"/>
        <v>1.5864614614614614</v>
      </c>
      <c r="AD72" s="43">
        <f t="shared" si="45"/>
        <v>1.6446545044187297</v>
      </c>
      <c r="AE72" s="43">
        <f t="shared" si="33"/>
        <v>73875698.314486876</v>
      </c>
      <c r="AF72" s="44"/>
    </row>
    <row r="73" spans="1:32" ht="39.4" customHeight="1">
      <c r="A73" s="46">
        <v>32063302</v>
      </c>
      <c r="B73" s="59" t="s">
        <v>2401</v>
      </c>
      <c r="C73" s="60" t="s">
        <v>1967</v>
      </c>
      <c r="D73" s="49"/>
      <c r="E73" s="49"/>
      <c r="F73" s="49">
        <f t="shared" si="34"/>
        <v>0</v>
      </c>
      <c r="G73" s="49">
        <v>98500000</v>
      </c>
      <c r="H73" s="49">
        <v>98500000</v>
      </c>
      <c r="I73" s="49">
        <v>98500000</v>
      </c>
      <c r="J73" s="49">
        <f t="shared" si="35"/>
        <v>1.7527836300299076</v>
      </c>
      <c r="K73" s="49">
        <v>45600000</v>
      </c>
      <c r="L73" s="49">
        <v>57020000</v>
      </c>
      <c r="M73" s="49">
        <v>72130000</v>
      </c>
      <c r="N73" s="49">
        <v>72130000</v>
      </c>
      <c r="O73" s="49">
        <f t="shared" si="36"/>
        <v>1.2649947386881797</v>
      </c>
      <c r="P73" s="49">
        <f t="shared" si="37"/>
        <v>1.5817982456140351</v>
      </c>
      <c r="Q73" s="49">
        <v>45000000</v>
      </c>
      <c r="R73" s="49">
        <v>71410000</v>
      </c>
      <c r="S73" s="49">
        <v>82100000</v>
      </c>
      <c r="T73" s="49">
        <f t="shared" si="38"/>
        <v>1.1997563946406822</v>
      </c>
      <c r="U73" s="49">
        <f t="shared" si="39"/>
        <v>1.8004385964912282</v>
      </c>
      <c r="V73" s="49"/>
      <c r="W73" s="49">
        <f t="shared" si="40"/>
        <v>77115000</v>
      </c>
      <c r="X73" s="49">
        <f t="shared" si="41"/>
        <v>1.2323755666644309</v>
      </c>
      <c r="Y73" s="49">
        <f t="shared" si="42"/>
        <v>1.6911184210526315</v>
      </c>
      <c r="Z73" s="49">
        <v>1.5</v>
      </c>
      <c r="AA73" s="49">
        <f t="shared" si="32"/>
        <v>56196325.83989805</v>
      </c>
      <c r="AB73" s="49">
        <f t="shared" si="43"/>
        <v>1.2323755666644309</v>
      </c>
      <c r="AC73" s="49">
        <f t="shared" si="44"/>
        <v>1.6911184210526315</v>
      </c>
      <c r="AD73" s="49">
        <f t="shared" si="45"/>
        <v>1.7527836300299076</v>
      </c>
      <c r="AE73" s="49">
        <f t="shared" si="33"/>
        <v>84294488.759847075</v>
      </c>
      <c r="AF73" s="50"/>
    </row>
    <row r="74" spans="1:32" ht="39.4" customHeight="1">
      <c r="A74" s="40">
        <v>32063303</v>
      </c>
      <c r="B74" s="57" t="s">
        <v>2402</v>
      </c>
      <c r="C74" s="58" t="s">
        <v>1967</v>
      </c>
      <c r="D74" s="43"/>
      <c r="E74" s="43"/>
      <c r="F74" s="43">
        <f t="shared" si="34"/>
        <v>0</v>
      </c>
      <c r="G74" s="43">
        <v>108100000</v>
      </c>
      <c r="H74" s="43">
        <v>108100000</v>
      </c>
      <c r="I74" s="43">
        <v>108100000</v>
      </c>
      <c r="J74" s="43">
        <f t="shared" si="35"/>
        <v>1.6613747784787327</v>
      </c>
      <c r="K74" s="43">
        <v>52800000</v>
      </c>
      <c r="L74" s="43">
        <v>62560000</v>
      </c>
      <c r="M74" s="43">
        <v>79130000</v>
      </c>
      <c r="N74" s="43">
        <v>79130000</v>
      </c>
      <c r="O74" s="43">
        <f t="shared" si="36"/>
        <v>1.2648657289002558</v>
      </c>
      <c r="P74" s="43">
        <f t="shared" si="37"/>
        <v>1.4986742424242425</v>
      </c>
      <c r="Q74" s="43">
        <v>51000000</v>
      </c>
      <c r="R74" s="43">
        <v>78340000</v>
      </c>
      <c r="S74" s="43">
        <v>90100000</v>
      </c>
      <c r="T74" s="43">
        <f t="shared" si="38"/>
        <v>1.1997780244173142</v>
      </c>
      <c r="U74" s="43">
        <f t="shared" si="39"/>
        <v>1.706439393939394</v>
      </c>
      <c r="V74" s="43"/>
      <c r="W74" s="43">
        <f t="shared" si="40"/>
        <v>84615000</v>
      </c>
      <c r="X74" s="43">
        <f t="shared" si="41"/>
        <v>1.2323218766587849</v>
      </c>
      <c r="Y74" s="43">
        <f t="shared" si="42"/>
        <v>1.6025568181818182</v>
      </c>
      <c r="Z74" s="43">
        <v>1.5</v>
      </c>
      <c r="AA74" s="43">
        <f t="shared" si="32"/>
        <v>65066595.08758384</v>
      </c>
      <c r="AB74" s="43">
        <f t="shared" si="43"/>
        <v>1.2323218766587849</v>
      </c>
      <c r="AC74" s="43">
        <f t="shared" si="44"/>
        <v>1.6025568181818182</v>
      </c>
      <c r="AD74" s="43">
        <f t="shared" si="45"/>
        <v>1.6613747784787327</v>
      </c>
      <c r="AE74" s="43">
        <f t="shared" si="33"/>
        <v>97599892.63137576</v>
      </c>
      <c r="AF74" s="44"/>
    </row>
    <row r="75" spans="1:32" ht="39.4" customHeight="1">
      <c r="A75" s="46">
        <v>32063304</v>
      </c>
      <c r="B75" s="59" t="s">
        <v>2403</v>
      </c>
      <c r="C75" s="60" t="s">
        <v>1967</v>
      </c>
      <c r="D75" s="49"/>
      <c r="E75" s="49"/>
      <c r="F75" s="49">
        <f t="shared" si="34"/>
        <v>0</v>
      </c>
      <c r="G75" s="49">
        <v>143300000</v>
      </c>
      <c r="H75" s="49">
        <v>143300000</v>
      </c>
      <c r="I75" s="49">
        <v>143300000</v>
      </c>
      <c r="J75" s="49">
        <f t="shared" si="35"/>
        <v>1.7614365820346602</v>
      </c>
      <c r="K75" s="49">
        <v>66000000</v>
      </c>
      <c r="L75" s="49">
        <v>82910000</v>
      </c>
      <c r="M75" s="49">
        <v>104890000</v>
      </c>
      <c r="N75" s="49">
        <v>104890000</v>
      </c>
      <c r="O75" s="49">
        <f t="shared" si="36"/>
        <v>1.2651067422506332</v>
      </c>
      <c r="P75" s="49">
        <f t="shared" si="37"/>
        <v>1.5892424242424243</v>
      </c>
      <c r="Q75" s="49">
        <v>69600000</v>
      </c>
      <c r="R75" s="49">
        <v>103840000</v>
      </c>
      <c r="S75" s="49">
        <v>119400000</v>
      </c>
      <c r="T75" s="49">
        <f t="shared" si="38"/>
        <v>1.2001675041876048</v>
      </c>
      <c r="U75" s="49">
        <f t="shared" si="39"/>
        <v>1.8090909090909091</v>
      </c>
      <c r="V75" s="49"/>
      <c r="W75" s="49">
        <f t="shared" si="40"/>
        <v>112145000</v>
      </c>
      <c r="X75" s="49">
        <f t="shared" si="41"/>
        <v>1.2326371232191189</v>
      </c>
      <c r="Y75" s="49">
        <f t="shared" si="42"/>
        <v>1.6991666666666667</v>
      </c>
      <c r="Z75" s="49">
        <v>1.5</v>
      </c>
      <c r="AA75" s="49">
        <f t="shared" si="32"/>
        <v>81354050.132461846</v>
      </c>
      <c r="AB75" s="49">
        <f t="shared" si="43"/>
        <v>1.2326371232191189</v>
      </c>
      <c r="AC75" s="49">
        <f t="shared" si="44"/>
        <v>1.6991666666666667</v>
      </c>
      <c r="AD75" s="49">
        <f t="shared" si="45"/>
        <v>1.7614365820346602</v>
      </c>
      <c r="AE75" s="49">
        <f t="shared" si="33"/>
        <v>122031075.19869277</v>
      </c>
      <c r="AF75" s="50"/>
    </row>
    <row r="76" spans="1:32" ht="39.4" customHeight="1">
      <c r="A76" s="40">
        <v>32063305</v>
      </c>
      <c r="B76" s="57" t="s">
        <v>2404</v>
      </c>
      <c r="C76" s="58" t="s">
        <v>1967</v>
      </c>
      <c r="D76" s="43"/>
      <c r="E76" s="43"/>
      <c r="F76" s="43">
        <f t="shared" si="34"/>
        <v>0</v>
      </c>
      <c r="G76" s="43">
        <v>179800000</v>
      </c>
      <c r="H76" s="43">
        <v>179800000</v>
      </c>
      <c r="I76" s="43">
        <v>179800000</v>
      </c>
      <c r="J76" s="43">
        <f t="shared" si="35"/>
        <v>1.9294118519873447</v>
      </c>
      <c r="K76" s="43">
        <v>75600000</v>
      </c>
      <c r="L76" s="43">
        <v>103980000</v>
      </c>
      <c r="M76" s="43">
        <v>131540000</v>
      </c>
      <c r="N76" s="43">
        <v>131540000</v>
      </c>
      <c r="O76" s="43">
        <f t="shared" si="36"/>
        <v>1.2650509713406424</v>
      </c>
      <c r="P76" s="43">
        <f t="shared" si="37"/>
        <v>1.7399470899470899</v>
      </c>
      <c r="Q76" s="43">
        <v>88800000</v>
      </c>
      <c r="R76" s="43">
        <v>130220000</v>
      </c>
      <c r="S76" s="43">
        <v>149800000</v>
      </c>
      <c r="T76" s="43">
        <f t="shared" si="38"/>
        <v>1.2002670226969292</v>
      </c>
      <c r="U76" s="43">
        <f t="shared" si="39"/>
        <v>1.9814814814814814</v>
      </c>
      <c r="V76" s="43"/>
      <c r="W76" s="43">
        <f t="shared" si="40"/>
        <v>140670000</v>
      </c>
      <c r="X76" s="43">
        <f t="shared" si="41"/>
        <v>1.2326589970187858</v>
      </c>
      <c r="Y76" s="43">
        <f t="shared" si="42"/>
        <v>1.8607142857142858</v>
      </c>
      <c r="Z76" s="43">
        <v>1.6</v>
      </c>
      <c r="AA76" s="43">
        <f t="shared" si="32"/>
        <v>93189020.174620211</v>
      </c>
      <c r="AB76" s="43">
        <f t="shared" si="43"/>
        <v>1.2326589970187858</v>
      </c>
      <c r="AC76" s="43">
        <f t="shared" si="44"/>
        <v>1.8607142857142858</v>
      </c>
      <c r="AD76" s="43">
        <f t="shared" si="45"/>
        <v>1.9294118519873447</v>
      </c>
      <c r="AE76" s="43">
        <f t="shared" si="33"/>
        <v>149102432.27939233</v>
      </c>
      <c r="AF76" s="44"/>
    </row>
    <row r="77" spans="1:32" ht="39.4" customHeight="1">
      <c r="A77" s="46">
        <v>32063306</v>
      </c>
      <c r="B77" s="59" t="s">
        <v>2405</v>
      </c>
      <c r="C77" s="60" t="s">
        <v>1967</v>
      </c>
      <c r="D77" s="49"/>
      <c r="E77" s="49"/>
      <c r="F77" s="49">
        <f t="shared" si="34"/>
        <v>0</v>
      </c>
      <c r="G77" s="49">
        <v>210800000</v>
      </c>
      <c r="H77" s="49">
        <v>210800000</v>
      </c>
      <c r="I77" s="49">
        <v>210800000</v>
      </c>
      <c r="J77" s="49">
        <f t="shared" si="35"/>
        <v>1.9005754200991727</v>
      </c>
      <c r="K77" s="49">
        <v>90000000</v>
      </c>
      <c r="L77" s="49">
        <v>122010000</v>
      </c>
      <c r="M77" s="49">
        <v>154340000</v>
      </c>
      <c r="N77" s="49">
        <v>154340000</v>
      </c>
      <c r="O77" s="49">
        <f t="shared" si="36"/>
        <v>1.2649782804688141</v>
      </c>
      <c r="P77" s="49">
        <f t="shared" si="37"/>
        <v>1.7148888888888889</v>
      </c>
      <c r="Q77" s="49">
        <v>124800000</v>
      </c>
      <c r="R77" s="49">
        <v>152800000</v>
      </c>
      <c r="S77" s="49">
        <v>175700000</v>
      </c>
      <c r="T77" s="49">
        <f t="shared" si="38"/>
        <v>1.1997723392145703</v>
      </c>
      <c r="U77" s="49">
        <f t="shared" si="39"/>
        <v>1.9522222222222223</v>
      </c>
      <c r="V77" s="49"/>
      <c r="W77" s="49">
        <f t="shared" si="40"/>
        <v>165020000</v>
      </c>
      <c r="X77" s="49">
        <f t="shared" si="41"/>
        <v>1.2323753098416921</v>
      </c>
      <c r="Y77" s="49">
        <f t="shared" si="42"/>
        <v>1.8335555555555556</v>
      </c>
      <c r="Z77" s="49">
        <v>1.6</v>
      </c>
      <c r="AA77" s="49">
        <f t="shared" si="32"/>
        <v>110913777.88575229</v>
      </c>
      <c r="AB77" s="49">
        <f t="shared" si="43"/>
        <v>1.2323753098416921</v>
      </c>
      <c r="AC77" s="49">
        <f t="shared" si="44"/>
        <v>1.8335555555555556</v>
      </c>
      <c r="AD77" s="49">
        <f t="shared" si="45"/>
        <v>1.9005754200991727</v>
      </c>
      <c r="AE77" s="49">
        <f t="shared" si="33"/>
        <v>177462044.61720368</v>
      </c>
      <c r="AF77" s="50"/>
    </row>
    <row r="78" spans="1:32" ht="39.4" customHeight="1">
      <c r="A78" s="40">
        <v>32063307</v>
      </c>
      <c r="B78" s="57" t="s">
        <v>2406</v>
      </c>
      <c r="C78" s="58" t="s">
        <v>1967</v>
      </c>
      <c r="D78" s="43"/>
      <c r="E78" s="43"/>
      <c r="F78" s="43">
        <f t="shared" si="34"/>
        <v>0</v>
      </c>
      <c r="G78" s="43">
        <v>300600000</v>
      </c>
      <c r="H78" s="43">
        <v>300600000</v>
      </c>
      <c r="I78" s="43">
        <v>300600000</v>
      </c>
      <c r="J78" s="43">
        <f t="shared" si="35"/>
        <v>2.1394328788271615</v>
      </c>
      <c r="K78" s="43">
        <v>114000000</v>
      </c>
      <c r="L78" s="43">
        <v>173930000</v>
      </c>
      <c r="M78" s="43">
        <v>220020000</v>
      </c>
      <c r="N78" s="43">
        <v>220020000</v>
      </c>
      <c r="O78" s="43">
        <f t="shared" si="36"/>
        <v>1.2649916633128271</v>
      </c>
      <c r="P78" s="43">
        <f t="shared" si="37"/>
        <v>1.93</v>
      </c>
      <c r="Q78" s="43">
        <v>160800000</v>
      </c>
      <c r="R78" s="43">
        <v>217820000</v>
      </c>
      <c r="S78" s="43">
        <v>250500000</v>
      </c>
      <c r="T78" s="43">
        <f t="shared" si="38"/>
        <v>1.2</v>
      </c>
      <c r="U78" s="43">
        <f t="shared" si="39"/>
        <v>2.1973684210526314</v>
      </c>
      <c r="V78" s="43"/>
      <c r="W78" s="43">
        <f t="shared" si="40"/>
        <v>235260000</v>
      </c>
      <c r="X78" s="43">
        <f t="shared" si="41"/>
        <v>1.2324958316564136</v>
      </c>
      <c r="Y78" s="43">
        <f t="shared" si="42"/>
        <v>2.0636842105263158</v>
      </c>
      <c r="Z78" s="43">
        <v>1.6</v>
      </c>
      <c r="AA78" s="43">
        <f t="shared" si="32"/>
        <v>140504524.80883116</v>
      </c>
      <c r="AB78" s="43">
        <f t="shared" si="43"/>
        <v>1.2324958316564136</v>
      </c>
      <c r="AC78" s="43">
        <f t="shared" si="44"/>
        <v>2.0636842105263158</v>
      </c>
      <c r="AD78" s="43">
        <f t="shared" si="45"/>
        <v>2.1394328788271615</v>
      </c>
      <c r="AE78" s="43">
        <f t="shared" si="33"/>
        <v>224807239.69412985</v>
      </c>
      <c r="AF78" s="44"/>
    </row>
    <row r="79" spans="1:32" ht="39.4" customHeight="1">
      <c r="A79" s="46">
        <v>32063308</v>
      </c>
      <c r="B79" s="59" t="s">
        <v>2407</v>
      </c>
      <c r="C79" s="60" t="s">
        <v>1967</v>
      </c>
      <c r="D79" s="49"/>
      <c r="E79" s="49"/>
      <c r="F79" s="49">
        <f t="shared" si="34"/>
        <v>0</v>
      </c>
      <c r="G79" s="49">
        <v>314300000</v>
      </c>
      <c r="H79" s="49">
        <v>314300000</v>
      </c>
      <c r="I79" s="49">
        <v>314300000</v>
      </c>
      <c r="J79" s="49">
        <f t="shared" si="35"/>
        <v>1.5398856174703692</v>
      </c>
      <c r="K79" s="49">
        <v>165600000</v>
      </c>
      <c r="L79" s="49">
        <v>181830000</v>
      </c>
      <c r="M79" s="49">
        <v>230010000</v>
      </c>
      <c r="N79" s="49">
        <v>230010000</v>
      </c>
      <c r="O79" s="49">
        <f t="shared" si="36"/>
        <v>1.26497277676951</v>
      </c>
      <c r="P79" s="49">
        <f t="shared" si="37"/>
        <v>1.3889492753623189</v>
      </c>
      <c r="Q79" s="49">
        <v>191400000</v>
      </c>
      <c r="R79" s="49">
        <v>227710000</v>
      </c>
      <c r="S79" s="49">
        <v>261900000</v>
      </c>
      <c r="T79" s="49">
        <f t="shared" si="38"/>
        <v>1.2000763650248187</v>
      </c>
      <c r="U79" s="49">
        <f t="shared" si="39"/>
        <v>1.5815217391304348</v>
      </c>
      <c r="V79" s="49"/>
      <c r="W79" s="49">
        <f t="shared" si="40"/>
        <v>245955000</v>
      </c>
      <c r="X79" s="49">
        <f t="shared" si="41"/>
        <v>1.2325245708971644</v>
      </c>
      <c r="Y79" s="49">
        <f t="shared" si="42"/>
        <v>1.4852355072463768</v>
      </c>
      <c r="Z79" s="49">
        <v>1.5</v>
      </c>
      <c r="AA79" s="49">
        <f t="shared" si="32"/>
        <v>204106068.94057041</v>
      </c>
      <c r="AB79" s="49">
        <f t="shared" si="43"/>
        <v>1.2325245708971644</v>
      </c>
      <c r="AC79" s="49">
        <f t="shared" si="44"/>
        <v>1.4852355072463768</v>
      </c>
      <c r="AD79" s="49">
        <f t="shared" si="45"/>
        <v>1.5398856174703692</v>
      </c>
      <c r="AE79" s="49">
        <f t="shared" si="33"/>
        <v>306159103.41085565</v>
      </c>
      <c r="AF79" s="50"/>
    </row>
    <row r="80" spans="1:32" ht="39.4" customHeight="1">
      <c r="A80" s="40">
        <v>32063309</v>
      </c>
      <c r="B80" s="57" t="s">
        <v>2408</v>
      </c>
      <c r="C80" s="58" t="s">
        <v>1967</v>
      </c>
      <c r="D80" s="43"/>
      <c r="E80" s="43"/>
      <c r="F80" s="43">
        <f t="shared" si="34"/>
        <v>0</v>
      </c>
      <c r="G80" s="43">
        <v>396000000</v>
      </c>
      <c r="H80" s="43">
        <v>396000000</v>
      </c>
      <c r="I80" s="43">
        <v>396000000</v>
      </c>
      <c r="J80" s="43">
        <f t="shared" si="35"/>
        <v>1.5042175858560443</v>
      </c>
      <c r="K80" s="43">
        <v>213600000</v>
      </c>
      <c r="L80" s="43">
        <v>229150000</v>
      </c>
      <c r="M80" s="43">
        <v>289870000</v>
      </c>
      <c r="N80" s="43">
        <v>289870000</v>
      </c>
      <c r="O80" s="43">
        <f t="shared" si="36"/>
        <v>1.264979271219725</v>
      </c>
      <c r="P80" s="43">
        <f t="shared" si="37"/>
        <v>1.357069288389513</v>
      </c>
      <c r="Q80" s="43">
        <v>250800000</v>
      </c>
      <c r="R80" s="43">
        <v>286970000</v>
      </c>
      <c r="S80" s="43">
        <v>330000000</v>
      </c>
      <c r="T80" s="43">
        <f t="shared" si="38"/>
        <v>1.2</v>
      </c>
      <c r="U80" s="43">
        <f t="shared" si="39"/>
        <v>1.5449438202247192</v>
      </c>
      <c r="V80" s="43"/>
      <c r="W80" s="43">
        <f t="shared" si="40"/>
        <v>309935000</v>
      </c>
      <c r="X80" s="43">
        <f t="shared" si="41"/>
        <v>1.2324896356098625</v>
      </c>
      <c r="Y80" s="43">
        <f t="shared" si="42"/>
        <v>1.451006554307116</v>
      </c>
      <c r="Z80" s="43">
        <v>1.5</v>
      </c>
      <c r="AA80" s="43">
        <f t="shared" si="32"/>
        <v>263259786.16626662</v>
      </c>
      <c r="AB80" s="43">
        <f t="shared" si="43"/>
        <v>1.2324896356098625</v>
      </c>
      <c r="AC80" s="43">
        <f t="shared" si="44"/>
        <v>1.451006554307116</v>
      </c>
      <c r="AD80" s="43">
        <f t="shared" si="45"/>
        <v>1.5042175858560443</v>
      </c>
      <c r="AE80" s="43">
        <f t="shared" si="33"/>
        <v>394889679.2493999</v>
      </c>
      <c r="AF80" s="44"/>
    </row>
    <row r="81" spans="1:32" ht="39.4" customHeight="1">
      <c r="A81" s="46">
        <v>32063310</v>
      </c>
      <c r="B81" s="59" t="s">
        <v>2409</v>
      </c>
      <c r="C81" s="60" t="s">
        <v>1967</v>
      </c>
      <c r="D81" s="49"/>
      <c r="E81" s="49"/>
      <c r="F81" s="49">
        <f t="shared" si="34"/>
        <v>0</v>
      </c>
      <c r="G81" s="49">
        <v>472700000</v>
      </c>
      <c r="H81" s="49">
        <v>472700000</v>
      </c>
      <c r="I81" s="49">
        <v>472700000</v>
      </c>
      <c r="J81" s="49">
        <f t="shared" si="35"/>
        <v>1.5980003741796187</v>
      </c>
      <c r="K81" s="49">
        <v>240000000</v>
      </c>
      <c r="L81" s="49">
        <v>273500000</v>
      </c>
      <c r="M81" s="49">
        <v>345980000</v>
      </c>
      <c r="N81" s="49">
        <v>345980000</v>
      </c>
      <c r="O81" s="49">
        <f t="shared" si="36"/>
        <v>1.2650091407678246</v>
      </c>
      <c r="P81" s="49">
        <f t="shared" si="37"/>
        <v>1.4415833333333334</v>
      </c>
      <c r="Q81" s="49">
        <v>292600000</v>
      </c>
      <c r="R81" s="49">
        <v>342520000</v>
      </c>
      <c r="S81" s="49">
        <v>393900000</v>
      </c>
      <c r="T81" s="49">
        <f t="shared" si="38"/>
        <v>1.2000507743082001</v>
      </c>
      <c r="U81" s="49">
        <f t="shared" si="39"/>
        <v>1.6412500000000001</v>
      </c>
      <c r="V81" s="49"/>
      <c r="W81" s="49">
        <f t="shared" si="40"/>
        <v>369940000</v>
      </c>
      <c r="X81" s="49">
        <f t="shared" si="41"/>
        <v>1.2325299575380124</v>
      </c>
      <c r="Y81" s="49">
        <f t="shared" si="42"/>
        <v>1.5414166666666667</v>
      </c>
      <c r="Z81" s="49">
        <v>1.5</v>
      </c>
      <c r="AA81" s="49">
        <f t="shared" si="32"/>
        <v>295807189.80912298</v>
      </c>
      <c r="AB81" s="49">
        <f t="shared" si="43"/>
        <v>1.2325299575380124</v>
      </c>
      <c r="AC81" s="49">
        <f t="shared" si="44"/>
        <v>1.5414166666666667</v>
      </c>
      <c r="AD81" s="49">
        <f t="shared" si="45"/>
        <v>1.5980003741796187</v>
      </c>
      <c r="AE81" s="49">
        <f t="shared" si="33"/>
        <v>443710784.71368444</v>
      </c>
      <c r="AF81" s="50"/>
    </row>
    <row r="82" spans="1:32" ht="39.4" customHeight="1">
      <c r="A82" s="40">
        <v>32063311</v>
      </c>
      <c r="B82" s="57" t="s">
        <v>2410</v>
      </c>
      <c r="C82" s="58" t="s">
        <v>1967</v>
      </c>
      <c r="D82" s="43"/>
      <c r="E82" s="43"/>
      <c r="F82" s="43">
        <f t="shared" si="34"/>
        <v>0</v>
      </c>
      <c r="G82" s="43">
        <v>627500000</v>
      </c>
      <c r="H82" s="43">
        <v>627500000</v>
      </c>
      <c r="I82" s="43">
        <v>627500000</v>
      </c>
      <c r="J82" s="43">
        <f t="shared" si="35"/>
        <v>1.5152348027275158</v>
      </c>
      <c r="K82" s="43">
        <v>336000000</v>
      </c>
      <c r="L82" s="43">
        <v>363050000</v>
      </c>
      <c r="M82" s="43">
        <v>459260000</v>
      </c>
      <c r="N82" s="43">
        <v>459260000</v>
      </c>
      <c r="O82" s="43">
        <f t="shared" si="36"/>
        <v>1.2650048202726898</v>
      </c>
      <c r="P82" s="43">
        <f t="shared" si="37"/>
        <v>1.3668452380952381</v>
      </c>
      <c r="Q82" s="43">
        <v>398200000</v>
      </c>
      <c r="R82" s="43">
        <v>454670000</v>
      </c>
      <c r="S82" s="43">
        <v>522900000</v>
      </c>
      <c r="T82" s="43">
        <f t="shared" si="38"/>
        <v>1.2000382482310192</v>
      </c>
      <c r="U82" s="43">
        <f t="shared" si="39"/>
        <v>1.5562499999999999</v>
      </c>
      <c r="V82" s="43"/>
      <c r="W82" s="43">
        <f t="shared" si="40"/>
        <v>491080000</v>
      </c>
      <c r="X82" s="43">
        <f t="shared" si="41"/>
        <v>1.2325215342518545</v>
      </c>
      <c r="Y82" s="43">
        <f t="shared" si="42"/>
        <v>1.4615476190476191</v>
      </c>
      <c r="Z82" s="43">
        <v>1.5</v>
      </c>
      <c r="AA82" s="43">
        <f t="shared" si="32"/>
        <v>414127235.50862312</v>
      </c>
      <c r="AB82" s="43">
        <f t="shared" si="43"/>
        <v>1.2325215342518545</v>
      </c>
      <c r="AC82" s="43">
        <f t="shared" si="44"/>
        <v>1.4615476190476191</v>
      </c>
      <c r="AD82" s="43">
        <f t="shared" si="45"/>
        <v>1.5152348027275158</v>
      </c>
      <c r="AE82" s="43">
        <f t="shared" si="33"/>
        <v>621190853.26293468</v>
      </c>
      <c r="AF82" s="44"/>
    </row>
    <row r="83" spans="1:32" ht="39.4" customHeight="1">
      <c r="A83" s="46">
        <v>32063312</v>
      </c>
      <c r="B83" s="59" t="s">
        <v>2411</v>
      </c>
      <c r="C83" s="60" t="s">
        <v>1967</v>
      </c>
      <c r="D83" s="49"/>
      <c r="E83" s="49"/>
      <c r="F83" s="49">
        <f t="shared" si="34"/>
        <v>0</v>
      </c>
      <c r="G83" s="49">
        <v>1067900000</v>
      </c>
      <c r="H83" s="49">
        <v>1067900000</v>
      </c>
      <c r="I83" s="49">
        <v>1067900000</v>
      </c>
      <c r="J83" s="49">
        <f t="shared" si="35"/>
        <v>1.9482536405995023</v>
      </c>
      <c r="K83" s="49">
        <v>453600000</v>
      </c>
      <c r="L83" s="49">
        <v>642320000</v>
      </c>
      <c r="M83" s="49">
        <v>777210000</v>
      </c>
      <c r="N83" s="49">
        <v>777210000</v>
      </c>
      <c r="O83" s="49">
        <f t="shared" si="36"/>
        <v>1.2100043591979075</v>
      </c>
      <c r="P83" s="49">
        <f t="shared" si="37"/>
        <v>1.7134259259259259</v>
      </c>
      <c r="Q83" s="49">
        <v>594000000</v>
      </c>
      <c r="R83" s="49">
        <v>769440000</v>
      </c>
      <c r="S83" s="49">
        <v>884900000</v>
      </c>
      <c r="T83" s="49">
        <f t="shared" si="38"/>
        <v>1.2068030285908011</v>
      </c>
      <c r="U83" s="49">
        <f t="shared" si="39"/>
        <v>1.9508377425044092</v>
      </c>
      <c r="V83" s="49"/>
      <c r="W83" s="49">
        <f t="shared" si="40"/>
        <v>831055000</v>
      </c>
      <c r="X83" s="49">
        <f t="shared" si="41"/>
        <v>1.2084036938943543</v>
      </c>
      <c r="Y83" s="49">
        <f t="shared" si="42"/>
        <v>1.8321318342151676</v>
      </c>
      <c r="Z83" s="49">
        <v>1.6</v>
      </c>
      <c r="AA83" s="49">
        <f t="shared" si="32"/>
        <v>548131915.55047917</v>
      </c>
      <c r="AB83" s="49">
        <f t="shared" si="43"/>
        <v>1.2084036938943545</v>
      </c>
      <c r="AC83" s="49">
        <f t="shared" si="44"/>
        <v>1.8321318342151676</v>
      </c>
      <c r="AD83" s="49">
        <f t="shared" si="45"/>
        <v>1.9482536405995023</v>
      </c>
      <c r="AE83" s="49">
        <f t="shared" si="33"/>
        <v>877011064.88076675</v>
      </c>
      <c r="AF83" s="50"/>
    </row>
    <row r="84" spans="1:32" ht="39.4" customHeight="1">
      <c r="A84" s="40">
        <v>32063313</v>
      </c>
      <c r="B84" s="57" t="s">
        <v>2412</v>
      </c>
      <c r="C84" s="58" t="s">
        <v>1967</v>
      </c>
      <c r="D84" s="43"/>
      <c r="E84" s="43"/>
      <c r="F84" s="43">
        <f t="shared" si="34"/>
        <v>0</v>
      </c>
      <c r="G84" s="43">
        <v>1427800000</v>
      </c>
      <c r="H84" s="43">
        <v>1427800000</v>
      </c>
      <c r="I84" s="43">
        <v>1427800000</v>
      </c>
      <c r="J84" s="43">
        <f t="shared" si="35"/>
        <v>2.1701079482186851</v>
      </c>
      <c r="K84" s="43">
        <v>546000000</v>
      </c>
      <c r="L84" s="43">
        <v>863660000</v>
      </c>
      <c r="M84" s="43">
        <v>1045030000</v>
      </c>
      <c r="N84" s="43">
        <v>1045030000</v>
      </c>
      <c r="O84" s="43">
        <f t="shared" si="36"/>
        <v>1.2100016210082671</v>
      </c>
      <c r="P84" s="43">
        <f t="shared" si="37"/>
        <v>1.913974358974359</v>
      </c>
      <c r="Q84" s="43">
        <v>855800000</v>
      </c>
      <c r="R84" s="43">
        <v>1034580000</v>
      </c>
      <c r="S84" s="43">
        <v>1189800000</v>
      </c>
      <c r="T84" s="43">
        <f t="shared" si="38"/>
        <v>1.2000336190956464</v>
      </c>
      <c r="U84" s="43">
        <f t="shared" si="39"/>
        <v>2.1791208791208789</v>
      </c>
      <c r="V84" s="43"/>
      <c r="W84" s="43">
        <f t="shared" si="40"/>
        <v>1117415000</v>
      </c>
      <c r="X84" s="43">
        <f t="shared" si="41"/>
        <v>1.2050176200519567</v>
      </c>
      <c r="Y84" s="43">
        <f t="shared" si="42"/>
        <v>2.0465476190476188</v>
      </c>
      <c r="Z84" s="43">
        <v>1.6</v>
      </c>
      <c r="AA84" s="43">
        <f t="shared" si="32"/>
        <v>657939620.54836833</v>
      </c>
      <c r="AB84" s="43">
        <f t="shared" si="43"/>
        <v>1.2050176200519567</v>
      </c>
      <c r="AC84" s="43">
        <f t="shared" si="44"/>
        <v>2.0465476190476188</v>
      </c>
      <c r="AD84" s="43">
        <f t="shared" si="45"/>
        <v>2.1701079482186851</v>
      </c>
      <c r="AE84" s="43">
        <f t="shared" si="33"/>
        <v>1052703392.8773894</v>
      </c>
      <c r="AF84" s="44"/>
    </row>
    <row r="85" spans="1:32" ht="39.4" customHeight="1">
      <c r="A85" s="46">
        <v>32063314</v>
      </c>
      <c r="B85" s="59" t="s">
        <v>2413</v>
      </c>
      <c r="C85" s="60" t="s">
        <v>1967</v>
      </c>
      <c r="D85" s="49"/>
      <c r="E85" s="49"/>
      <c r="F85" s="49">
        <f t="shared" si="34"/>
        <v>0</v>
      </c>
      <c r="G85" s="49">
        <v>2048300000</v>
      </c>
      <c r="H85" s="49" t="s">
        <v>2414</v>
      </c>
      <c r="I85" s="49">
        <v>2048300000</v>
      </c>
      <c r="J85" s="49">
        <f t="shared" si="35"/>
        <v>2.1792583951203417</v>
      </c>
      <c r="K85" s="49">
        <v>780000000</v>
      </c>
      <c r="L85" s="49">
        <v>1239060000</v>
      </c>
      <c r="M85" s="49">
        <v>1499270000</v>
      </c>
      <c r="N85" s="49">
        <v>1499270000</v>
      </c>
      <c r="O85" s="49">
        <f t="shared" si="36"/>
        <v>1.2100059722693008</v>
      </c>
      <c r="P85" s="49">
        <f t="shared" si="37"/>
        <v>1.9221410256410256</v>
      </c>
      <c r="Q85" s="49">
        <v>1131600000</v>
      </c>
      <c r="R85" s="49">
        <v>1484280000</v>
      </c>
      <c r="S85" s="49">
        <v>1706900000</v>
      </c>
      <c r="T85" s="49">
        <f t="shared" si="38"/>
        <v>1.2000117171480462</v>
      </c>
      <c r="U85" s="49">
        <f t="shared" si="39"/>
        <v>2.1883333333333335</v>
      </c>
      <c r="V85" s="49"/>
      <c r="W85" s="49">
        <f t="shared" si="40"/>
        <v>1603085000</v>
      </c>
      <c r="X85" s="49">
        <f t="shared" si="41"/>
        <v>1.2050088447086735</v>
      </c>
      <c r="Y85" s="49">
        <f t="shared" si="42"/>
        <v>2.0552371794871793</v>
      </c>
      <c r="Z85" s="49">
        <v>1.6</v>
      </c>
      <c r="AA85" s="49">
        <f t="shared" si="32"/>
        <v>939906898.8727653</v>
      </c>
      <c r="AB85" s="49">
        <f t="shared" si="43"/>
        <v>1.2050088447086735</v>
      </c>
      <c r="AC85" s="49">
        <f t="shared" si="44"/>
        <v>2.0552371794871793</v>
      </c>
      <c r="AD85" s="49">
        <f t="shared" si="45"/>
        <v>2.1792583951203417</v>
      </c>
      <c r="AE85" s="49">
        <f t="shared" si="33"/>
        <v>1503851038.1964245</v>
      </c>
      <c r="AF85" s="50"/>
    </row>
    <row r="86" spans="1:32" ht="39.4" customHeight="1">
      <c r="A86" s="40">
        <v>32063401</v>
      </c>
      <c r="B86" s="57" t="s">
        <v>2415</v>
      </c>
      <c r="C86" s="58" t="s">
        <v>1967</v>
      </c>
      <c r="D86" s="43">
        <v>10400000</v>
      </c>
      <c r="E86" s="43">
        <v>10400000</v>
      </c>
      <c r="F86" s="43">
        <f t="shared" si="34"/>
        <v>1.5522420740638785</v>
      </c>
      <c r="G86" s="43">
        <v>11940000</v>
      </c>
      <c r="H86" s="43">
        <v>14100000</v>
      </c>
      <c r="I86" s="43">
        <v>14100000</v>
      </c>
      <c r="J86" s="43">
        <f t="shared" si="35"/>
        <v>2.1044820427212199</v>
      </c>
      <c r="K86" s="43">
        <v>5083000</v>
      </c>
      <c r="L86" s="43">
        <v>5690000</v>
      </c>
      <c r="M86" s="43">
        <v>7520000</v>
      </c>
      <c r="N86" s="43">
        <v>7520000</v>
      </c>
      <c r="O86" s="43">
        <f t="shared" si="36"/>
        <v>1.3216168717047452</v>
      </c>
      <c r="P86" s="43">
        <f t="shared" si="37"/>
        <v>1.4794412748376942</v>
      </c>
      <c r="Q86" s="43">
        <v>5630000</v>
      </c>
      <c r="R86" s="43">
        <v>8650000</v>
      </c>
      <c r="S86" s="43">
        <v>9082500</v>
      </c>
      <c r="T86" s="43">
        <f t="shared" si="38"/>
        <v>1.3146160198183319</v>
      </c>
      <c r="U86" s="43">
        <f t="shared" si="39"/>
        <v>1.7868384812118827</v>
      </c>
      <c r="V86" s="43"/>
      <c r="W86" s="43">
        <f t="shared" si="40"/>
        <v>8301250</v>
      </c>
      <c r="X86" s="43">
        <f t="shared" si="41"/>
        <v>1.3181164457615386</v>
      </c>
      <c r="Y86" s="43">
        <f t="shared" si="42"/>
        <v>1.6331398780247885</v>
      </c>
      <c r="Z86" s="43">
        <v>1.6</v>
      </c>
      <c r="AA86" s="43">
        <f t="shared" si="32"/>
        <v>6699985.8938059006</v>
      </c>
      <c r="AB86" s="43">
        <f t="shared" si="43"/>
        <v>1.3181164457615386</v>
      </c>
      <c r="AC86" s="43">
        <f t="shared" si="44"/>
        <v>1.6331398780247885</v>
      </c>
      <c r="AD86" s="43">
        <f t="shared" si="45"/>
        <v>1.782093304261799</v>
      </c>
      <c r="AE86" s="43">
        <f t="shared" si="33"/>
        <v>10719977.430089442</v>
      </c>
      <c r="AF86" s="44">
        <f t="shared" ref="AF86:AF98" si="46">(J86+F86)/2</f>
        <v>1.8283620583925493</v>
      </c>
    </row>
    <row r="87" spans="1:32" ht="39.4" customHeight="1">
      <c r="A87" s="46">
        <v>32063402</v>
      </c>
      <c r="B87" s="59" t="s">
        <v>2416</v>
      </c>
      <c r="C87" s="60" t="s">
        <v>1967</v>
      </c>
      <c r="D87" s="49">
        <v>11800000</v>
      </c>
      <c r="E87" s="49">
        <v>11800000</v>
      </c>
      <c r="F87" s="49">
        <f t="shared" si="34"/>
        <v>1.598210136683385</v>
      </c>
      <c r="G87" s="49">
        <v>13520000</v>
      </c>
      <c r="H87" s="49">
        <v>15975000</v>
      </c>
      <c r="I87" s="49">
        <v>15975000</v>
      </c>
      <c r="J87" s="49">
        <f t="shared" si="35"/>
        <v>2.1636785536878875</v>
      </c>
      <c r="K87" s="49">
        <v>5600000</v>
      </c>
      <c r="L87" s="49">
        <v>6440000</v>
      </c>
      <c r="M87" s="49">
        <v>8520000</v>
      </c>
      <c r="N87" s="49">
        <v>8520000</v>
      </c>
      <c r="O87" s="49">
        <f t="shared" si="36"/>
        <v>1.3229813664596273</v>
      </c>
      <c r="P87" s="49">
        <f t="shared" si="37"/>
        <v>1.5214285714285714</v>
      </c>
      <c r="Q87" s="49">
        <v>6380000</v>
      </c>
      <c r="R87" s="49">
        <v>9800000</v>
      </c>
      <c r="S87" s="49">
        <v>10290000</v>
      </c>
      <c r="T87" s="49">
        <f t="shared" si="38"/>
        <v>1.3138969873663751</v>
      </c>
      <c r="U87" s="49">
        <f t="shared" si="39"/>
        <v>1.8374999999999999</v>
      </c>
      <c r="V87" s="49"/>
      <c r="W87" s="49">
        <f t="shared" si="40"/>
        <v>9405000</v>
      </c>
      <c r="X87" s="49">
        <f t="shared" si="41"/>
        <v>1.3184391769130013</v>
      </c>
      <c r="Y87" s="49">
        <f t="shared" si="42"/>
        <v>1.6794642857142856</v>
      </c>
      <c r="Z87" s="49">
        <v>1.6</v>
      </c>
      <c r="AA87" s="49">
        <f t="shared" si="32"/>
        <v>7383259.390712807</v>
      </c>
      <c r="AB87" s="49">
        <f t="shared" si="43"/>
        <v>1.3184391769130013</v>
      </c>
      <c r="AC87" s="49">
        <f t="shared" si="44"/>
        <v>1.6794642857142856</v>
      </c>
      <c r="AD87" s="49">
        <f t="shared" si="45"/>
        <v>1.8311695803355392</v>
      </c>
      <c r="AE87" s="49">
        <f t="shared" si="33"/>
        <v>11813215.025140492</v>
      </c>
      <c r="AF87" s="50">
        <f t="shared" si="46"/>
        <v>1.8809443451856362</v>
      </c>
    </row>
    <row r="88" spans="1:32" ht="39.4" customHeight="1">
      <c r="A88" s="40">
        <v>32063403</v>
      </c>
      <c r="B88" s="57" t="s">
        <v>2417</v>
      </c>
      <c r="C88" s="58" t="s">
        <v>1967</v>
      </c>
      <c r="D88" s="43">
        <v>14500000</v>
      </c>
      <c r="E88" s="43">
        <v>14500000</v>
      </c>
      <c r="F88" s="43">
        <f t="shared" si="34"/>
        <v>1.5298381811832449</v>
      </c>
      <c r="G88" s="43">
        <v>16800000</v>
      </c>
      <c r="H88" s="43">
        <v>19850000</v>
      </c>
      <c r="I88" s="43">
        <v>19850000</v>
      </c>
      <c r="J88" s="43">
        <f t="shared" si="35"/>
        <v>2.0942957169991319</v>
      </c>
      <c r="K88" s="43">
        <v>7188000</v>
      </c>
      <c r="L88" s="43">
        <v>8000000</v>
      </c>
      <c r="M88" s="43">
        <v>10580000</v>
      </c>
      <c r="N88" s="43">
        <v>10580000</v>
      </c>
      <c r="O88" s="43">
        <f t="shared" si="36"/>
        <v>1.3225</v>
      </c>
      <c r="P88" s="43">
        <f t="shared" si="37"/>
        <v>1.4718976071229828</v>
      </c>
      <c r="Q88" s="43">
        <v>7920000</v>
      </c>
      <c r="R88" s="43">
        <v>12170000</v>
      </c>
      <c r="S88" s="43">
        <v>12778500</v>
      </c>
      <c r="T88" s="43">
        <f t="shared" si="38"/>
        <v>1.3147082990961381</v>
      </c>
      <c r="U88" s="43">
        <f t="shared" si="39"/>
        <v>1.777754590984975</v>
      </c>
      <c r="V88" s="43"/>
      <c r="W88" s="43">
        <f t="shared" si="40"/>
        <v>11679250</v>
      </c>
      <c r="X88" s="43">
        <f t="shared" si="41"/>
        <v>1.3186041495480691</v>
      </c>
      <c r="Y88" s="43">
        <f t="shared" si="42"/>
        <v>1.6248260990539789</v>
      </c>
      <c r="Z88" s="43">
        <v>1.6</v>
      </c>
      <c r="AA88" s="43">
        <f t="shared" si="32"/>
        <v>9478126.6269515213</v>
      </c>
      <c r="AB88" s="43">
        <f t="shared" si="43"/>
        <v>1.3186041495480691</v>
      </c>
      <c r="AC88" s="43">
        <f t="shared" si="44"/>
        <v>1.6248260990539789</v>
      </c>
      <c r="AD88" s="43">
        <f t="shared" si="45"/>
        <v>1.772502168543346</v>
      </c>
      <c r="AE88" s="43">
        <f t="shared" si="33"/>
        <v>15165002.603122436</v>
      </c>
      <c r="AF88" s="44">
        <f t="shared" si="46"/>
        <v>1.8120669490911885</v>
      </c>
    </row>
    <row r="89" spans="1:32" ht="39.4" customHeight="1">
      <c r="A89" s="46">
        <v>32063404</v>
      </c>
      <c r="B89" s="59" t="s">
        <v>2418</v>
      </c>
      <c r="C89" s="60" t="s">
        <v>1967</v>
      </c>
      <c r="D89" s="49">
        <v>16800000</v>
      </c>
      <c r="E89" s="49">
        <v>16800000</v>
      </c>
      <c r="F89" s="49">
        <f t="shared" si="34"/>
        <v>1.5225862687604923</v>
      </c>
      <c r="G89" s="49">
        <v>19340000</v>
      </c>
      <c r="H89" s="49">
        <v>22863000</v>
      </c>
      <c r="I89" s="49">
        <v>22863000</v>
      </c>
      <c r="J89" s="49">
        <f t="shared" si="35"/>
        <v>2.0720767775399485</v>
      </c>
      <c r="K89" s="49">
        <v>8372000</v>
      </c>
      <c r="L89" s="49">
        <v>9220000</v>
      </c>
      <c r="M89" s="49">
        <v>12190000</v>
      </c>
      <c r="N89" s="49">
        <v>12190000</v>
      </c>
      <c r="O89" s="49">
        <f t="shared" si="36"/>
        <v>1.3221258134490239</v>
      </c>
      <c r="P89" s="49">
        <f t="shared" si="37"/>
        <v>1.456043956043956</v>
      </c>
      <c r="Q89" s="49">
        <v>9130000</v>
      </c>
      <c r="R89" s="49">
        <v>14020000</v>
      </c>
      <c r="S89" s="49">
        <v>14721000</v>
      </c>
      <c r="T89" s="49">
        <f t="shared" si="38"/>
        <v>1.3137694450105293</v>
      </c>
      <c r="U89" s="49">
        <f t="shared" si="39"/>
        <v>1.758361204013378</v>
      </c>
      <c r="V89" s="49"/>
      <c r="W89" s="49">
        <f t="shared" si="40"/>
        <v>13455500</v>
      </c>
      <c r="X89" s="49">
        <f t="shared" si="41"/>
        <v>1.3179476292297765</v>
      </c>
      <c r="Y89" s="49">
        <f t="shared" si="42"/>
        <v>1.6072025800286669</v>
      </c>
      <c r="Z89" s="49">
        <v>1.6</v>
      </c>
      <c r="AA89" s="49">
        <f t="shared" si="32"/>
        <v>11033857.551911689</v>
      </c>
      <c r="AB89" s="49">
        <f t="shared" si="43"/>
        <v>1.3179476292297765</v>
      </c>
      <c r="AC89" s="49">
        <f t="shared" si="44"/>
        <v>1.6072025800286669</v>
      </c>
      <c r="AD89" s="49">
        <f t="shared" si="45"/>
        <v>1.7527868117754717</v>
      </c>
      <c r="AE89" s="49">
        <f t="shared" si="33"/>
        <v>17654172.083058704</v>
      </c>
      <c r="AF89" s="50">
        <f t="shared" si="46"/>
        <v>1.7973315231502203</v>
      </c>
    </row>
    <row r="90" spans="1:32" ht="39.4" customHeight="1">
      <c r="A90" s="40">
        <v>32063405</v>
      </c>
      <c r="B90" s="57" t="s">
        <v>2419</v>
      </c>
      <c r="C90" s="58" t="s">
        <v>1967</v>
      </c>
      <c r="D90" s="43">
        <v>30300000</v>
      </c>
      <c r="E90" s="43">
        <v>30300000</v>
      </c>
      <c r="F90" s="43">
        <f t="shared" si="34"/>
        <v>1.7610470162779635</v>
      </c>
      <c r="G90" s="43">
        <v>30190000</v>
      </c>
      <c r="H90" s="43">
        <v>38838000</v>
      </c>
      <c r="I90" s="43">
        <v>38838000</v>
      </c>
      <c r="J90" s="43">
        <f t="shared" si="35"/>
        <v>2.2572786804687639</v>
      </c>
      <c r="K90" s="43">
        <v>13643000</v>
      </c>
      <c r="L90" s="43">
        <v>14390000</v>
      </c>
      <c r="M90" s="43">
        <v>19030000</v>
      </c>
      <c r="N90" s="43">
        <v>19030000</v>
      </c>
      <c r="O90" s="43">
        <f t="shared" si="36"/>
        <v>1.3224461431549688</v>
      </c>
      <c r="P90" s="43">
        <f t="shared" si="37"/>
        <v>1.3948545041413178</v>
      </c>
      <c r="Q90" s="43">
        <v>14250000</v>
      </c>
      <c r="R90" s="43">
        <v>21880000</v>
      </c>
      <c r="S90" s="43">
        <v>25162000</v>
      </c>
      <c r="T90" s="43">
        <f t="shared" si="38"/>
        <v>1.1998251331372705</v>
      </c>
      <c r="U90" s="43">
        <f t="shared" si="39"/>
        <v>1.8443157663270542</v>
      </c>
      <c r="V90" s="43"/>
      <c r="W90" s="43">
        <f t="shared" si="40"/>
        <v>22096000</v>
      </c>
      <c r="X90" s="43">
        <f t="shared" si="41"/>
        <v>1.2611356381461196</v>
      </c>
      <c r="Y90" s="43">
        <f t="shared" si="42"/>
        <v>1.6195851352341861</v>
      </c>
      <c r="Z90" s="43">
        <v>1.6</v>
      </c>
      <c r="AA90" s="43">
        <f t="shared" si="32"/>
        <v>17205673.511227511</v>
      </c>
      <c r="AB90" s="43">
        <f t="shared" si="43"/>
        <v>1.2611356381461196</v>
      </c>
      <c r="AC90" s="43">
        <f t="shared" si="44"/>
        <v>1.6195851352341861</v>
      </c>
      <c r="AD90" s="43">
        <f t="shared" si="45"/>
        <v>1.7546537762848753</v>
      </c>
      <c r="AE90" s="43">
        <f t="shared" si="33"/>
        <v>27529077.617964018</v>
      </c>
      <c r="AF90" s="44">
        <f t="shared" si="46"/>
        <v>2.0091628483733635</v>
      </c>
    </row>
    <row r="91" spans="1:32" ht="39.4" customHeight="1">
      <c r="A91" s="46">
        <v>32063406</v>
      </c>
      <c r="B91" s="59" t="s">
        <v>2420</v>
      </c>
      <c r="C91" s="60" t="s">
        <v>1967</v>
      </c>
      <c r="D91" s="49">
        <v>52000000</v>
      </c>
      <c r="E91" s="49">
        <v>52000000</v>
      </c>
      <c r="F91" s="49">
        <f t="shared" si="34"/>
        <v>1.7079279057355174</v>
      </c>
      <c r="G91" s="49">
        <v>41600000</v>
      </c>
      <c r="H91" s="49">
        <v>53100000</v>
      </c>
      <c r="I91" s="49">
        <v>53100000</v>
      </c>
      <c r="J91" s="49">
        <f t="shared" si="35"/>
        <v>1.7440571498953072</v>
      </c>
      <c r="K91" s="49">
        <v>23000000</v>
      </c>
      <c r="L91" s="49">
        <v>19830000</v>
      </c>
      <c r="M91" s="49">
        <v>26220000</v>
      </c>
      <c r="N91" s="49">
        <v>26220000</v>
      </c>
      <c r="O91" s="49">
        <f t="shared" si="36"/>
        <v>1.3222390317700454</v>
      </c>
      <c r="P91" s="49">
        <f t="shared" si="37"/>
        <v>1.1399999999999999</v>
      </c>
      <c r="Q91" s="49">
        <v>19630000</v>
      </c>
      <c r="R91" s="49">
        <v>30150000</v>
      </c>
      <c r="S91" s="49">
        <v>34672500</v>
      </c>
      <c r="T91" s="49">
        <f t="shared" si="38"/>
        <v>1.1997981108948013</v>
      </c>
      <c r="U91" s="49">
        <f t="shared" si="39"/>
        <v>1.5075000000000001</v>
      </c>
      <c r="V91" s="49"/>
      <c r="W91" s="49">
        <f t="shared" si="40"/>
        <v>30446250</v>
      </c>
      <c r="X91" s="49">
        <f t="shared" si="41"/>
        <v>1.2610185713324233</v>
      </c>
      <c r="Y91" s="49">
        <f t="shared" si="42"/>
        <v>1.32375</v>
      </c>
      <c r="Z91" s="49">
        <v>1.6</v>
      </c>
      <c r="AA91" s="49">
        <f>W91</f>
        <v>30446250</v>
      </c>
      <c r="AB91" s="49">
        <f t="shared" si="43"/>
        <v>1.32375</v>
      </c>
      <c r="AC91" s="49">
        <f t="shared" si="44"/>
        <v>1.32375</v>
      </c>
      <c r="AD91" s="49">
        <f t="shared" si="45"/>
        <v>1.3663423245884141</v>
      </c>
      <c r="AE91" s="49">
        <f t="shared" ref="AE91:AE122" si="47">AA91*Z91</f>
        <v>48714000</v>
      </c>
      <c r="AF91" s="50">
        <f t="shared" si="46"/>
        <v>1.7259925278154125</v>
      </c>
    </row>
    <row r="92" spans="1:32" ht="39.4" customHeight="1">
      <c r="A92" s="40">
        <v>32063501</v>
      </c>
      <c r="B92" s="57" t="s">
        <v>2421</v>
      </c>
      <c r="C92" s="58" t="s">
        <v>1967</v>
      </c>
      <c r="D92" s="43">
        <v>18300000</v>
      </c>
      <c r="E92" s="43">
        <v>18300000</v>
      </c>
      <c r="F92" s="43">
        <f t="shared" si="34"/>
        <v>1.5499933828834405</v>
      </c>
      <c r="G92" s="43">
        <v>22300000</v>
      </c>
      <c r="H92" s="43">
        <v>22300000</v>
      </c>
      <c r="I92" s="43">
        <v>22300000</v>
      </c>
      <c r="J92" s="43">
        <f t="shared" si="35"/>
        <v>1.8887897507268154</v>
      </c>
      <c r="K92" s="43">
        <v>9156000</v>
      </c>
      <c r="L92" s="43">
        <v>9920000</v>
      </c>
      <c r="M92" s="43">
        <v>13690000</v>
      </c>
      <c r="N92" s="43">
        <v>13690000</v>
      </c>
      <c r="O92" s="43">
        <f t="shared" si="36"/>
        <v>1.3800403225806452</v>
      </c>
      <c r="P92" s="43">
        <f t="shared" si="37"/>
        <v>1.4951944080384447</v>
      </c>
      <c r="Q92" s="43">
        <v>11560000</v>
      </c>
      <c r="R92" s="43">
        <v>16150000</v>
      </c>
      <c r="S92" s="43">
        <v>18600000</v>
      </c>
      <c r="T92" s="43">
        <f t="shared" si="38"/>
        <v>1.1989247311827957</v>
      </c>
      <c r="U92" s="43">
        <f t="shared" si="39"/>
        <v>2.0314547837483619</v>
      </c>
      <c r="V92" s="43"/>
      <c r="W92" s="43">
        <f t="shared" si="40"/>
        <v>16145000</v>
      </c>
      <c r="X92" s="43">
        <f t="shared" si="41"/>
        <v>1.2894825268817205</v>
      </c>
      <c r="Y92" s="43">
        <f t="shared" si="42"/>
        <v>1.7633245958934032</v>
      </c>
      <c r="Z92" s="43">
        <v>1.6</v>
      </c>
      <c r="AA92" s="43">
        <f t="shared" ref="AA92:AA97" si="48">K92*X92</f>
        <v>11806502.016129034</v>
      </c>
      <c r="AB92" s="43">
        <f t="shared" si="43"/>
        <v>1.2894825268817205</v>
      </c>
      <c r="AC92" s="43">
        <f t="shared" si="44"/>
        <v>1.7633245958934032</v>
      </c>
      <c r="AD92" s="43">
        <f t="shared" si="45"/>
        <v>1.8887897507268154</v>
      </c>
      <c r="AE92" s="43">
        <f t="shared" si="47"/>
        <v>18890403.225806456</v>
      </c>
      <c r="AF92" s="44">
        <f t="shared" si="46"/>
        <v>1.7193915668051281</v>
      </c>
    </row>
    <row r="93" spans="1:32" ht="39.4" customHeight="1">
      <c r="A93" s="46">
        <v>32063502</v>
      </c>
      <c r="B93" s="59" t="s">
        <v>2422</v>
      </c>
      <c r="C93" s="60" t="s">
        <v>1967</v>
      </c>
      <c r="D93" s="49">
        <v>22000000</v>
      </c>
      <c r="E93" s="49">
        <v>22000000</v>
      </c>
      <c r="F93" s="49">
        <f t="shared" si="34"/>
        <v>1.5875339003586593</v>
      </c>
      <c r="G93" s="49">
        <v>32000000</v>
      </c>
      <c r="H93" s="49">
        <v>32800000</v>
      </c>
      <c r="I93" s="49">
        <v>32800000</v>
      </c>
      <c r="J93" s="49">
        <f t="shared" si="35"/>
        <v>2.3668687241710922</v>
      </c>
      <c r="K93" s="49">
        <v>10860000</v>
      </c>
      <c r="L93" s="49">
        <v>12370000</v>
      </c>
      <c r="M93" s="49">
        <v>17070000</v>
      </c>
      <c r="N93" s="49">
        <v>17070000</v>
      </c>
      <c r="O93" s="49">
        <f t="shared" si="36"/>
        <v>1.3799514955537591</v>
      </c>
      <c r="P93" s="49">
        <f t="shared" si="37"/>
        <v>1.5718232044198894</v>
      </c>
      <c r="Q93" s="49">
        <v>14120000</v>
      </c>
      <c r="R93" s="49">
        <v>23700000</v>
      </c>
      <c r="S93" s="49">
        <v>27300000</v>
      </c>
      <c r="T93" s="49">
        <f t="shared" si="38"/>
        <v>1.1721611721611722</v>
      </c>
      <c r="U93" s="49">
        <f t="shared" si="39"/>
        <v>2.5138121546961325</v>
      </c>
      <c r="V93" s="49"/>
      <c r="W93" s="49">
        <f t="shared" si="40"/>
        <v>22185000</v>
      </c>
      <c r="X93" s="49">
        <f t="shared" si="41"/>
        <v>1.2760563338574658</v>
      </c>
      <c r="Y93" s="49">
        <f t="shared" si="42"/>
        <v>2.0428176795580111</v>
      </c>
      <c r="Z93" s="49">
        <v>1.6</v>
      </c>
      <c r="AA93" s="49">
        <f t="shared" si="48"/>
        <v>13857971.785692079</v>
      </c>
      <c r="AB93" s="49">
        <f t="shared" si="43"/>
        <v>1.2760563338574658</v>
      </c>
      <c r="AC93" s="49">
        <f t="shared" si="44"/>
        <v>2.0428176795580111</v>
      </c>
      <c r="AD93" s="49">
        <f t="shared" si="45"/>
        <v>2.3091402187035044</v>
      </c>
      <c r="AE93" s="49">
        <f t="shared" si="47"/>
        <v>22172754.857107326</v>
      </c>
      <c r="AF93" s="50">
        <f t="shared" si="46"/>
        <v>1.9772013122648757</v>
      </c>
    </row>
    <row r="94" spans="1:32" ht="39.4" customHeight="1">
      <c r="A94" s="40">
        <v>32063503</v>
      </c>
      <c r="B94" s="57" t="s">
        <v>2423</v>
      </c>
      <c r="C94" s="58" t="s">
        <v>1967</v>
      </c>
      <c r="D94" s="43">
        <v>27300000</v>
      </c>
      <c r="E94" s="43">
        <v>27300000</v>
      </c>
      <c r="F94" s="43">
        <f t="shared" si="34"/>
        <v>1.5070079023567395</v>
      </c>
      <c r="G94" s="43">
        <v>35400000</v>
      </c>
      <c r="H94" s="43">
        <v>35400000</v>
      </c>
      <c r="I94" s="43">
        <v>35400000</v>
      </c>
      <c r="J94" s="43">
        <f t="shared" si="35"/>
        <v>1.954142115143904</v>
      </c>
      <c r="K94" s="43">
        <v>14040000</v>
      </c>
      <c r="L94" s="43">
        <v>16030000</v>
      </c>
      <c r="M94" s="43">
        <v>22130000</v>
      </c>
      <c r="N94" s="43">
        <v>22130000</v>
      </c>
      <c r="O94" s="43">
        <f t="shared" si="36"/>
        <v>1.380536494073612</v>
      </c>
      <c r="P94" s="43">
        <f t="shared" si="37"/>
        <v>1.5762108262108263</v>
      </c>
      <c r="Q94" s="43">
        <v>18360000</v>
      </c>
      <c r="R94" s="43">
        <v>25670000</v>
      </c>
      <c r="S94" s="43">
        <v>29500000</v>
      </c>
      <c r="T94" s="43">
        <f t="shared" si="38"/>
        <v>1.2</v>
      </c>
      <c r="U94" s="43">
        <f t="shared" si="39"/>
        <v>2.1011396011396011</v>
      </c>
      <c r="V94" s="43"/>
      <c r="W94" s="43">
        <f t="shared" si="40"/>
        <v>25815000</v>
      </c>
      <c r="X94" s="43">
        <f t="shared" si="41"/>
        <v>1.2902682470368059</v>
      </c>
      <c r="Y94" s="43">
        <f t="shared" si="42"/>
        <v>1.8386752136752136</v>
      </c>
      <c r="Z94" s="43">
        <f>(J94+F94)/2</f>
        <v>1.7305750087503218</v>
      </c>
      <c r="AA94" s="43">
        <f t="shared" si="48"/>
        <v>18115366.188396756</v>
      </c>
      <c r="AB94" s="43">
        <f t="shared" si="43"/>
        <v>1.2902682470368059</v>
      </c>
      <c r="AC94" s="43">
        <f t="shared" si="44"/>
        <v>1.8386752136752136</v>
      </c>
      <c r="AD94" s="43">
        <f t="shared" si="45"/>
        <v>1.954142115143904</v>
      </c>
      <c r="AE94" s="43">
        <f t="shared" si="47"/>
        <v>31350000</v>
      </c>
      <c r="AF94" s="44">
        <f t="shared" si="46"/>
        <v>1.7305750087503218</v>
      </c>
    </row>
    <row r="95" spans="1:32" ht="39.4" customHeight="1">
      <c r="A95" s="46">
        <v>32063504</v>
      </c>
      <c r="B95" s="59" t="s">
        <v>2424</v>
      </c>
      <c r="C95" s="60" t="s">
        <v>1967</v>
      </c>
      <c r="D95" s="49">
        <v>33800000</v>
      </c>
      <c r="E95" s="49">
        <v>33800000</v>
      </c>
      <c r="F95" s="49">
        <f t="shared" si="34"/>
        <v>1.5703573879599664</v>
      </c>
      <c r="G95" s="49">
        <v>41300000</v>
      </c>
      <c r="H95" s="49">
        <v>41300000</v>
      </c>
      <c r="I95" s="49">
        <v>41300000</v>
      </c>
      <c r="J95" s="49">
        <f t="shared" si="35"/>
        <v>1.9188094710871777</v>
      </c>
      <c r="K95" s="49">
        <v>16680000</v>
      </c>
      <c r="L95" s="49">
        <v>18490000</v>
      </c>
      <c r="M95" s="49">
        <v>25520000</v>
      </c>
      <c r="N95" s="49">
        <v>25520000</v>
      </c>
      <c r="O95" s="49">
        <f t="shared" si="36"/>
        <v>1.380205516495403</v>
      </c>
      <c r="P95" s="49">
        <f t="shared" si="37"/>
        <v>1.5299760191846523</v>
      </c>
      <c r="Q95" s="49">
        <v>21420000</v>
      </c>
      <c r="R95" s="49">
        <v>29920000</v>
      </c>
      <c r="S95" s="49">
        <v>34400000</v>
      </c>
      <c r="T95" s="49">
        <f t="shared" si="38"/>
        <v>1.2005813953488371</v>
      </c>
      <c r="U95" s="49">
        <f t="shared" si="39"/>
        <v>2.0623501199040768</v>
      </c>
      <c r="V95" s="49"/>
      <c r="W95" s="49">
        <f t="shared" si="40"/>
        <v>29960000</v>
      </c>
      <c r="X95" s="49">
        <f t="shared" si="41"/>
        <v>1.29039345592212</v>
      </c>
      <c r="Y95" s="49">
        <f t="shared" si="42"/>
        <v>1.7961630695443644</v>
      </c>
      <c r="Z95" s="49">
        <f>(J95+F95)/2</f>
        <v>1.744583429523572</v>
      </c>
      <c r="AA95" s="49">
        <f t="shared" si="48"/>
        <v>21523762.844780959</v>
      </c>
      <c r="AB95" s="49">
        <f t="shared" si="43"/>
        <v>1.29039345592212</v>
      </c>
      <c r="AC95" s="49">
        <f t="shared" si="44"/>
        <v>1.7961630695443644</v>
      </c>
      <c r="AD95" s="49">
        <f t="shared" si="45"/>
        <v>1.9188094710871777</v>
      </c>
      <c r="AE95" s="49">
        <f t="shared" si="47"/>
        <v>37550000</v>
      </c>
      <c r="AF95" s="50">
        <f t="shared" si="46"/>
        <v>1.744583429523572</v>
      </c>
    </row>
    <row r="96" spans="1:32" ht="39.4" customHeight="1">
      <c r="A96" s="40">
        <v>32063505</v>
      </c>
      <c r="B96" s="57" t="s">
        <v>2425</v>
      </c>
      <c r="C96" s="58" t="s">
        <v>1967</v>
      </c>
      <c r="D96" s="43">
        <v>63200000</v>
      </c>
      <c r="E96" s="43">
        <v>63200000</v>
      </c>
      <c r="F96" s="43">
        <f t="shared" si="34"/>
        <v>1.6136815542825802</v>
      </c>
      <c r="G96" s="43">
        <v>77400000</v>
      </c>
      <c r="H96" s="43">
        <v>77400000</v>
      </c>
      <c r="I96" s="43">
        <v>77400000</v>
      </c>
      <c r="J96" s="43">
        <f t="shared" si="35"/>
        <v>1.9762492452764511</v>
      </c>
      <c r="K96" s="43">
        <v>30360000</v>
      </c>
      <c r="L96" s="43">
        <v>34680000</v>
      </c>
      <c r="M96" s="43">
        <v>47860000</v>
      </c>
      <c r="N96" s="43">
        <v>47860000</v>
      </c>
      <c r="O96" s="43">
        <f t="shared" si="36"/>
        <v>1.3800461361014995</v>
      </c>
      <c r="P96" s="43">
        <f t="shared" si="37"/>
        <v>1.5764163372859026</v>
      </c>
      <c r="Q96" s="43">
        <v>40120000</v>
      </c>
      <c r="R96" s="43">
        <v>56100000</v>
      </c>
      <c r="S96" s="43">
        <v>64500000</v>
      </c>
      <c r="T96" s="43">
        <f t="shared" si="38"/>
        <v>1.2</v>
      </c>
      <c r="U96" s="43">
        <f t="shared" si="39"/>
        <v>2.1245059288537549</v>
      </c>
      <c r="V96" s="43"/>
      <c r="W96" s="43">
        <f t="shared" si="40"/>
        <v>56180000</v>
      </c>
      <c r="X96" s="43">
        <f t="shared" si="41"/>
        <v>1.2900230680507496</v>
      </c>
      <c r="Y96" s="43">
        <f t="shared" si="42"/>
        <v>1.8504611330698286</v>
      </c>
      <c r="Z96" s="43">
        <v>1.6</v>
      </c>
      <c r="AA96" s="43">
        <f t="shared" si="48"/>
        <v>39165100.346020758</v>
      </c>
      <c r="AB96" s="43">
        <f t="shared" si="43"/>
        <v>1.2900230680507496</v>
      </c>
      <c r="AC96" s="43">
        <f t="shared" si="44"/>
        <v>1.8504611330698286</v>
      </c>
      <c r="AD96" s="43">
        <f t="shared" si="45"/>
        <v>1.9762492452764511</v>
      </c>
      <c r="AE96" s="43">
        <f t="shared" si="47"/>
        <v>62664160.553633213</v>
      </c>
      <c r="AF96" s="44">
        <f t="shared" si="46"/>
        <v>1.7949653997795156</v>
      </c>
    </row>
    <row r="97" spans="1:32" ht="39.4" customHeight="1">
      <c r="A97" s="46">
        <v>32063506</v>
      </c>
      <c r="B97" s="59" t="s">
        <v>2426</v>
      </c>
      <c r="C97" s="60" t="s">
        <v>1967</v>
      </c>
      <c r="D97" s="49">
        <v>102100000</v>
      </c>
      <c r="E97" s="49">
        <v>102100000</v>
      </c>
      <c r="F97" s="49">
        <f t="shared" si="34"/>
        <v>1.5197132415548453</v>
      </c>
      <c r="G97" s="49">
        <v>131400000</v>
      </c>
      <c r="H97" s="49">
        <v>131400000</v>
      </c>
      <c r="I97" s="49">
        <v>131400000</v>
      </c>
      <c r="J97" s="49">
        <f t="shared" si="35"/>
        <v>1.9558307535779302</v>
      </c>
      <c r="K97" s="49">
        <v>52080000</v>
      </c>
      <c r="L97" s="49">
        <v>59260000</v>
      </c>
      <c r="M97" s="49">
        <v>81780000</v>
      </c>
      <c r="N97" s="49">
        <v>81780000</v>
      </c>
      <c r="O97" s="49">
        <f t="shared" si="36"/>
        <v>1.3800202497468781</v>
      </c>
      <c r="P97" s="49">
        <f t="shared" si="37"/>
        <v>1.5702764976958525</v>
      </c>
      <c r="Q97" s="49">
        <v>68340000</v>
      </c>
      <c r="R97" s="49">
        <v>95200000</v>
      </c>
      <c r="S97" s="49">
        <v>109500000</v>
      </c>
      <c r="T97" s="49">
        <f t="shared" si="38"/>
        <v>1.2</v>
      </c>
      <c r="U97" s="49">
        <f t="shared" si="39"/>
        <v>2.1025345622119818</v>
      </c>
      <c r="V97" s="49"/>
      <c r="W97" s="49">
        <f t="shared" si="40"/>
        <v>95640000</v>
      </c>
      <c r="X97" s="49">
        <f t="shared" si="41"/>
        <v>1.290010124873439</v>
      </c>
      <c r="Y97" s="49">
        <f t="shared" si="42"/>
        <v>1.836405529953917</v>
      </c>
      <c r="Z97" s="49">
        <v>1.6</v>
      </c>
      <c r="AA97" s="49">
        <f t="shared" si="48"/>
        <v>67183727.303408697</v>
      </c>
      <c r="AB97" s="49">
        <f t="shared" si="43"/>
        <v>1.2900101248734388</v>
      </c>
      <c r="AC97" s="49">
        <f t="shared" si="44"/>
        <v>1.836405529953917</v>
      </c>
      <c r="AD97" s="49">
        <f t="shared" si="45"/>
        <v>1.9558307535779302</v>
      </c>
      <c r="AE97" s="49">
        <f t="shared" si="47"/>
        <v>107493963.68545392</v>
      </c>
      <c r="AF97" s="50">
        <f t="shared" si="46"/>
        <v>1.7377719975663877</v>
      </c>
    </row>
    <row r="98" spans="1:32" ht="39.4" customHeight="1">
      <c r="A98" s="40">
        <v>32063507</v>
      </c>
      <c r="B98" s="57" t="s">
        <v>2427</v>
      </c>
      <c r="C98" s="58" t="s">
        <v>1967</v>
      </c>
      <c r="D98" s="43">
        <v>185200000</v>
      </c>
      <c r="E98" s="43">
        <v>185200000</v>
      </c>
      <c r="F98" s="43">
        <f t="shared" si="34"/>
        <v>1.8020332227982501</v>
      </c>
      <c r="G98" s="43">
        <v>221800000</v>
      </c>
      <c r="H98" s="43">
        <v>231800000</v>
      </c>
      <c r="I98" s="43">
        <v>221800000</v>
      </c>
      <c r="J98" s="43">
        <f t="shared" si="35"/>
        <v>2.1581585789236062</v>
      </c>
      <c r="K98" s="43">
        <v>79056000</v>
      </c>
      <c r="L98" s="43"/>
      <c r="M98" s="43"/>
      <c r="N98" s="43"/>
      <c r="O98" s="43" t="e">
        <f t="shared" si="36"/>
        <v>#DIV/0!</v>
      </c>
      <c r="P98" s="43">
        <f t="shared" si="37"/>
        <v>0</v>
      </c>
      <c r="Q98" s="43">
        <v>104400000</v>
      </c>
      <c r="R98" s="43">
        <v>160700000</v>
      </c>
      <c r="S98" s="43">
        <v>184800000</v>
      </c>
      <c r="T98" s="43">
        <f t="shared" si="38"/>
        <v>1.2002164502164503</v>
      </c>
      <c r="U98" s="43">
        <f t="shared" si="39"/>
        <v>2.3375834851244686</v>
      </c>
      <c r="V98" s="43"/>
      <c r="W98" s="43">
        <f t="shared" si="40"/>
        <v>92400000</v>
      </c>
      <c r="X98" s="43" t="e">
        <f t="shared" si="41"/>
        <v>#DIV/0!</v>
      </c>
      <c r="Y98" s="43">
        <f t="shared" si="42"/>
        <v>1.1687917425622343</v>
      </c>
      <c r="Z98" s="43">
        <v>1.6</v>
      </c>
      <c r="AA98" s="43">
        <f>K98*1.3</f>
        <v>102772800</v>
      </c>
      <c r="AB98" s="43">
        <f t="shared" si="43"/>
        <v>1.3</v>
      </c>
      <c r="AC98" s="43">
        <f t="shared" si="44"/>
        <v>1.1687917425622343</v>
      </c>
      <c r="AD98" s="43">
        <f t="shared" si="45"/>
        <v>2.1581585789236062</v>
      </c>
      <c r="AE98" s="43">
        <f t="shared" si="47"/>
        <v>164436480</v>
      </c>
      <c r="AF98" s="44">
        <f t="shared" si="46"/>
        <v>1.980095900860928</v>
      </c>
    </row>
    <row r="99" spans="1:32" ht="39.4" customHeight="1">
      <c r="A99" s="46">
        <v>32063508</v>
      </c>
      <c r="B99" s="59" t="s">
        <v>2428</v>
      </c>
      <c r="C99" s="60" t="s">
        <v>1967</v>
      </c>
      <c r="D99" s="49">
        <v>227000000</v>
      </c>
      <c r="E99" s="49">
        <v>227000000</v>
      </c>
      <c r="F99" s="49">
        <f t="shared" ref="F99:F130" si="49">E99/AA99</f>
        <v>1.7964545742323521</v>
      </c>
      <c r="G99" s="49">
        <v>305000000</v>
      </c>
      <c r="H99" s="49">
        <v>305000000</v>
      </c>
      <c r="I99" s="49">
        <v>305000000</v>
      </c>
      <c r="J99" s="49">
        <f t="shared" ref="J99:J130" si="50">I99/AA99</f>
        <v>2.4137385248496361</v>
      </c>
      <c r="K99" s="49">
        <v>97200000</v>
      </c>
      <c r="L99" s="49"/>
      <c r="M99" s="49"/>
      <c r="N99" s="49"/>
      <c r="O99" s="49" t="e">
        <f t="shared" ref="O99:O130" si="51">(N99/L99)</f>
        <v>#DIV/0!</v>
      </c>
      <c r="P99" s="49">
        <f t="shared" ref="P99:P130" si="52">(N99/K99)</f>
        <v>0</v>
      </c>
      <c r="Q99" s="49">
        <v>148100000</v>
      </c>
      <c r="R99" s="49">
        <v>221000000</v>
      </c>
      <c r="S99" s="49">
        <v>254200000</v>
      </c>
      <c r="T99" s="49">
        <f t="shared" ref="T99:T130" si="53">G99/S99</f>
        <v>1.1998426435877263</v>
      </c>
      <c r="U99" s="49">
        <f t="shared" ref="U99:U130" si="54">S99/K99</f>
        <v>2.6152263374485596</v>
      </c>
      <c r="V99" s="49"/>
      <c r="W99" s="49">
        <f t="shared" ref="W99:W130" si="55">(S99+N99)/2</f>
        <v>127100000</v>
      </c>
      <c r="X99" s="49" t="e">
        <f t="shared" ref="X99:X130" si="56">(T99+O99)/2</f>
        <v>#DIV/0!</v>
      </c>
      <c r="Y99" s="49">
        <f t="shared" ref="Y99:Y130" si="57">W99/K99</f>
        <v>1.3076131687242798</v>
      </c>
      <c r="Z99" s="49">
        <v>1.6</v>
      </c>
      <c r="AA99" s="49">
        <f>K99*1.3</f>
        <v>126360000</v>
      </c>
      <c r="AB99" s="49">
        <f t="shared" ref="AB99:AB130" si="58">AA99/K99</f>
        <v>1.3</v>
      </c>
      <c r="AC99" s="49">
        <f t="shared" ref="AC99:AC130" si="59">W99/K99</f>
        <v>1.3076131687242798</v>
      </c>
      <c r="AD99" s="49">
        <f t="shared" ref="AD99:AD130" si="60">G99/AA99</f>
        <v>2.4137385248496361</v>
      </c>
      <c r="AE99" s="49">
        <f t="shared" si="47"/>
        <v>202176000</v>
      </c>
      <c r="AF99" s="50"/>
    </row>
    <row r="100" spans="1:32" ht="39.4" customHeight="1">
      <c r="A100" s="40">
        <v>32063601</v>
      </c>
      <c r="B100" s="57" t="s">
        <v>2429</v>
      </c>
      <c r="C100" s="58" t="s">
        <v>1967</v>
      </c>
      <c r="D100" s="43">
        <v>43900000</v>
      </c>
      <c r="E100" s="43">
        <v>43900000</v>
      </c>
      <c r="F100" s="43">
        <f t="shared" si="49"/>
        <v>1.854885509246502</v>
      </c>
      <c r="G100" s="43">
        <v>66500000</v>
      </c>
      <c r="H100" s="43">
        <v>66500000</v>
      </c>
      <c r="I100" s="43">
        <v>66500000</v>
      </c>
      <c r="J100" s="43">
        <f t="shared" si="50"/>
        <v>2.8097924001114438</v>
      </c>
      <c r="K100" s="43">
        <v>19200000</v>
      </c>
      <c r="L100" s="43">
        <v>38400000</v>
      </c>
      <c r="M100" s="43">
        <v>48600000</v>
      </c>
      <c r="N100" s="43">
        <v>48600000</v>
      </c>
      <c r="O100" s="43">
        <f t="shared" si="51"/>
        <v>1.265625</v>
      </c>
      <c r="P100" s="43">
        <f t="shared" si="52"/>
        <v>2.53125</v>
      </c>
      <c r="Q100" s="43">
        <v>42700000</v>
      </c>
      <c r="R100" s="43">
        <v>48200000</v>
      </c>
      <c r="S100" s="43">
        <v>55430000</v>
      </c>
      <c r="T100" s="43">
        <f t="shared" si="53"/>
        <v>1.1997113476456793</v>
      </c>
      <c r="U100" s="43">
        <f t="shared" si="54"/>
        <v>2.8869791666666669</v>
      </c>
      <c r="V100" s="43"/>
      <c r="W100" s="43">
        <f t="shared" si="55"/>
        <v>52015000</v>
      </c>
      <c r="X100" s="43">
        <f t="shared" si="56"/>
        <v>1.2326681738228396</v>
      </c>
      <c r="Y100" s="43">
        <f t="shared" si="57"/>
        <v>2.7091145833333332</v>
      </c>
      <c r="Z100" s="43">
        <v>1.6</v>
      </c>
      <c r="AA100" s="43">
        <f>K100*X100</f>
        <v>23667228.937398519</v>
      </c>
      <c r="AB100" s="43">
        <f t="shared" si="58"/>
        <v>1.2326681738228396</v>
      </c>
      <c r="AC100" s="43">
        <f t="shared" si="59"/>
        <v>2.7091145833333332</v>
      </c>
      <c r="AD100" s="43">
        <f t="shared" si="60"/>
        <v>2.8097924001114438</v>
      </c>
      <c r="AE100" s="43">
        <f t="shared" si="47"/>
        <v>37867566.299837634</v>
      </c>
      <c r="AF100" s="44"/>
    </row>
    <row r="101" spans="1:32" ht="39.4" customHeight="1">
      <c r="A101" s="46">
        <v>32063602</v>
      </c>
      <c r="B101" s="59" t="s">
        <v>2430</v>
      </c>
      <c r="C101" s="60" t="s">
        <v>1967</v>
      </c>
      <c r="D101" s="49">
        <v>81900000</v>
      </c>
      <c r="E101" s="49">
        <v>81900000</v>
      </c>
      <c r="F101" s="49">
        <f t="shared" si="49"/>
        <v>1.8575768546534859</v>
      </c>
      <c r="G101" s="49">
        <v>109300000</v>
      </c>
      <c r="H101" s="49">
        <v>109300000</v>
      </c>
      <c r="I101" s="49">
        <v>109300000</v>
      </c>
      <c r="J101" s="49">
        <f t="shared" si="50"/>
        <v>2.4790372431456165</v>
      </c>
      <c r="K101" s="49">
        <v>35760000</v>
      </c>
      <c r="L101" s="49">
        <v>63200000</v>
      </c>
      <c r="M101" s="49">
        <v>80000000</v>
      </c>
      <c r="N101" s="49">
        <v>80000000</v>
      </c>
      <c r="O101" s="49">
        <f t="shared" si="51"/>
        <v>1.2658227848101267</v>
      </c>
      <c r="P101" s="49">
        <f t="shared" si="52"/>
        <v>2.2371364653243848</v>
      </c>
      <c r="Q101" s="49">
        <v>63200000</v>
      </c>
      <c r="R101" s="49">
        <v>79200000</v>
      </c>
      <c r="S101" s="49">
        <v>91080000</v>
      </c>
      <c r="T101" s="49">
        <f t="shared" si="53"/>
        <v>1.2000439174352218</v>
      </c>
      <c r="U101" s="49">
        <f t="shared" si="54"/>
        <v>2.5469798657718119</v>
      </c>
      <c r="V101" s="49"/>
      <c r="W101" s="49">
        <f t="shared" si="55"/>
        <v>85540000</v>
      </c>
      <c r="X101" s="49">
        <f t="shared" si="56"/>
        <v>1.2329333511226741</v>
      </c>
      <c r="Y101" s="49">
        <f t="shared" si="57"/>
        <v>2.3920581655480984</v>
      </c>
      <c r="Z101" s="49">
        <v>1.6</v>
      </c>
      <c r="AA101" s="49">
        <f>K101*X101</f>
        <v>44089696.636146829</v>
      </c>
      <c r="AB101" s="49">
        <f t="shared" si="58"/>
        <v>1.2329333511226741</v>
      </c>
      <c r="AC101" s="49">
        <f t="shared" si="59"/>
        <v>2.3920581655480984</v>
      </c>
      <c r="AD101" s="49">
        <f t="shared" si="60"/>
        <v>2.4790372431456165</v>
      </c>
      <c r="AE101" s="49">
        <f t="shared" si="47"/>
        <v>70543514.617834926</v>
      </c>
      <c r="AF101" s="50"/>
    </row>
    <row r="102" spans="1:32" ht="39.4" customHeight="1">
      <c r="A102" s="40">
        <v>32063603</v>
      </c>
      <c r="B102" s="57" t="s">
        <v>2431</v>
      </c>
      <c r="C102" s="58" t="s">
        <v>1967</v>
      </c>
      <c r="D102" s="43">
        <v>138400000</v>
      </c>
      <c r="E102" s="43">
        <v>138400000</v>
      </c>
      <c r="F102" s="43">
        <f t="shared" si="49"/>
        <v>1.8566392798272475</v>
      </c>
      <c r="G102" s="43">
        <v>146000000</v>
      </c>
      <c r="H102" s="43">
        <v>146000000</v>
      </c>
      <c r="I102" s="43">
        <v>146000000</v>
      </c>
      <c r="J102" s="43">
        <f t="shared" si="50"/>
        <v>1.9585934599333681</v>
      </c>
      <c r="K102" s="43">
        <v>60480000</v>
      </c>
      <c r="L102" s="43">
        <v>84500000</v>
      </c>
      <c r="M102" s="43">
        <v>106900000</v>
      </c>
      <c r="N102" s="43">
        <v>106900000</v>
      </c>
      <c r="O102" s="43">
        <f t="shared" si="51"/>
        <v>1.2650887573964498</v>
      </c>
      <c r="P102" s="43">
        <f t="shared" si="52"/>
        <v>1.7675264550264551</v>
      </c>
      <c r="Q102" s="43">
        <v>82300000</v>
      </c>
      <c r="R102" s="43">
        <v>105800000</v>
      </c>
      <c r="S102" s="43">
        <v>121670000</v>
      </c>
      <c r="T102" s="43">
        <f t="shared" si="53"/>
        <v>1.1999671241883785</v>
      </c>
      <c r="U102" s="43">
        <f t="shared" si="54"/>
        <v>2.0117394179894181</v>
      </c>
      <c r="V102" s="43"/>
      <c r="W102" s="43">
        <f t="shared" si="55"/>
        <v>114285000</v>
      </c>
      <c r="X102" s="43">
        <f t="shared" si="56"/>
        <v>1.2325279407924141</v>
      </c>
      <c r="Y102" s="43">
        <f t="shared" si="57"/>
        <v>1.8896329365079365</v>
      </c>
      <c r="Z102" s="43">
        <v>1.6</v>
      </c>
      <c r="AA102" s="43">
        <f>K102*X102</f>
        <v>74543289.859125212</v>
      </c>
      <c r="AB102" s="43">
        <f t="shared" si="58"/>
        <v>1.2325279407924141</v>
      </c>
      <c r="AC102" s="43">
        <f t="shared" si="59"/>
        <v>1.8896329365079365</v>
      </c>
      <c r="AD102" s="43">
        <f t="shared" si="60"/>
        <v>1.9585934599333681</v>
      </c>
      <c r="AE102" s="43">
        <f t="shared" si="47"/>
        <v>119269263.77460034</v>
      </c>
      <c r="AF102" s="44"/>
    </row>
    <row r="103" spans="1:32" ht="39.4" customHeight="1">
      <c r="A103" s="46">
        <v>32063604</v>
      </c>
      <c r="B103" s="59" t="s">
        <v>2432</v>
      </c>
      <c r="C103" s="60" t="s">
        <v>1967</v>
      </c>
      <c r="D103" s="49">
        <v>237900000</v>
      </c>
      <c r="E103" s="49">
        <v>237900000</v>
      </c>
      <c r="F103" s="49">
        <f t="shared" si="49"/>
        <v>1.8794753278922511</v>
      </c>
      <c r="G103" s="49">
        <v>197000000</v>
      </c>
      <c r="H103" s="49">
        <v>197000000</v>
      </c>
      <c r="I103" s="49">
        <v>197000000</v>
      </c>
      <c r="J103" s="49">
        <f t="shared" si="50"/>
        <v>1.5563540966573075</v>
      </c>
      <c r="K103" s="49">
        <v>102720000</v>
      </c>
      <c r="L103" s="49">
        <v>114000000</v>
      </c>
      <c r="M103" s="49">
        <v>144200000</v>
      </c>
      <c r="N103" s="49">
        <v>144200000</v>
      </c>
      <c r="O103" s="49">
        <f t="shared" si="51"/>
        <v>1.2649122807017543</v>
      </c>
      <c r="P103" s="49">
        <f t="shared" si="52"/>
        <v>1.4038161993769471</v>
      </c>
      <c r="Q103" s="49">
        <v>107300000</v>
      </c>
      <c r="R103" s="49">
        <v>142800000</v>
      </c>
      <c r="S103" s="49">
        <v>164220000</v>
      </c>
      <c r="T103" s="49">
        <f t="shared" si="53"/>
        <v>1.1996102788941663</v>
      </c>
      <c r="U103" s="49">
        <f t="shared" si="54"/>
        <v>1.5987149532710281</v>
      </c>
      <c r="V103" s="49"/>
      <c r="W103" s="49">
        <f t="shared" si="55"/>
        <v>154210000</v>
      </c>
      <c r="X103" s="49">
        <f t="shared" si="56"/>
        <v>1.2322612797979602</v>
      </c>
      <c r="Y103" s="49">
        <f t="shared" si="57"/>
        <v>1.5012655763239875</v>
      </c>
      <c r="Z103" s="49">
        <v>1.55</v>
      </c>
      <c r="AA103" s="49">
        <f>K103*X103</f>
        <v>126577878.66084647</v>
      </c>
      <c r="AB103" s="49">
        <f t="shared" si="58"/>
        <v>1.2322612797979602</v>
      </c>
      <c r="AC103" s="49">
        <f t="shared" si="59"/>
        <v>1.5012655763239875</v>
      </c>
      <c r="AD103" s="49">
        <f t="shared" si="60"/>
        <v>1.5563540966573075</v>
      </c>
      <c r="AE103" s="49">
        <f t="shared" si="47"/>
        <v>196195711.92431203</v>
      </c>
      <c r="AF103" s="50"/>
    </row>
    <row r="104" spans="1:32" ht="39.4" customHeight="1">
      <c r="A104" s="40">
        <v>32063605</v>
      </c>
      <c r="B104" s="57" t="s">
        <v>2433</v>
      </c>
      <c r="C104" s="58" t="s">
        <v>1967</v>
      </c>
      <c r="D104" s="43">
        <v>280000000</v>
      </c>
      <c r="E104" s="43">
        <v>280000000</v>
      </c>
      <c r="F104" s="43">
        <f t="shared" si="49"/>
        <v>1.7977265138278733</v>
      </c>
      <c r="G104" s="43">
        <v>244400000</v>
      </c>
      <c r="H104" s="43">
        <v>244400000</v>
      </c>
      <c r="I104" s="43">
        <v>244400000</v>
      </c>
      <c r="J104" s="43">
        <f t="shared" si="50"/>
        <v>1.5691584284983293</v>
      </c>
      <c r="K104" s="43">
        <v>126360000</v>
      </c>
      <c r="L104" s="43">
        <v>141400000</v>
      </c>
      <c r="M104" s="43">
        <v>178900000</v>
      </c>
      <c r="N104" s="43">
        <v>178900000</v>
      </c>
      <c r="O104" s="43">
        <f t="shared" si="51"/>
        <v>1.2652050919377653</v>
      </c>
      <c r="P104" s="43">
        <f t="shared" si="52"/>
        <v>1.4157961380183604</v>
      </c>
      <c r="Q104" s="43">
        <v>130800000</v>
      </c>
      <c r="R104" s="43">
        <v>177100000</v>
      </c>
      <c r="S104" s="43">
        <v>203665000</v>
      </c>
      <c r="T104" s="43">
        <f t="shared" si="53"/>
        <v>1.2000098200476272</v>
      </c>
      <c r="U104" s="43">
        <f t="shared" si="54"/>
        <v>1.6117837923393479</v>
      </c>
      <c r="V104" s="43"/>
      <c r="W104" s="43">
        <f t="shared" si="55"/>
        <v>191282500</v>
      </c>
      <c r="X104" s="43">
        <f t="shared" si="56"/>
        <v>1.2326074559926963</v>
      </c>
      <c r="Y104" s="43">
        <f t="shared" si="57"/>
        <v>1.513789965178854</v>
      </c>
      <c r="Z104" s="43">
        <v>1.55</v>
      </c>
      <c r="AA104" s="43">
        <f>K104*X104</f>
        <v>155752278.13923711</v>
      </c>
      <c r="AB104" s="43">
        <f t="shared" si="58"/>
        <v>1.2326074559926963</v>
      </c>
      <c r="AC104" s="43">
        <f t="shared" si="59"/>
        <v>1.513789965178854</v>
      </c>
      <c r="AD104" s="43">
        <f t="shared" si="60"/>
        <v>1.5691584284983293</v>
      </c>
      <c r="AE104" s="43">
        <f t="shared" si="47"/>
        <v>241416031.11581752</v>
      </c>
      <c r="AF104" s="44"/>
    </row>
    <row r="105" spans="1:32" ht="39.4" customHeight="1">
      <c r="A105" s="46">
        <v>32063606</v>
      </c>
      <c r="B105" s="59" t="s">
        <v>2434</v>
      </c>
      <c r="C105" s="60" t="s">
        <v>1967</v>
      </c>
      <c r="D105" s="49">
        <v>420000000</v>
      </c>
      <c r="E105" s="49">
        <v>420000000</v>
      </c>
      <c r="F105" s="49">
        <f t="shared" si="49"/>
        <v>1.922944852688689</v>
      </c>
      <c r="G105" s="49">
        <v>279000000</v>
      </c>
      <c r="H105" s="49">
        <v>279000000</v>
      </c>
      <c r="I105" s="49">
        <v>279000000</v>
      </c>
      <c r="J105" s="49">
        <f t="shared" si="50"/>
        <v>1.2773847950003434</v>
      </c>
      <c r="K105" s="49">
        <v>198720000</v>
      </c>
      <c r="L105" s="49">
        <v>161500000</v>
      </c>
      <c r="M105" s="49">
        <v>204300000</v>
      </c>
      <c r="N105" s="49">
        <v>204300000</v>
      </c>
      <c r="O105" s="49">
        <f t="shared" si="51"/>
        <v>1.265015479876161</v>
      </c>
      <c r="P105" s="49">
        <f t="shared" si="52"/>
        <v>1.0280797101449275</v>
      </c>
      <c r="Q105" s="49">
        <v>160100000</v>
      </c>
      <c r="R105" s="49">
        <v>202200000</v>
      </c>
      <c r="S105" s="49">
        <v>232530000</v>
      </c>
      <c r="T105" s="49">
        <f t="shared" si="53"/>
        <v>1.1998451812669333</v>
      </c>
      <c r="U105" s="49">
        <f t="shared" si="54"/>
        <v>1.1701388888888888</v>
      </c>
      <c r="V105" s="49"/>
      <c r="W105" s="49">
        <f t="shared" si="55"/>
        <v>218415000</v>
      </c>
      <c r="X105" s="49">
        <f t="shared" si="56"/>
        <v>1.2324303305715472</v>
      </c>
      <c r="Y105" s="49">
        <f t="shared" si="57"/>
        <v>1.0991092995169083</v>
      </c>
      <c r="Z105" s="49">
        <f>(J105+F105)/2</f>
        <v>1.6001648238445161</v>
      </c>
      <c r="AA105" s="49">
        <f>W105</f>
        <v>218415000</v>
      </c>
      <c r="AB105" s="49">
        <f t="shared" si="58"/>
        <v>1.0991092995169083</v>
      </c>
      <c r="AC105" s="49">
        <f t="shared" si="59"/>
        <v>1.0991092995169083</v>
      </c>
      <c r="AD105" s="49">
        <f t="shared" si="60"/>
        <v>1.2773847950003434</v>
      </c>
      <c r="AE105" s="49">
        <f t="shared" si="47"/>
        <v>349500000</v>
      </c>
      <c r="AF105" s="50">
        <f>J105+F105</f>
        <v>3.2003296476890322</v>
      </c>
    </row>
    <row r="106" spans="1:32" ht="39.4" customHeight="1">
      <c r="A106" s="40">
        <v>32063607</v>
      </c>
      <c r="B106" s="57" t="s">
        <v>2435</v>
      </c>
      <c r="C106" s="58" t="s">
        <v>1967</v>
      </c>
      <c r="D106" s="43">
        <v>480000000</v>
      </c>
      <c r="E106" s="43">
        <v>480000000</v>
      </c>
      <c r="F106" s="43">
        <f t="shared" si="49"/>
        <v>1.6096174643494883</v>
      </c>
      <c r="G106" s="43">
        <v>381000000</v>
      </c>
      <c r="H106" s="43">
        <v>381000000</v>
      </c>
      <c r="I106" s="43">
        <v>381000000</v>
      </c>
      <c r="J106" s="43">
        <f t="shared" si="50"/>
        <v>1.2776338623274062</v>
      </c>
      <c r="K106" s="43">
        <v>240840000</v>
      </c>
      <c r="L106" s="43">
        <v>220400000</v>
      </c>
      <c r="M106" s="43">
        <v>278900000</v>
      </c>
      <c r="N106" s="43">
        <v>278900000</v>
      </c>
      <c r="O106" s="43">
        <f t="shared" si="51"/>
        <v>1.265426497277677</v>
      </c>
      <c r="P106" s="43">
        <f t="shared" si="52"/>
        <v>1.1580302275369541</v>
      </c>
      <c r="Q106" s="43">
        <v>207400000</v>
      </c>
      <c r="R106" s="43">
        <v>276100000</v>
      </c>
      <c r="S106" s="43">
        <v>317515000</v>
      </c>
      <c r="T106" s="43">
        <f t="shared" si="53"/>
        <v>1.1999433097648931</v>
      </c>
      <c r="U106" s="43">
        <f t="shared" si="54"/>
        <v>1.3183648895532303</v>
      </c>
      <c r="V106" s="43"/>
      <c r="W106" s="43">
        <f t="shared" si="55"/>
        <v>298207500</v>
      </c>
      <c r="X106" s="43">
        <f t="shared" si="56"/>
        <v>1.232684903521285</v>
      </c>
      <c r="Y106" s="43">
        <f t="shared" si="57"/>
        <v>1.2381975585450922</v>
      </c>
      <c r="Z106" s="43">
        <f>(J106+F106)/2</f>
        <v>1.4436256633384472</v>
      </c>
      <c r="AA106" s="43">
        <f>W106</f>
        <v>298207500</v>
      </c>
      <c r="AB106" s="43">
        <f t="shared" si="58"/>
        <v>1.2381975585450922</v>
      </c>
      <c r="AC106" s="43">
        <f t="shared" si="59"/>
        <v>1.2381975585450922</v>
      </c>
      <c r="AD106" s="43">
        <f t="shared" si="60"/>
        <v>1.2776338623274062</v>
      </c>
      <c r="AE106" s="43">
        <f t="shared" si="47"/>
        <v>430500000</v>
      </c>
      <c r="AF106" s="44"/>
    </row>
    <row r="107" spans="1:32" ht="39.4" customHeight="1">
      <c r="A107" s="46">
        <v>32063608</v>
      </c>
      <c r="B107" s="59" t="s">
        <v>2436</v>
      </c>
      <c r="C107" s="60" t="s">
        <v>1967</v>
      </c>
      <c r="D107" s="49"/>
      <c r="E107" s="49"/>
      <c r="F107" s="49">
        <f t="shared" si="49"/>
        <v>0</v>
      </c>
      <c r="G107" s="49">
        <v>449300000</v>
      </c>
      <c r="H107" s="49">
        <v>449300000</v>
      </c>
      <c r="I107" s="49">
        <v>449300000</v>
      </c>
      <c r="J107" s="49">
        <f t="shared" si="50"/>
        <v>1.277618221628231</v>
      </c>
      <c r="K107" s="49">
        <v>300000000</v>
      </c>
      <c r="L107" s="49">
        <v>260000000</v>
      </c>
      <c r="M107" s="49">
        <v>328900000</v>
      </c>
      <c r="N107" s="49">
        <v>328900000</v>
      </c>
      <c r="O107" s="49">
        <f t="shared" si="51"/>
        <v>1.2649999999999999</v>
      </c>
      <c r="P107" s="49">
        <f t="shared" si="52"/>
        <v>1.0963333333333334</v>
      </c>
      <c r="Q107" s="49">
        <v>248800000</v>
      </c>
      <c r="R107" s="49">
        <v>325600000</v>
      </c>
      <c r="S107" s="49">
        <v>374440000</v>
      </c>
      <c r="T107" s="49">
        <f t="shared" si="53"/>
        <v>1.1999252216643521</v>
      </c>
      <c r="U107" s="49">
        <f t="shared" si="54"/>
        <v>1.2481333333333333</v>
      </c>
      <c r="V107" s="49"/>
      <c r="W107" s="49">
        <f t="shared" si="55"/>
        <v>351670000</v>
      </c>
      <c r="X107" s="49">
        <f t="shared" si="56"/>
        <v>1.2324626108321759</v>
      </c>
      <c r="Y107" s="49">
        <f t="shared" si="57"/>
        <v>1.1722333333333332</v>
      </c>
      <c r="Z107" s="49">
        <v>1.277618221628231</v>
      </c>
      <c r="AA107" s="49">
        <f>W107</f>
        <v>351670000</v>
      </c>
      <c r="AB107" s="49">
        <f t="shared" si="58"/>
        <v>1.1722333333333332</v>
      </c>
      <c r="AC107" s="49">
        <f t="shared" si="59"/>
        <v>1.1722333333333332</v>
      </c>
      <c r="AD107" s="49">
        <f t="shared" si="60"/>
        <v>1.277618221628231</v>
      </c>
      <c r="AE107" s="49">
        <f t="shared" si="47"/>
        <v>449300000</v>
      </c>
      <c r="AF107" s="50"/>
    </row>
    <row r="108" spans="1:32" ht="39.4" customHeight="1">
      <c r="A108" s="40">
        <v>32063609</v>
      </c>
      <c r="B108" s="57" t="s">
        <v>2437</v>
      </c>
      <c r="C108" s="58" t="s">
        <v>1967</v>
      </c>
      <c r="D108" s="43"/>
      <c r="E108" s="43"/>
      <c r="F108" s="43">
        <f t="shared" si="49"/>
        <v>0</v>
      </c>
      <c r="G108" s="43">
        <v>560300000</v>
      </c>
      <c r="H108" s="43">
        <v>560300000</v>
      </c>
      <c r="I108" s="43">
        <v>560300000</v>
      </c>
      <c r="J108" s="43">
        <f t="shared" si="50"/>
        <v>1.2777651083238313</v>
      </c>
      <c r="K108" s="43">
        <v>384000000</v>
      </c>
      <c r="L108" s="43">
        <v>324200000</v>
      </c>
      <c r="M108" s="43">
        <v>410100000</v>
      </c>
      <c r="N108" s="43">
        <v>410100000</v>
      </c>
      <c r="O108" s="43">
        <f t="shared" si="51"/>
        <v>1.2649599012954966</v>
      </c>
      <c r="P108" s="43">
        <f t="shared" si="52"/>
        <v>1.0679687499999999</v>
      </c>
      <c r="Q108" s="43">
        <v>310300000</v>
      </c>
      <c r="R108" s="43">
        <v>406000000</v>
      </c>
      <c r="S108" s="43">
        <v>466900000</v>
      </c>
      <c r="T108" s="43">
        <f t="shared" si="53"/>
        <v>1.2000428357249946</v>
      </c>
      <c r="U108" s="43">
        <f t="shared" si="54"/>
        <v>1.2158854166666666</v>
      </c>
      <c r="V108" s="43"/>
      <c r="W108" s="43">
        <f t="shared" si="55"/>
        <v>438500000</v>
      </c>
      <c r="X108" s="43">
        <f t="shared" si="56"/>
        <v>1.2325013685102455</v>
      </c>
      <c r="Y108" s="43">
        <f t="shared" si="57"/>
        <v>1.1419270833333333</v>
      </c>
      <c r="Z108" s="43">
        <v>1.2777651083238311</v>
      </c>
      <c r="AA108" s="43">
        <f>W108</f>
        <v>438500000</v>
      </c>
      <c r="AB108" s="43">
        <f t="shared" si="58"/>
        <v>1.1419270833333333</v>
      </c>
      <c r="AC108" s="43">
        <f t="shared" si="59"/>
        <v>1.1419270833333333</v>
      </c>
      <c r="AD108" s="43">
        <f t="shared" si="60"/>
        <v>1.2777651083238313</v>
      </c>
      <c r="AE108" s="43">
        <f t="shared" si="47"/>
        <v>560299999.99999988</v>
      </c>
      <c r="AF108" s="44"/>
    </row>
    <row r="109" spans="1:32" ht="39.4" customHeight="1">
      <c r="A109" s="46">
        <v>32063610</v>
      </c>
      <c r="B109" s="59" t="s">
        <v>2438</v>
      </c>
      <c r="C109" s="60" t="s">
        <v>1967</v>
      </c>
      <c r="D109" s="49"/>
      <c r="E109" s="49"/>
      <c r="F109" s="49">
        <f t="shared" si="49"/>
        <v>0</v>
      </c>
      <c r="G109" s="49">
        <v>769700000</v>
      </c>
      <c r="H109" s="49">
        <v>769700000</v>
      </c>
      <c r="I109" s="49">
        <v>769700000</v>
      </c>
      <c r="J109" s="49">
        <f t="shared" si="50"/>
        <v>1.0407939541199285</v>
      </c>
      <c r="K109" s="49">
        <v>600000000</v>
      </c>
      <c r="L109" s="49">
        <v>445300000</v>
      </c>
      <c r="M109" s="49">
        <v>563300000</v>
      </c>
      <c r="N109" s="49">
        <v>563300000</v>
      </c>
      <c r="O109" s="49">
        <f t="shared" si="51"/>
        <v>1.2649898944531777</v>
      </c>
      <c r="P109" s="49">
        <f t="shared" si="52"/>
        <v>0.9388333333333333</v>
      </c>
      <c r="Q109" s="49">
        <v>437500000</v>
      </c>
      <c r="R109" s="49">
        <v>557700000</v>
      </c>
      <c r="S109" s="49">
        <v>641355000</v>
      </c>
      <c r="T109" s="49">
        <f t="shared" si="53"/>
        <v>1.2001153807173874</v>
      </c>
      <c r="U109" s="49">
        <f t="shared" si="54"/>
        <v>1.0689249999999999</v>
      </c>
      <c r="V109" s="49"/>
      <c r="W109" s="49">
        <f t="shared" si="55"/>
        <v>602327500</v>
      </c>
      <c r="X109" s="49">
        <f t="shared" si="56"/>
        <v>1.2325526375852824</v>
      </c>
      <c r="Y109" s="49">
        <f t="shared" si="57"/>
        <v>1.0038791666666667</v>
      </c>
      <c r="Z109" s="49">
        <v>1.040793954119928</v>
      </c>
      <c r="AA109" s="49">
        <f>K109*X109</f>
        <v>739531582.55116951</v>
      </c>
      <c r="AB109" s="49">
        <f t="shared" si="58"/>
        <v>1.2325526375852824</v>
      </c>
      <c r="AC109" s="49">
        <f t="shared" si="59"/>
        <v>1.0038791666666667</v>
      </c>
      <c r="AD109" s="49">
        <f t="shared" si="60"/>
        <v>1.0407939541199285</v>
      </c>
      <c r="AE109" s="49">
        <f t="shared" si="47"/>
        <v>769699999.99999964</v>
      </c>
      <c r="AF109" s="50"/>
    </row>
    <row r="110" spans="1:32" ht="39.4" customHeight="1">
      <c r="A110" s="40">
        <v>32063611</v>
      </c>
      <c r="B110" s="57" t="s">
        <v>2439</v>
      </c>
      <c r="C110" s="58" t="s">
        <v>1967</v>
      </c>
      <c r="D110" s="43"/>
      <c r="E110" s="43"/>
      <c r="F110" s="43">
        <f t="shared" si="49"/>
        <v>0</v>
      </c>
      <c r="G110" s="43">
        <v>952800000</v>
      </c>
      <c r="H110" s="43"/>
      <c r="I110" s="43">
        <v>952800000</v>
      </c>
      <c r="J110" s="43">
        <f t="shared" si="50"/>
        <v>0.85891746111642298</v>
      </c>
      <c r="K110" s="43">
        <v>900000000</v>
      </c>
      <c r="L110" s="43">
        <v>551200000</v>
      </c>
      <c r="M110" s="43">
        <v>697300000</v>
      </c>
      <c r="N110" s="43">
        <v>697300000</v>
      </c>
      <c r="O110" s="43">
        <f t="shared" si="51"/>
        <v>1.2650580551523947</v>
      </c>
      <c r="P110" s="43">
        <f t="shared" si="52"/>
        <v>0.77477777777777779</v>
      </c>
      <c r="Q110" s="43">
        <v>556300000</v>
      </c>
      <c r="R110" s="43">
        <v>690400000</v>
      </c>
      <c r="S110" s="43">
        <v>793960000</v>
      </c>
      <c r="T110" s="43">
        <f t="shared" si="53"/>
        <v>1.2000604564461685</v>
      </c>
      <c r="U110" s="43">
        <f t="shared" si="54"/>
        <v>0.88217777777777773</v>
      </c>
      <c r="V110" s="43"/>
      <c r="W110" s="43">
        <f t="shared" si="55"/>
        <v>745630000</v>
      </c>
      <c r="X110" s="43">
        <f t="shared" si="56"/>
        <v>1.2325592557992815</v>
      </c>
      <c r="Y110" s="43">
        <f t="shared" si="57"/>
        <v>0.82847777777777776</v>
      </c>
      <c r="Z110" s="43">
        <v>1</v>
      </c>
      <c r="AA110" s="43">
        <f>K110*X110</f>
        <v>1109303330.2193534</v>
      </c>
      <c r="AB110" s="43">
        <f t="shared" si="58"/>
        <v>1.2325592557992815</v>
      </c>
      <c r="AC110" s="43">
        <f t="shared" si="59"/>
        <v>0.82847777777777776</v>
      </c>
      <c r="AD110" s="43">
        <f t="shared" si="60"/>
        <v>0.85891746111642298</v>
      </c>
      <c r="AE110" s="43">
        <f t="shared" si="47"/>
        <v>1109303330.2193534</v>
      </c>
      <c r="AF110" s="44"/>
    </row>
    <row r="111" spans="1:32" ht="39.4" customHeight="1">
      <c r="A111" s="46">
        <v>32063612</v>
      </c>
      <c r="B111" s="59" t="s">
        <v>2440</v>
      </c>
      <c r="C111" s="60" t="s">
        <v>1967</v>
      </c>
      <c r="D111" s="49"/>
      <c r="E111" s="49"/>
      <c r="F111" s="49">
        <f t="shared" si="49"/>
        <v>0</v>
      </c>
      <c r="G111" s="49">
        <v>1393200000</v>
      </c>
      <c r="H111" s="49">
        <v>1393200000</v>
      </c>
      <c r="I111" s="49">
        <v>1393200000</v>
      </c>
      <c r="J111" s="49">
        <f t="shared" si="50"/>
        <v>0.81915121547838265</v>
      </c>
      <c r="K111" s="49">
        <v>1380000000</v>
      </c>
      <c r="L111" s="49">
        <v>829600000</v>
      </c>
      <c r="M111" s="49">
        <v>1049400000</v>
      </c>
      <c r="N111" s="49">
        <v>1049400000</v>
      </c>
      <c r="O111" s="49">
        <f t="shared" si="51"/>
        <v>1.2649469623915139</v>
      </c>
      <c r="P111" s="49">
        <f t="shared" si="52"/>
        <v>0.76043478260869568</v>
      </c>
      <c r="Q111" s="49">
        <v>815000000</v>
      </c>
      <c r="R111" s="49">
        <v>1009600000</v>
      </c>
      <c r="S111" s="49">
        <v>1161040000</v>
      </c>
      <c r="T111" s="49">
        <f t="shared" si="53"/>
        <v>1.199958657755116</v>
      </c>
      <c r="U111" s="49">
        <f t="shared" si="54"/>
        <v>0.84133333333333338</v>
      </c>
      <c r="V111" s="49"/>
      <c r="W111" s="49">
        <f t="shared" si="55"/>
        <v>1105220000</v>
      </c>
      <c r="X111" s="49">
        <f t="shared" si="56"/>
        <v>1.232452810073315</v>
      </c>
      <c r="Y111" s="49">
        <f t="shared" si="57"/>
        <v>0.80088405797101447</v>
      </c>
      <c r="Z111" s="49">
        <v>1</v>
      </c>
      <c r="AA111" s="49">
        <f>K111*X111</f>
        <v>1700784877.9011748</v>
      </c>
      <c r="AB111" s="49">
        <f t="shared" si="58"/>
        <v>1.232452810073315</v>
      </c>
      <c r="AC111" s="49">
        <f t="shared" si="59"/>
        <v>0.80088405797101447</v>
      </c>
      <c r="AD111" s="49">
        <f t="shared" si="60"/>
        <v>0.81915121547838265</v>
      </c>
      <c r="AE111" s="49">
        <f t="shared" si="47"/>
        <v>1700784877.9011748</v>
      </c>
      <c r="AF111" s="50"/>
    </row>
    <row r="112" spans="1:32" ht="39.4" customHeight="1">
      <c r="A112" s="40">
        <v>32063613</v>
      </c>
      <c r="B112" s="57" t="s">
        <v>2441</v>
      </c>
      <c r="C112" s="58" t="s">
        <v>1967</v>
      </c>
      <c r="D112" s="43"/>
      <c r="E112" s="43"/>
      <c r="F112" s="43"/>
      <c r="G112" s="43" t="s">
        <v>2442</v>
      </c>
      <c r="H112" s="43">
        <v>1757300000</v>
      </c>
      <c r="I112" s="43">
        <v>1757300000</v>
      </c>
      <c r="J112" s="43">
        <f t="shared" si="50"/>
        <v>0.60497144593506269</v>
      </c>
      <c r="K112" s="43">
        <v>2160000000</v>
      </c>
      <c r="L112" s="43">
        <v>1046500000</v>
      </c>
      <c r="M112" s="43">
        <v>1323900000</v>
      </c>
      <c r="N112" s="43">
        <v>1323900000</v>
      </c>
      <c r="O112" s="43">
        <f t="shared" si="51"/>
        <v>1.2650740563784042</v>
      </c>
      <c r="P112" s="43">
        <f t="shared" si="52"/>
        <v>0.61291666666666667</v>
      </c>
      <c r="Q112" s="43">
        <v>1028000000</v>
      </c>
      <c r="R112" s="43">
        <v>1273400000</v>
      </c>
      <c r="S112" s="43">
        <v>1464410000</v>
      </c>
      <c r="T112" s="43" t="e">
        <f t="shared" si="53"/>
        <v>#VALUE!</v>
      </c>
      <c r="U112" s="43">
        <f t="shared" si="54"/>
        <v>0.67796759259259254</v>
      </c>
      <c r="V112" s="43"/>
      <c r="W112" s="43">
        <f t="shared" si="55"/>
        <v>1394155000</v>
      </c>
      <c r="X112" s="43" t="e">
        <f t="shared" si="56"/>
        <v>#VALUE!</v>
      </c>
      <c r="Y112" s="43">
        <f t="shared" si="57"/>
        <v>0.64544212962962966</v>
      </c>
      <c r="Z112" s="43">
        <v>0.8</v>
      </c>
      <c r="AA112" s="43">
        <v>2904765194.8000002</v>
      </c>
      <c r="AB112" s="43">
        <f t="shared" si="58"/>
        <v>1.3447987012962963</v>
      </c>
      <c r="AC112" s="43">
        <f t="shared" si="59"/>
        <v>0.64544212962962966</v>
      </c>
      <c r="AD112" s="43" t="e">
        <f t="shared" si="60"/>
        <v>#VALUE!</v>
      </c>
      <c r="AE112" s="43">
        <f t="shared" si="47"/>
        <v>2323812155.8400002</v>
      </c>
      <c r="AF112" s="44"/>
    </row>
    <row r="113" spans="1:32" ht="26.65" customHeight="1">
      <c r="A113" s="46">
        <v>32063701</v>
      </c>
      <c r="B113" s="59" t="s">
        <v>2443</v>
      </c>
      <c r="C113" s="60" t="s">
        <v>1967</v>
      </c>
      <c r="D113" s="49">
        <v>15300000</v>
      </c>
      <c r="E113" s="49">
        <v>15300000</v>
      </c>
      <c r="F113" s="49">
        <f t="shared" ref="F113:F142" si="61">E113/AA113</f>
        <v>1.068995633187773</v>
      </c>
      <c r="G113" s="49">
        <v>21400000</v>
      </c>
      <c r="H113" s="49"/>
      <c r="I113" s="49">
        <v>21400000</v>
      </c>
      <c r="J113" s="49">
        <f t="shared" si="50"/>
        <v>1.4951965065502184</v>
      </c>
      <c r="K113" s="49">
        <v>8148000</v>
      </c>
      <c r="L113" s="49">
        <v>7960000</v>
      </c>
      <c r="M113" s="49">
        <v>10800000</v>
      </c>
      <c r="N113" s="49">
        <v>10800000</v>
      </c>
      <c r="O113" s="49">
        <f t="shared" si="51"/>
        <v>1.3567839195979901</v>
      </c>
      <c r="P113" s="49">
        <f t="shared" si="52"/>
        <v>1.3254786450662739</v>
      </c>
      <c r="Q113" s="49">
        <v>7900000</v>
      </c>
      <c r="R113" s="49">
        <v>15500000</v>
      </c>
      <c r="S113" s="49">
        <v>17825000</v>
      </c>
      <c r="T113" s="49">
        <f t="shared" si="53"/>
        <v>1.2005610098176718</v>
      </c>
      <c r="U113" s="49">
        <f t="shared" si="54"/>
        <v>2.1876534118802162</v>
      </c>
      <c r="V113" s="49"/>
      <c r="W113" s="49">
        <f t="shared" si="55"/>
        <v>14312500</v>
      </c>
      <c r="X113" s="49">
        <f t="shared" si="56"/>
        <v>1.2786724647078309</v>
      </c>
      <c r="Y113" s="49">
        <f t="shared" si="57"/>
        <v>1.7565660284732449</v>
      </c>
      <c r="Z113" s="49">
        <f t="shared" ref="Z113:Z120" si="62">(J113+F113)/2</f>
        <v>1.2820960698689956</v>
      </c>
      <c r="AA113" s="49">
        <f t="shared" ref="AA113:AA120" si="63">W113</f>
        <v>14312500</v>
      </c>
      <c r="AB113" s="49">
        <f t="shared" si="58"/>
        <v>1.7565660284732449</v>
      </c>
      <c r="AC113" s="49">
        <f t="shared" si="59"/>
        <v>1.7565660284732449</v>
      </c>
      <c r="AD113" s="49">
        <f t="shared" si="60"/>
        <v>1.4951965065502184</v>
      </c>
      <c r="AE113" s="49">
        <f t="shared" si="47"/>
        <v>18350000</v>
      </c>
      <c r="AF113" s="50"/>
    </row>
    <row r="114" spans="1:32" ht="25.5" customHeight="1">
      <c r="A114" s="40">
        <v>32063702</v>
      </c>
      <c r="B114" s="57" t="s">
        <v>2444</v>
      </c>
      <c r="C114" s="58" t="s">
        <v>1967</v>
      </c>
      <c r="D114" s="43">
        <v>21520000</v>
      </c>
      <c r="E114" s="43">
        <v>21520000</v>
      </c>
      <c r="F114" s="43">
        <f t="shared" si="61"/>
        <v>1.1278825995807127</v>
      </c>
      <c r="G114" s="43">
        <v>27600000</v>
      </c>
      <c r="H114" s="43">
        <v>27600000</v>
      </c>
      <c r="I114" s="43">
        <v>27600000</v>
      </c>
      <c r="J114" s="43">
        <f t="shared" si="50"/>
        <v>1.4465408805031446</v>
      </c>
      <c r="K114" s="43">
        <v>11550000</v>
      </c>
      <c r="L114" s="43">
        <v>11170000</v>
      </c>
      <c r="M114" s="43">
        <v>15160000</v>
      </c>
      <c r="N114" s="43">
        <v>15160000</v>
      </c>
      <c r="O114" s="43">
        <f t="shared" si="51"/>
        <v>1.3572068039391227</v>
      </c>
      <c r="P114" s="43">
        <f t="shared" si="52"/>
        <v>1.3125541125541125</v>
      </c>
      <c r="Q114" s="43">
        <v>11100000</v>
      </c>
      <c r="R114" s="43">
        <v>20000000</v>
      </c>
      <c r="S114" s="43">
        <v>23000000</v>
      </c>
      <c r="T114" s="43">
        <f t="shared" si="53"/>
        <v>1.2</v>
      </c>
      <c r="U114" s="43">
        <f t="shared" si="54"/>
        <v>1.9913419913419914</v>
      </c>
      <c r="V114" s="43"/>
      <c r="W114" s="43">
        <f t="shared" si="55"/>
        <v>19080000</v>
      </c>
      <c r="X114" s="43">
        <f t="shared" si="56"/>
        <v>1.2786034019695613</v>
      </c>
      <c r="Y114" s="43">
        <f t="shared" si="57"/>
        <v>1.6519480519480521</v>
      </c>
      <c r="Z114" s="43">
        <f t="shared" si="62"/>
        <v>1.2872117400419287</v>
      </c>
      <c r="AA114" s="43">
        <f t="shared" si="63"/>
        <v>19080000</v>
      </c>
      <c r="AB114" s="43">
        <f t="shared" si="58"/>
        <v>1.6519480519480521</v>
      </c>
      <c r="AC114" s="43">
        <f t="shared" si="59"/>
        <v>1.6519480519480521</v>
      </c>
      <c r="AD114" s="43">
        <f t="shared" si="60"/>
        <v>1.4465408805031446</v>
      </c>
      <c r="AE114" s="43">
        <f t="shared" si="47"/>
        <v>24560000</v>
      </c>
      <c r="AF114" s="44"/>
    </row>
    <row r="115" spans="1:32" ht="25.5" customHeight="1">
      <c r="A115" s="46">
        <v>32063703</v>
      </c>
      <c r="B115" s="59" t="s">
        <v>2445</v>
      </c>
      <c r="C115" s="60" t="s">
        <v>1967</v>
      </c>
      <c r="D115" s="49">
        <v>24350000</v>
      </c>
      <c r="E115" s="49">
        <v>24350000</v>
      </c>
      <c r="F115" s="49">
        <f t="shared" si="61"/>
        <v>1.0745807590467784</v>
      </c>
      <c r="G115" s="49">
        <v>34000000</v>
      </c>
      <c r="H115" s="49">
        <v>34000000</v>
      </c>
      <c r="I115" s="49">
        <v>34000000</v>
      </c>
      <c r="J115" s="49">
        <f t="shared" si="50"/>
        <v>1.5004413062665489</v>
      </c>
      <c r="K115" s="49">
        <v>12754000</v>
      </c>
      <c r="L115" s="49">
        <v>12550000</v>
      </c>
      <c r="M115" s="49">
        <v>17030000</v>
      </c>
      <c r="N115" s="49">
        <v>17030000</v>
      </c>
      <c r="O115" s="49">
        <f t="shared" si="51"/>
        <v>1.3569721115537849</v>
      </c>
      <c r="P115" s="49">
        <f t="shared" si="52"/>
        <v>1.3352673671005175</v>
      </c>
      <c r="Q115" s="49">
        <v>12500000</v>
      </c>
      <c r="R115" s="49">
        <v>24600000</v>
      </c>
      <c r="S115" s="49">
        <v>28290000</v>
      </c>
      <c r="T115" s="49">
        <f t="shared" si="53"/>
        <v>1.2018381053375751</v>
      </c>
      <c r="U115" s="49">
        <f t="shared" si="54"/>
        <v>2.2181276462286341</v>
      </c>
      <c r="V115" s="49"/>
      <c r="W115" s="49">
        <f t="shared" si="55"/>
        <v>22660000</v>
      </c>
      <c r="X115" s="49">
        <f t="shared" si="56"/>
        <v>1.2794051084456801</v>
      </c>
      <c r="Y115" s="49">
        <f t="shared" si="57"/>
        <v>1.7766975066645758</v>
      </c>
      <c r="Z115" s="49">
        <f t="shared" si="62"/>
        <v>1.2875110326566637</v>
      </c>
      <c r="AA115" s="49">
        <f t="shared" si="63"/>
        <v>22660000</v>
      </c>
      <c r="AB115" s="49">
        <f t="shared" si="58"/>
        <v>1.7766975066645758</v>
      </c>
      <c r="AC115" s="49">
        <f t="shared" si="59"/>
        <v>1.7766975066645758</v>
      </c>
      <c r="AD115" s="49">
        <f t="shared" si="60"/>
        <v>1.5004413062665489</v>
      </c>
      <c r="AE115" s="49">
        <f t="shared" si="47"/>
        <v>29175000</v>
      </c>
      <c r="AF115" s="50"/>
    </row>
    <row r="116" spans="1:32" ht="39.4" customHeight="1">
      <c r="A116" s="40">
        <v>32063704</v>
      </c>
      <c r="B116" s="57" t="s">
        <v>2446</v>
      </c>
      <c r="C116" s="58" t="s">
        <v>1967</v>
      </c>
      <c r="D116" s="43">
        <v>31200000</v>
      </c>
      <c r="E116" s="43">
        <v>31200000</v>
      </c>
      <c r="F116" s="43">
        <f t="shared" si="61"/>
        <v>1.01109940857166</v>
      </c>
      <c r="G116" s="43">
        <v>47900000</v>
      </c>
      <c r="H116" s="43">
        <v>47900000</v>
      </c>
      <c r="I116" s="43">
        <v>47900000</v>
      </c>
      <c r="J116" s="43">
        <f t="shared" si="50"/>
        <v>1.5522968484161064</v>
      </c>
      <c r="K116" s="43">
        <v>16660000</v>
      </c>
      <c r="L116" s="43">
        <v>16070000</v>
      </c>
      <c r="M116" s="43">
        <v>21810000</v>
      </c>
      <c r="N116" s="43">
        <v>21810000</v>
      </c>
      <c r="O116" s="43">
        <f t="shared" si="51"/>
        <v>1.3571873055382702</v>
      </c>
      <c r="P116" s="43">
        <f t="shared" si="52"/>
        <v>1.309123649459784</v>
      </c>
      <c r="Q116" s="43">
        <v>16000000</v>
      </c>
      <c r="R116" s="43">
        <v>34700000</v>
      </c>
      <c r="S116" s="43">
        <v>39905000</v>
      </c>
      <c r="T116" s="43">
        <f t="shared" si="53"/>
        <v>1.2003508332289188</v>
      </c>
      <c r="U116" s="43">
        <f t="shared" si="54"/>
        <v>2.3952581032412965</v>
      </c>
      <c r="V116" s="43"/>
      <c r="W116" s="43">
        <f t="shared" si="55"/>
        <v>30857500</v>
      </c>
      <c r="X116" s="43">
        <f t="shared" si="56"/>
        <v>1.2787690693835945</v>
      </c>
      <c r="Y116" s="43">
        <f t="shared" si="57"/>
        <v>1.8521908763505401</v>
      </c>
      <c r="Z116" s="43">
        <f t="shared" si="62"/>
        <v>1.2816981284938831</v>
      </c>
      <c r="AA116" s="43">
        <f t="shared" si="63"/>
        <v>30857500</v>
      </c>
      <c r="AB116" s="43">
        <f t="shared" si="58"/>
        <v>1.8521908763505401</v>
      </c>
      <c r="AC116" s="43">
        <f t="shared" si="59"/>
        <v>1.8521908763505401</v>
      </c>
      <c r="AD116" s="43">
        <f t="shared" si="60"/>
        <v>1.5522968484161064</v>
      </c>
      <c r="AE116" s="43">
        <f t="shared" si="47"/>
        <v>39550000</v>
      </c>
      <c r="AF116" s="44"/>
    </row>
    <row r="117" spans="1:32" ht="38.25" customHeight="1">
      <c r="A117" s="46">
        <v>32063705</v>
      </c>
      <c r="B117" s="59" t="s">
        <v>2447</v>
      </c>
      <c r="C117" s="60" t="s">
        <v>1967</v>
      </c>
      <c r="D117" s="49">
        <v>65500000</v>
      </c>
      <c r="E117" s="49">
        <v>65500000</v>
      </c>
      <c r="F117" s="49">
        <f t="shared" si="61"/>
        <v>1.2100498799187143</v>
      </c>
      <c r="G117" s="49">
        <v>74800000</v>
      </c>
      <c r="H117" s="49">
        <v>74800000</v>
      </c>
      <c r="I117" s="49">
        <v>74800000</v>
      </c>
      <c r="J117" s="49">
        <f t="shared" si="50"/>
        <v>1.3818584888232035</v>
      </c>
      <c r="K117" s="49">
        <v>34440000</v>
      </c>
      <c r="L117" s="49">
        <v>33840000</v>
      </c>
      <c r="M117" s="49">
        <v>45930000</v>
      </c>
      <c r="N117" s="49">
        <v>45930000</v>
      </c>
      <c r="O117" s="49">
        <f t="shared" si="51"/>
        <v>1.3572695035460993</v>
      </c>
      <c r="P117" s="49">
        <f t="shared" si="52"/>
        <v>1.3336236933797909</v>
      </c>
      <c r="Q117" s="49">
        <v>35300000</v>
      </c>
      <c r="R117" s="49">
        <v>54200000</v>
      </c>
      <c r="S117" s="49">
        <v>62330000</v>
      </c>
      <c r="T117" s="49">
        <f t="shared" si="53"/>
        <v>1.2000641745547891</v>
      </c>
      <c r="U117" s="49">
        <f t="shared" si="54"/>
        <v>1.8098141695702672</v>
      </c>
      <c r="V117" s="49"/>
      <c r="W117" s="49">
        <f t="shared" si="55"/>
        <v>54130000</v>
      </c>
      <c r="X117" s="49">
        <f t="shared" si="56"/>
        <v>1.2786668390504441</v>
      </c>
      <c r="Y117" s="49">
        <f t="shared" si="57"/>
        <v>1.5717189314750291</v>
      </c>
      <c r="Z117" s="49">
        <f t="shared" si="62"/>
        <v>1.295954184370959</v>
      </c>
      <c r="AA117" s="49">
        <f t="shared" si="63"/>
        <v>54130000</v>
      </c>
      <c r="AB117" s="49">
        <f t="shared" si="58"/>
        <v>1.5717189314750291</v>
      </c>
      <c r="AC117" s="49">
        <f t="shared" si="59"/>
        <v>1.5717189314750291</v>
      </c>
      <c r="AD117" s="49">
        <f t="shared" si="60"/>
        <v>1.3818584888232035</v>
      </c>
      <c r="AE117" s="49">
        <f t="shared" si="47"/>
        <v>70150000.000000015</v>
      </c>
      <c r="AF117" s="50"/>
    </row>
    <row r="118" spans="1:32" ht="38.25" customHeight="1">
      <c r="A118" s="40">
        <v>32063706</v>
      </c>
      <c r="B118" s="57" t="s">
        <v>2448</v>
      </c>
      <c r="C118" s="58" t="s">
        <v>1967</v>
      </c>
      <c r="D118" s="43">
        <v>113100000</v>
      </c>
      <c r="E118" s="43">
        <v>113100000</v>
      </c>
      <c r="F118" s="43">
        <f t="shared" si="61"/>
        <v>1.2789054107536608</v>
      </c>
      <c r="G118" s="43">
        <v>119500000</v>
      </c>
      <c r="H118" s="43">
        <v>119500000</v>
      </c>
      <c r="I118" s="43">
        <v>119500000</v>
      </c>
      <c r="J118" s="43">
        <f t="shared" si="50"/>
        <v>1.3512749477017019</v>
      </c>
      <c r="K118" s="43">
        <v>62000000</v>
      </c>
      <c r="L118" s="43">
        <v>56950000</v>
      </c>
      <c r="M118" s="43">
        <v>77280000</v>
      </c>
      <c r="N118" s="43">
        <v>77280000</v>
      </c>
      <c r="O118" s="43">
        <f t="shared" si="51"/>
        <v>1.3569798068481125</v>
      </c>
      <c r="P118" s="43">
        <f t="shared" si="52"/>
        <v>1.2464516129032257</v>
      </c>
      <c r="Q118" s="43">
        <v>55700000</v>
      </c>
      <c r="R118" s="43">
        <v>86600000</v>
      </c>
      <c r="S118" s="43">
        <v>99590000</v>
      </c>
      <c r="T118" s="43">
        <f t="shared" si="53"/>
        <v>1.1999196706496635</v>
      </c>
      <c r="U118" s="43">
        <f t="shared" si="54"/>
        <v>1.6062903225806451</v>
      </c>
      <c r="V118" s="43"/>
      <c r="W118" s="43">
        <f t="shared" si="55"/>
        <v>88435000</v>
      </c>
      <c r="X118" s="43">
        <f t="shared" si="56"/>
        <v>1.278449738748888</v>
      </c>
      <c r="Y118" s="43">
        <f t="shared" si="57"/>
        <v>1.4263709677419354</v>
      </c>
      <c r="Z118" s="43">
        <f t="shared" si="62"/>
        <v>1.3150901792276812</v>
      </c>
      <c r="AA118" s="43">
        <f t="shared" si="63"/>
        <v>88435000</v>
      </c>
      <c r="AB118" s="43">
        <f t="shared" si="58"/>
        <v>1.4263709677419354</v>
      </c>
      <c r="AC118" s="43">
        <f t="shared" si="59"/>
        <v>1.4263709677419354</v>
      </c>
      <c r="AD118" s="43">
        <f t="shared" si="60"/>
        <v>1.3512749477017019</v>
      </c>
      <c r="AE118" s="43">
        <f t="shared" si="47"/>
        <v>116299999.99999999</v>
      </c>
      <c r="AF118" s="44"/>
    </row>
    <row r="119" spans="1:32" ht="38.25" customHeight="1">
      <c r="A119" s="46">
        <v>32063707</v>
      </c>
      <c r="B119" s="59" t="s">
        <v>2449</v>
      </c>
      <c r="C119" s="60" t="s">
        <v>1967</v>
      </c>
      <c r="D119" s="49">
        <v>175206000</v>
      </c>
      <c r="E119" s="49">
        <v>175206000</v>
      </c>
      <c r="F119" s="49">
        <f t="shared" si="61"/>
        <v>1.1982560227059005</v>
      </c>
      <c r="G119" s="49">
        <v>209400000</v>
      </c>
      <c r="H119" s="49">
        <v>209400000</v>
      </c>
      <c r="I119" s="49">
        <v>209400000</v>
      </c>
      <c r="J119" s="49">
        <f t="shared" si="50"/>
        <v>1.4321131191546839</v>
      </c>
      <c r="K119" s="49">
        <v>94770000</v>
      </c>
      <c r="L119" s="49">
        <v>86940000</v>
      </c>
      <c r="M119" s="49">
        <v>117980000</v>
      </c>
      <c r="N119" s="49">
        <v>117980000</v>
      </c>
      <c r="O119" s="49">
        <f t="shared" si="51"/>
        <v>1.3570278352887049</v>
      </c>
      <c r="P119" s="49">
        <f t="shared" si="52"/>
        <v>1.2449087263902079</v>
      </c>
      <c r="Q119" s="49">
        <v>95900000</v>
      </c>
      <c r="R119" s="49">
        <v>151700000</v>
      </c>
      <c r="S119" s="49">
        <v>174455000</v>
      </c>
      <c r="T119" s="49">
        <f t="shared" si="53"/>
        <v>1.2003095354102777</v>
      </c>
      <c r="U119" s="49">
        <f t="shared" si="54"/>
        <v>1.8408251556399704</v>
      </c>
      <c r="V119" s="49"/>
      <c r="W119" s="49">
        <f t="shared" si="55"/>
        <v>146217500</v>
      </c>
      <c r="X119" s="49">
        <f t="shared" si="56"/>
        <v>1.2786686853494913</v>
      </c>
      <c r="Y119" s="49">
        <f t="shared" si="57"/>
        <v>1.5428669410150893</v>
      </c>
      <c r="Z119" s="49">
        <f t="shared" si="62"/>
        <v>1.3151845709302923</v>
      </c>
      <c r="AA119" s="49">
        <f t="shared" si="63"/>
        <v>146217500</v>
      </c>
      <c r="AB119" s="49">
        <f t="shared" si="58"/>
        <v>1.5428669410150893</v>
      </c>
      <c r="AC119" s="49">
        <f t="shared" si="59"/>
        <v>1.5428669410150893</v>
      </c>
      <c r="AD119" s="49">
        <f t="shared" si="60"/>
        <v>1.4321131191546839</v>
      </c>
      <c r="AE119" s="49">
        <f t="shared" si="47"/>
        <v>192303000</v>
      </c>
      <c r="AF119" s="50"/>
    </row>
    <row r="120" spans="1:32" ht="25.5" customHeight="1">
      <c r="A120" s="40">
        <v>32063708</v>
      </c>
      <c r="B120" s="57" t="s">
        <v>2450</v>
      </c>
      <c r="C120" s="58" t="s">
        <v>1967</v>
      </c>
      <c r="D120" s="43">
        <v>269000000</v>
      </c>
      <c r="E120" s="43">
        <v>269000000</v>
      </c>
      <c r="F120" s="43">
        <f t="shared" si="61"/>
        <v>1.2251497278710177</v>
      </c>
      <c r="G120" s="43">
        <v>308900000</v>
      </c>
      <c r="H120" s="43">
        <v>308900000</v>
      </c>
      <c r="I120" s="43">
        <v>308900000</v>
      </c>
      <c r="J120" s="43">
        <f t="shared" si="50"/>
        <v>1.4068726800719604</v>
      </c>
      <c r="K120" s="43">
        <v>146000000</v>
      </c>
      <c r="L120" s="43">
        <v>133940000</v>
      </c>
      <c r="M120" s="43">
        <v>181760000</v>
      </c>
      <c r="N120" s="43">
        <v>181760000</v>
      </c>
      <c r="O120" s="43">
        <f t="shared" si="51"/>
        <v>1.3570255338211139</v>
      </c>
      <c r="P120" s="43">
        <f t="shared" si="52"/>
        <v>1.244931506849315</v>
      </c>
      <c r="Q120" s="43">
        <v>143500000</v>
      </c>
      <c r="R120" s="43">
        <v>223800000</v>
      </c>
      <c r="S120" s="43">
        <v>257370000</v>
      </c>
      <c r="T120" s="43">
        <f t="shared" si="53"/>
        <v>1.2002175855771846</v>
      </c>
      <c r="U120" s="43">
        <f t="shared" si="54"/>
        <v>1.7628082191780823</v>
      </c>
      <c r="V120" s="43"/>
      <c r="W120" s="43">
        <f t="shared" si="55"/>
        <v>219565000</v>
      </c>
      <c r="X120" s="43">
        <f t="shared" si="56"/>
        <v>1.2786215596991493</v>
      </c>
      <c r="Y120" s="43">
        <f t="shared" si="57"/>
        <v>1.5038698630136986</v>
      </c>
      <c r="Z120" s="43">
        <f t="shared" si="62"/>
        <v>1.3160112039714891</v>
      </c>
      <c r="AA120" s="43">
        <f t="shared" si="63"/>
        <v>219565000</v>
      </c>
      <c r="AB120" s="43">
        <f t="shared" si="58"/>
        <v>1.5038698630136986</v>
      </c>
      <c r="AC120" s="43">
        <f t="shared" si="59"/>
        <v>1.5038698630136986</v>
      </c>
      <c r="AD120" s="43">
        <f t="shared" si="60"/>
        <v>1.4068726800719604</v>
      </c>
      <c r="AE120" s="43">
        <f t="shared" si="47"/>
        <v>288950000</v>
      </c>
      <c r="AF120" s="44"/>
    </row>
    <row r="121" spans="1:32" ht="39.4" customHeight="1">
      <c r="A121" s="46">
        <v>32063801</v>
      </c>
      <c r="B121" s="59" t="s">
        <v>2451</v>
      </c>
      <c r="C121" s="60" t="s">
        <v>1967</v>
      </c>
      <c r="D121" s="49"/>
      <c r="E121" s="49"/>
      <c r="F121" s="49">
        <f t="shared" si="61"/>
        <v>0</v>
      </c>
      <c r="G121" s="49"/>
      <c r="H121" s="49"/>
      <c r="I121" s="49"/>
      <c r="J121" s="49">
        <f t="shared" si="50"/>
        <v>0</v>
      </c>
      <c r="K121" s="49">
        <v>116060000</v>
      </c>
      <c r="L121" s="49"/>
      <c r="M121" s="49"/>
      <c r="N121" s="49"/>
      <c r="O121" s="49" t="e">
        <f t="shared" si="51"/>
        <v>#DIV/0!</v>
      </c>
      <c r="P121" s="49">
        <f t="shared" si="52"/>
        <v>0</v>
      </c>
      <c r="Q121" s="49">
        <v>198000000</v>
      </c>
      <c r="R121" s="49">
        <v>295000000</v>
      </c>
      <c r="S121" s="49">
        <v>370000000</v>
      </c>
      <c r="T121" s="49">
        <f t="shared" si="53"/>
        <v>0</v>
      </c>
      <c r="U121" s="49">
        <f t="shared" si="54"/>
        <v>3.1880062036877477</v>
      </c>
      <c r="V121" s="49"/>
      <c r="W121" s="49">
        <f t="shared" si="55"/>
        <v>185000000</v>
      </c>
      <c r="X121" s="49" t="e">
        <f t="shared" si="56"/>
        <v>#DIV/0!</v>
      </c>
      <c r="Y121" s="49">
        <f t="shared" si="57"/>
        <v>1.5940031018438738</v>
      </c>
      <c r="Z121" s="49">
        <v>1.4</v>
      </c>
      <c r="AA121" s="49">
        <f>K121*1.45</f>
        <v>168287000</v>
      </c>
      <c r="AB121" s="49">
        <f t="shared" si="58"/>
        <v>1.45</v>
      </c>
      <c r="AC121" s="49">
        <f t="shared" si="59"/>
        <v>1.5940031018438738</v>
      </c>
      <c r="AD121" s="49">
        <f t="shared" si="60"/>
        <v>0</v>
      </c>
      <c r="AE121" s="49">
        <f t="shared" si="47"/>
        <v>235601799.99999997</v>
      </c>
      <c r="AF121" s="50"/>
    </row>
    <row r="122" spans="1:32" ht="39.4" customHeight="1">
      <c r="A122" s="40">
        <v>32063802</v>
      </c>
      <c r="B122" s="57" t="s">
        <v>2452</v>
      </c>
      <c r="C122" s="58" t="s">
        <v>1967</v>
      </c>
      <c r="D122" s="43"/>
      <c r="E122" s="43"/>
      <c r="F122" s="43">
        <f t="shared" si="61"/>
        <v>0</v>
      </c>
      <c r="G122" s="43"/>
      <c r="H122" s="43"/>
      <c r="I122" s="43"/>
      <c r="J122" s="43">
        <f t="shared" si="50"/>
        <v>0</v>
      </c>
      <c r="K122" s="43">
        <v>182000000</v>
      </c>
      <c r="L122" s="43"/>
      <c r="M122" s="43"/>
      <c r="N122" s="43"/>
      <c r="O122" s="43" t="e">
        <f t="shared" si="51"/>
        <v>#DIV/0!</v>
      </c>
      <c r="P122" s="43">
        <f t="shared" si="52"/>
        <v>0</v>
      </c>
      <c r="Q122" s="43">
        <v>210000000</v>
      </c>
      <c r="R122" s="43">
        <v>310000000</v>
      </c>
      <c r="S122" s="43">
        <v>390000000</v>
      </c>
      <c r="T122" s="43">
        <f t="shared" si="53"/>
        <v>0</v>
      </c>
      <c r="U122" s="43">
        <f t="shared" si="54"/>
        <v>2.1428571428571428</v>
      </c>
      <c r="V122" s="43"/>
      <c r="W122" s="43">
        <f t="shared" si="55"/>
        <v>195000000</v>
      </c>
      <c r="X122" s="43" t="e">
        <f t="shared" si="56"/>
        <v>#DIV/0!</v>
      </c>
      <c r="Y122" s="43">
        <f t="shared" si="57"/>
        <v>1.0714285714285714</v>
      </c>
      <c r="Z122" s="43">
        <v>1.4</v>
      </c>
      <c r="AA122" s="43">
        <f>K122*1.45</f>
        <v>263900000</v>
      </c>
      <c r="AB122" s="43">
        <f t="shared" si="58"/>
        <v>1.45</v>
      </c>
      <c r="AC122" s="43">
        <f t="shared" si="59"/>
        <v>1.0714285714285714</v>
      </c>
      <c r="AD122" s="43">
        <f t="shared" si="60"/>
        <v>0</v>
      </c>
      <c r="AE122" s="43">
        <f t="shared" si="47"/>
        <v>369460000</v>
      </c>
      <c r="AF122" s="44"/>
    </row>
    <row r="123" spans="1:32" ht="39.4" customHeight="1">
      <c r="A123" s="46">
        <v>32063803</v>
      </c>
      <c r="B123" s="59" t="s">
        <v>2453</v>
      </c>
      <c r="C123" s="60" t="s">
        <v>1967</v>
      </c>
      <c r="D123" s="49"/>
      <c r="E123" s="49"/>
      <c r="F123" s="49">
        <f t="shared" si="61"/>
        <v>0</v>
      </c>
      <c r="G123" s="49">
        <v>484400000</v>
      </c>
      <c r="H123" s="49">
        <v>484400000</v>
      </c>
      <c r="I123" s="49">
        <v>484400000</v>
      </c>
      <c r="J123" s="49">
        <f t="shared" si="50"/>
        <v>1.5266838749531184</v>
      </c>
      <c r="K123" s="49">
        <v>218820000</v>
      </c>
      <c r="L123" s="49"/>
      <c r="M123" s="49"/>
      <c r="N123" s="49"/>
      <c r="O123" s="49" t="e">
        <f t="shared" si="51"/>
        <v>#DIV/0!</v>
      </c>
      <c r="P123" s="49">
        <f t="shared" si="52"/>
        <v>0</v>
      </c>
      <c r="Q123" s="49">
        <v>225000000</v>
      </c>
      <c r="R123" s="49">
        <v>336400000</v>
      </c>
      <c r="S123" s="49">
        <v>403700000</v>
      </c>
      <c r="T123" s="49">
        <f t="shared" si="53"/>
        <v>1.1999009165221699</v>
      </c>
      <c r="U123" s="49">
        <f t="shared" si="54"/>
        <v>1.8448953477744265</v>
      </c>
      <c r="V123" s="49"/>
      <c r="W123" s="49">
        <f t="shared" si="55"/>
        <v>201850000</v>
      </c>
      <c r="X123" s="49" t="e">
        <f t="shared" si="56"/>
        <v>#DIV/0!</v>
      </c>
      <c r="Y123" s="49">
        <f t="shared" si="57"/>
        <v>0.92244767388721327</v>
      </c>
      <c r="Z123" s="49">
        <v>1.5</v>
      </c>
      <c r="AA123" s="49">
        <f>K123*1.45</f>
        <v>317289000</v>
      </c>
      <c r="AB123" s="49">
        <f t="shared" si="58"/>
        <v>1.45</v>
      </c>
      <c r="AC123" s="49">
        <f t="shared" si="59"/>
        <v>0.92244767388721327</v>
      </c>
      <c r="AD123" s="49">
        <f t="shared" si="60"/>
        <v>1.5266838749531184</v>
      </c>
      <c r="AE123" s="49">
        <f t="shared" ref="AE123:AE142" si="64">AA123*Z123</f>
        <v>475933500</v>
      </c>
      <c r="AF123" s="50"/>
    </row>
    <row r="124" spans="1:32" ht="39.4" customHeight="1">
      <c r="A124" s="40">
        <v>32063804</v>
      </c>
      <c r="B124" s="57" t="s">
        <v>2454</v>
      </c>
      <c r="C124" s="58" t="s">
        <v>1967</v>
      </c>
      <c r="D124" s="43"/>
      <c r="E124" s="43"/>
      <c r="F124" s="43">
        <f t="shared" si="61"/>
        <v>0</v>
      </c>
      <c r="G124" s="43">
        <v>726600000</v>
      </c>
      <c r="H124" s="43">
        <v>726600000</v>
      </c>
      <c r="I124" s="43">
        <v>726600000</v>
      </c>
      <c r="J124" s="43">
        <f t="shared" si="50"/>
        <v>1.7460050462573591</v>
      </c>
      <c r="K124" s="43">
        <v>287000000</v>
      </c>
      <c r="L124" s="43"/>
      <c r="M124" s="43"/>
      <c r="N124" s="43"/>
      <c r="O124" s="43" t="e">
        <f t="shared" si="51"/>
        <v>#DIV/0!</v>
      </c>
      <c r="P124" s="43">
        <f t="shared" si="52"/>
        <v>0</v>
      </c>
      <c r="Q124" s="43">
        <v>337500000</v>
      </c>
      <c r="R124" s="43">
        <v>504600000</v>
      </c>
      <c r="S124" s="43">
        <v>605500000</v>
      </c>
      <c r="T124" s="43">
        <f t="shared" si="53"/>
        <v>1.2</v>
      </c>
      <c r="U124" s="43">
        <f t="shared" si="54"/>
        <v>2.1097560975609757</v>
      </c>
      <c r="V124" s="43"/>
      <c r="W124" s="43">
        <f t="shared" si="55"/>
        <v>302750000</v>
      </c>
      <c r="X124" s="43" t="e">
        <f t="shared" si="56"/>
        <v>#DIV/0!</v>
      </c>
      <c r="Y124" s="43">
        <f t="shared" si="57"/>
        <v>1.0548780487804879</v>
      </c>
      <c r="Z124" s="43">
        <v>1.6</v>
      </c>
      <c r="AA124" s="43">
        <f>K124*1.45</f>
        <v>416150000</v>
      </c>
      <c r="AB124" s="43">
        <f t="shared" si="58"/>
        <v>1.45</v>
      </c>
      <c r="AC124" s="43">
        <f t="shared" si="59"/>
        <v>1.0548780487804879</v>
      </c>
      <c r="AD124" s="43">
        <f t="shared" si="60"/>
        <v>1.7460050462573591</v>
      </c>
      <c r="AE124" s="43">
        <f t="shared" si="64"/>
        <v>665840000</v>
      </c>
      <c r="AF124" s="44"/>
    </row>
    <row r="125" spans="1:32" ht="39.4" customHeight="1">
      <c r="A125" s="46">
        <v>32063805</v>
      </c>
      <c r="B125" s="59" t="s">
        <v>2455</v>
      </c>
      <c r="C125" s="60" t="s">
        <v>1967</v>
      </c>
      <c r="D125" s="49"/>
      <c r="E125" s="49"/>
      <c r="F125" s="49">
        <f t="shared" si="61"/>
        <v>0</v>
      </c>
      <c r="G125" s="49"/>
      <c r="H125" s="49">
        <v>866400000</v>
      </c>
      <c r="I125" s="49">
        <v>866400000</v>
      </c>
      <c r="J125" s="49">
        <f t="shared" si="50"/>
        <v>3.5881263031324666</v>
      </c>
      <c r="K125" s="49">
        <v>355880000</v>
      </c>
      <c r="L125" s="49">
        <v>472000000</v>
      </c>
      <c r="M125" s="49">
        <v>640500000</v>
      </c>
      <c r="N125" s="49">
        <v>640500000</v>
      </c>
      <c r="O125" s="49">
        <f t="shared" si="51"/>
        <v>1.3569915254237288</v>
      </c>
      <c r="P125" s="49">
        <f t="shared" si="52"/>
        <v>1.7997639653815893</v>
      </c>
      <c r="Q125" s="49">
        <v>402400000</v>
      </c>
      <c r="R125" s="49">
        <v>601700000</v>
      </c>
      <c r="S125" s="49">
        <v>722000000</v>
      </c>
      <c r="T125" s="49">
        <f t="shared" si="53"/>
        <v>0</v>
      </c>
      <c r="U125" s="49">
        <f t="shared" si="54"/>
        <v>2.028773743958638</v>
      </c>
      <c r="V125" s="49"/>
      <c r="W125" s="49">
        <f t="shared" si="55"/>
        <v>681250000</v>
      </c>
      <c r="X125" s="49">
        <f t="shared" si="56"/>
        <v>0.6784957627118644</v>
      </c>
      <c r="Y125" s="49">
        <f t="shared" si="57"/>
        <v>1.9142688546701134</v>
      </c>
      <c r="Z125" s="49">
        <v>1.6</v>
      </c>
      <c r="AA125" s="49">
        <f>K125*X125</f>
        <v>241463072.03389829</v>
      </c>
      <c r="AB125" s="49">
        <f t="shared" si="58"/>
        <v>0.6784957627118644</v>
      </c>
      <c r="AC125" s="49">
        <f t="shared" si="59"/>
        <v>1.9142688546701134</v>
      </c>
      <c r="AD125" s="49">
        <f t="shared" si="60"/>
        <v>0</v>
      </c>
      <c r="AE125" s="49">
        <f t="shared" si="64"/>
        <v>386340915.25423729</v>
      </c>
      <c r="AF125" s="50"/>
    </row>
    <row r="126" spans="1:32" ht="39.4" customHeight="1">
      <c r="A126" s="40">
        <v>32063806</v>
      </c>
      <c r="B126" s="57" t="s">
        <v>2456</v>
      </c>
      <c r="C126" s="58" t="s">
        <v>1967</v>
      </c>
      <c r="D126" s="43"/>
      <c r="E126" s="43"/>
      <c r="F126" s="43">
        <f t="shared" si="61"/>
        <v>0</v>
      </c>
      <c r="G126" s="43"/>
      <c r="H126" s="43">
        <v>1007500000</v>
      </c>
      <c r="I126" s="43">
        <v>1007500000</v>
      </c>
      <c r="J126" s="43">
        <f t="shared" si="50"/>
        <v>2.8886698267443989</v>
      </c>
      <c r="K126" s="43">
        <v>514080000</v>
      </c>
      <c r="L126" s="43">
        <v>548900000</v>
      </c>
      <c r="M126" s="43">
        <v>744800000</v>
      </c>
      <c r="N126" s="43">
        <v>744800000</v>
      </c>
      <c r="O126" s="43">
        <f t="shared" si="51"/>
        <v>1.3568956094006195</v>
      </c>
      <c r="P126" s="43">
        <f t="shared" si="52"/>
        <v>1.44880174291939</v>
      </c>
      <c r="Q126" s="43">
        <v>468000000</v>
      </c>
      <c r="R126" s="43">
        <v>699700000</v>
      </c>
      <c r="S126" s="43">
        <v>839600000</v>
      </c>
      <c r="T126" s="43">
        <f t="shared" si="53"/>
        <v>0</v>
      </c>
      <c r="U126" s="43">
        <f t="shared" si="54"/>
        <v>1.6332088390911921</v>
      </c>
      <c r="V126" s="43"/>
      <c r="W126" s="43">
        <f t="shared" si="55"/>
        <v>792200000</v>
      </c>
      <c r="X126" s="43">
        <f t="shared" si="56"/>
        <v>0.67844780470030974</v>
      </c>
      <c r="Y126" s="43">
        <f t="shared" si="57"/>
        <v>1.5410052910052909</v>
      </c>
      <c r="Z126" s="43">
        <v>1.6</v>
      </c>
      <c r="AA126" s="43">
        <f>K126*X126</f>
        <v>348776447.44033521</v>
      </c>
      <c r="AB126" s="43">
        <f t="shared" si="58"/>
        <v>0.67844780470030974</v>
      </c>
      <c r="AC126" s="43">
        <f t="shared" si="59"/>
        <v>1.5410052910052909</v>
      </c>
      <c r="AD126" s="43">
        <f t="shared" si="60"/>
        <v>0</v>
      </c>
      <c r="AE126" s="43">
        <f t="shared" si="64"/>
        <v>558042315.90453637</v>
      </c>
      <c r="AF126" s="44"/>
    </row>
    <row r="127" spans="1:32" ht="39.4" customHeight="1">
      <c r="A127" s="46">
        <v>32063807</v>
      </c>
      <c r="B127" s="59" t="s">
        <v>2457</v>
      </c>
      <c r="C127" s="60" t="s">
        <v>1967</v>
      </c>
      <c r="D127" s="49"/>
      <c r="E127" s="49"/>
      <c r="F127" s="49">
        <f t="shared" si="61"/>
        <v>0</v>
      </c>
      <c r="G127" s="49"/>
      <c r="H127" s="49">
        <v>1194000000</v>
      </c>
      <c r="I127" s="49">
        <v>1194000000</v>
      </c>
      <c r="J127" s="49">
        <f t="shared" si="50"/>
        <v>1.2717009266162531</v>
      </c>
      <c r="K127" s="49">
        <v>688100000</v>
      </c>
      <c r="L127" s="49">
        <v>650500000</v>
      </c>
      <c r="M127" s="49">
        <v>882800000</v>
      </c>
      <c r="N127" s="49">
        <v>882800000</v>
      </c>
      <c r="O127" s="49">
        <f t="shared" si="51"/>
        <v>1.3571099154496542</v>
      </c>
      <c r="P127" s="49">
        <f t="shared" si="52"/>
        <v>1.2829530591483795</v>
      </c>
      <c r="Q127" s="49">
        <v>554600000</v>
      </c>
      <c r="R127" s="49">
        <v>829200000</v>
      </c>
      <c r="S127" s="49">
        <v>995000000</v>
      </c>
      <c r="T127" s="49">
        <f t="shared" si="53"/>
        <v>0</v>
      </c>
      <c r="U127" s="49">
        <f t="shared" si="54"/>
        <v>1.4460107542508356</v>
      </c>
      <c r="V127" s="49"/>
      <c r="W127" s="49">
        <f t="shared" si="55"/>
        <v>938900000</v>
      </c>
      <c r="X127" s="49">
        <f t="shared" si="56"/>
        <v>0.6785549577248271</v>
      </c>
      <c r="Y127" s="49">
        <f t="shared" si="57"/>
        <v>1.3644819066996077</v>
      </c>
      <c r="Z127" s="49">
        <v>1.2717009266162529</v>
      </c>
      <c r="AA127" s="49">
        <f>W127</f>
        <v>938900000</v>
      </c>
      <c r="AB127" s="49">
        <f t="shared" si="58"/>
        <v>1.3644819066996077</v>
      </c>
      <c r="AC127" s="49">
        <f t="shared" si="59"/>
        <v>1.3644819066996077</v>
      </c>
      <c r="AD127" s="49">
        <f t="shared" si="60"/>
        <v>0</v>
      </c>
      <c r="AE127" s="49">
        <f t="shared" si="64"/>
        <v>1193999999.9999998</v>
      </c>
      <c r="AF127" s="50"/>
    </row>
    <row r="128" spans="1:32" ht="39.4" customHeight="1">
      <c r="A128" s="40">
        <v>32063808</v>
      </c>
      <c r="B128" s="57" t="s">
        <v>2458</v>
      </c>
      <c r="C128" s="58" t="s">
        <v>1967</v>
      </c>
      <c r="D128" s="43"/>
      <c r="E128" s="43"/>
      <c r="F128" s="43">
        <f t="shared" si="61"/>
        <v>0</v>
      </c>
      <c r="G128" s="43">
        <v>1607000000</v>
      </c>
      <c r="H128" s="43">
        <v>1607000000</v>
      </c>
      <c r="I128" s="43">
        <v>1607000000</v>
      </c>
      <c r="J128" s="43">
        <f t="shared" si="50"/>
        <v>1.523066098882109</v>
      </c>
      <c r="K128" s="43">
        <v>825300000</v>
      </c>
      <c r="L128" s="43">
        <v>875500000</v>
      </c>
      <c r="M128" s="43">
        <v>1188000000</v>
      </c>
      <c r="N128" s="43">
        <v>1188000000</v>
      </c>
      <c r="O128" s="43">
        <f t="shared" si="51"/>
        <v>1.3569388920616789</v>
      </c>
      <c r="P128" s="43">
        <f t="shared" si="52"/>
        <v>1.4394765539803707</v>
      </c>
      <c r="Q128" s="43">
        <v>746400000</v>
      </c>
      <c r="R128" s="43">
        <v>116000000</v>
      </c>
      <c r="S128" s="43">
        <v>1339200000</v>
      </c>
      <c r="T128" s="43">
        <f t="shared" si="53"/>
        <v>1.1999701314217444</v>
      </c>
      <c r="U128" s="43">
        <f t="shared" si="54"/>
        <v>1.6226826608505998</v>
      </c>
      <c r="V128" s="43"/>
      <c r="W128" s="43">
        <f t="shared" si="55"/>
        <v>1263600000</v>
      </c>
      <c r="X128" s="43">
        <f t="shared" si="56"/>
        <v>1.2784545117417117</v>
      </c>
      <c r="Y128" s="43">
        <f t="shared" si="57"/>
        <v>1.5310796074154853</v>
      </c>
      <c r="Z128" s="43">
        <v>1.5</v>
      </c>
      <c r="AA128" s="43">
        <f>K128*X128</f>
        <v>1055108508.5404346</v>
      </c>
      <c r="AB128" s="43">
        <f t="shared" si="58"/>
        <v>1.2784545117417117</v>
      </c>
      <c r="AC128" s="43">
        <f t="shared" si="59"/>
        <v>1.5310796074154853</v>
      </c>
      <c r="AD128" s="43">
        <f t="shared" si="60"/>
        <v>1.523066098882109</v>
      </c>
      <c r="AE128" s="43">
        <f t="shared" si="64"/>
        <v>1582662762.8106518</v>
      </c>
      <c r="AF128" s="44"/>
    </row>
    <row r="129" spans="1:32" ht="39.4" customHeight="1">
      <c r="A129" s="46">
        <v>32063809</v>
      </c>
      <c r="B129" s="59" t="s">
        <v>2459</v>
      </c>
      <c r="C129" s="60" t="s">
        <v>1967</v>
      </c>
      <c r="D129" s="49"/>
      <c r="E129" s="49"/>
      <c r="F129" s="49">
        <f t="shared" si="61"/>
        <v>0</v>
      </c>
      <c r="G129" s="49" t="s">
        <v>2460</v>
      </c>
      <c r="H129" s="49" t="s">
        <v>2461</v>
      </c>
      <c r="I129" s="49">
        <v>2044200000</v>
      </c>
      <c r="J129" s="49">
        <f t="shared" si="50"/>
        <v>2.2044289157406061</v>
      </c>
      <c r="K129" s="49">
        <v>922740000</v>
      </c>
      <c r="L129" s="49">
        <v>113700000</v>
      </c>
      <c r="M129" s="49">
        <v>1511300000</v>
      </c>
      <c r="N129" s="49">
        <v>151130000</v>
      </c>
      <c r="O129" s="49">
        <f t="shared" si="51"/>
        <v>1.3291996481970096</v>
      </c>
      <c r="P129" s="49">
        <f t="shared" si="52"/>
        <v>0.16378394780761646</v>
      </c>
      <c r="Q129" s="49">
        <v>949500000</v>
      </c>
      <c r="R129" s="49">
        <v>1419600000</v>
      </c>
      <c r="S129" s="49">
        <v>1703500000</v>
      </c>
      <c r="T129" s="49" t="e">
        <f t="shared" si="53"/>
        <v>#VALUE!</v>
      </c>
      <c r="U129" s="49">
        <f t="shared" si="54"/>
        <v>1.8461321715759587</v>
      </c>
      <c r="V129" s="49"/>
      <c r="W129" s="49">
        <f t="shared" si="55"/>
        <v>927315000</v>
      </c>
      <c r="X129" s="49" t="e">
        <f t="shared" si="56"/>
        <v>#VALUE!</v>
      </c>
      <c r="Y129" s="49">
        <f t="shared" si="57"/>
        <v>1.0049580596917875</v>
      </c>
      <c r="Z129" s="49">
        <v>1.6</v>
      </c>
      <c r="AA129" s="49">
        <f>W129</f>
        <v>927315000</v>
      </c>
      <c r="AB129" s="49">
        <f t="shared" si="58"/>
        <v>1.0049580596917875</v>
      </c>
      <c r="AC129" s="49">
        <f t="shared" si="59"/>
        <v>1.0049580596917875</v>
      </c>
      <c r="AD129" s="49" t="e">
        <f t="shared" si="60"/>
        <v>#VALUE!</v>
      </c>
      <c r="AE129" s="49">
        <f t="shared" si="64"/>
        <v>1483704000</v>
      </c>
      <c r="AF129" s="50"/>
    </row>
    <row r="130" spans="1:32" ht="39.4" customHeight="1">
      <c r="A130" s="40">
        <v>32063810</v>
      </c>
      <c r="B130" s="57" t="s">
        <v>2462</v>
      </c>
      <c r="C130" s="58" t="s">
        <v>1967</v>
      </c>
      <c r="D130" s="43"/>
      <c r="E130" s="43"/>
      <c r="F130" s="43">
        <f t="shared" si="61"/>
        <v>0</v>
      </c>
      <c r="G130" s="43" t="s">
        <v>2463</v>
      </c>
      <c r="H130" s="43">
        <v>2579800000</v>
      </c>
      <c r="I130" s="43">
        <v>2579800000</v>
      </c>
      <c r="J130" s="43">
        <f t="shared" si="50"/>
        <v>1.2912236517007343</v>
      </c>
      <c r="K130" s="43">
        <v>1268120000</v>
      </c>
      <c r="L130" s="43">
        <v>1405600000</v>
      </c>
      <c r="M130" s="43">
        <v>1907400000</v>
      </c>
      <c r="N130" s="43">
        <v>1907400000</v>
      </c>
      <c r="O130" s="43">
        <f t="shared" si="51"/>
        <v>1.3570005691519635</v>
      </c>
      <c r="P130" s="43">
        <f t="shared" si="52"/>
        <v>1.5041163296848878</v>
      </c>
      <c r="Q130" s="43">
        <v>1198300000</v>
      </c>
      <c r="R130" s="43">
        <v>1791500000</v>
      </c>
      <c r="S130" s="43">
        <v>2149800000</v>
      </c>
      <c r="T130" s="43" t="e">
        <f t="shared" si="53"/>
        <v>#VALUE!</v>
      </c>
      <c r="U130" s="43">
        <f t="shared" si="54"/>
        <v>1.6952654322934737</v>
      </c>
      <c r="V130" s="43"/>
      <c r="W130" s="43">
        <f t="shared" si="55"/>
        <v>2028600000</v>
      </c>
      <c r="X130" s="43" t="e">
        <f t="shared" si="56"/>
        <v>#VALUE!</v>
      </c>
      <c r="Y130" s="43">
        <f t="shared" si="57"/>
        <v>1.5996908809891808</v>
      </c>
      <c r="Z130" s="43">
        <v>1.2912236517007341</v>
      </c>
      <c r="AA130" s="43">
        <v>1997949771.5999999</v>
      </c>
      <c r="AB130" s="43">
        <f t="shared" si="58"/>
        <v>1.5755210639371668</v>
      </c>
      <c r="AC130" s="43">
        <f t="shared" si="59"/>
        <v>1.5996908809891808</v>
      </c>
      <c r="AD130" s="43" t="e">
        <f t="shared" si="60"/>
        <v>#VALUE!</v>
      </c>
      <c r="AE130" s="43">
        <f t="shared" si="64"/>
        <v>2579799999.9999995</v>
      </c>
      <c r="AF130" s="44"/>
    </row>
    <row r="131" spans="1:32" ht="39.4" customHeight="1">
      <c r="A131" s="46">
        <v>32063811</v>
      </c>
      <c r="B131" s="59" t="s">
        <v>2464</v>
      </c>
      <c r="C131" s="60" t="s">
        <v>1967</v>
      </c>
      <c r="D131" s="49"/>
      <c r="E131" s="49"/>
      <c r="F131" s="49">
        <f t="shared" si="61"/>
        <v>0</v>
      </c>
      <c r="G131" s="49">
        <v>3525800000</v>
      </c>
      <c r="H131" s="49">
        <v>3525800000</v>
      </c>
      <c r="I131" s="49">
        <v>3525800000</v>
      </c>
      <c r="J131" s="49">
        <f t="shared" ref="J131:J162" si="65">I131/AA131</f>
        <v>1.80335063570836</v>
      </c>
      <c r="K131" s="49">
        <v>1529220000</v>
      </c>
      <c r="L131" s="49">
        <v>1921000000</v>
      </c>
      <c r="M131" s="49">
        <v>2606900000</v>
      </c>
      <c r="N131" s="49">
        <v>2606900000</v>
      </c>
      <c r="O131" s="49">
        <f t="shared" ref="O131:O162" si="66">(N131/L131)</f>
        <v>1.35705361790734</v>
      </c>
      <c r="P131" s="49">
        <f t="shared" ref="P131:P142" si="67">(N131/K131)</f>
        <v>1.7047252847857077</v>
      </c>
      <c r="Q131" s="49">
        <v>1637700000</v>
      </c>
      <c r="R131" s="49">
        <v>2448500000</v>
      </c>
      <c r="S131" s="49">
        <v>2938200000</v>
      </c>
      <c r="T131" s="49">
        <f t="shared" ref="T131:T162" si="68">G131/S131</f>
        <v>1.1999863862228575</v>
      </c>
      <c r="U131" s="49">
        <f t="shared" ref="U131:U137" si="69">S131/K131</f>
        <v>1.9213716796798368</v>
      </c>
      <c r="V131" s="49"/>
      <c r="W131" s="49">
        <f t="shared" ref="W131:W142" si="70">(S131+N131)/2</f>
        <v>2772550000</v>
      </c>
      <c r="X131" s="49">
        <f t="shared" ref="X131:X142" si="71">(T131+O131)/2</f>
        <v>1.2785200020650986</v>
      </c>
      <c r="Y131" s="49">
        <f t="shared" ref="Y131:Y142" si="72">W131/K131</f>
        <v>1.8130484822327724</v>
      </c>
      <c r="Z131" s="49">
        <v>1.6</v>
      </c>
      <c r="AA131" s="49">
        <f>K131*X131</f>
        <v>1955138357.5579901</v>
      </c>
      <c r="AB131" s="49">
        <f t="shared" ref="AB131:AB162" si="73">AA131/K131</f>
        <v>1.2785200020650986</v>
      </c>
      <c r="AC131" s="49">
        <f t="shared" ref="AC131:AC142" si="74">W131/K131</f>
        <v>1.8130484822327724</v>
      </c>
      <c r="AD131" s="49">
        <f t="shared" ref="AD131:AD142" si="75">G131/AA131</f>
        <v>1.80335063570836</v>
      </c>
      <c r="AE131" s="49">
        <f t="shared" si="64"/>
        <v>3128221372.0927844</v>
      </c>
      <c r="AF131" s="50"/>
    </row>
    <row r="132" spans="1:32" ht="39.4" customHeight="1">
      <c r="A132" s="40">
        <v>32063812</v>
      </c>
      <c r="B132" s="57" t="s">
        <v>2465</v>
      </c>
      <c r="C132" s="58" t="s">
        <v>1967</v>
      </c>
      <c r="D132" s="43"/>
      <c r="E132" s="43"/>
      <c r="F132" s="43">
        <f t="shared" si="61"/>
        <v>0</v>
      </c>
      <c r="G132" s="43">
        <v>3696400000</v>
      </c>
      <c r="H132" s="43">
        <v>3696400000</v>
      </c>
      <c r="I132" s="43">
        <v>3696400000</v>
      </c>
      <c r="J132" s="43">
        <f t="shared" si="65"/>
        <v>1.6054824024556478</v>
      </c>
      <c r="K132" s="43">
        <v>1800820000</v>
      </c>
      <c r="L132" s="43">
        <v>201400000</v>
      </c>
      <c r="M132" s="43">
        <v>273300000</v>
      </c>
      <c r="N132" s="43">
        <v>273300000</v>
      </c>
      <c r="O132" s="43">
        <f t="shared" si="66"/>
        <v>1.3570009930486593</v>
      </c>
      <c r="P132" s="43">
        <f t="shared" si="67"/>
        <v>0.15176419631056962</v>
      </c>
      <c r="Q132" s="43">
        <v>1717000000</v>
      </c>
      <c r="R132" s="43">
        <v>2566900000</v>
      </c>
      <c r="S132" s="43">
        <v>3080300000</v>
      </c>
      <c r="T132" s="43">
        <f t="shared" si="68"/>
        <v>1.2000129857481414</v>
      </c>
      <c r="U132" s="43">
        <f t="shared" si="69"/>
        <v>1.7104985506602548</v>
      </c>
      <c r="V132" s="43"/>
      <c r="W132" s="43">
        <f t="shared" si="70"/>
        <v>1676800000</v>
      </c>
      <c r="X132" s="43">
        <f t="shared" si="71"/>
        <v>1.2785069893984002</v>
      </c>
      <c r="Y132" s="43">
        <f t="shared" si="72"/>
        <v>0.93113137348541219</v>
      </c>
      <c r="Z132" s="43">
        <v>1.6</v>
      </c>
      <c r="AA132" s="43">
        <f>K132*X132</f>
        <v>2302360956.648427</v>
      </c>
      <c r="AB132" s="43">
        <f t="shared" si="73"/>
        <v>1.2785069893984002</v>
      </c>
      <c r="AC132" s="43">
        <f t="shared" si="74"/>
        <v>0.93113137348541219</v>
      </c>
      <c r="AD132" s="43">
        <f t="shared" si="75"/>
        <v>1.6054824024556478</v>
      </c>
      <c r="AE132" s="43">
        <f t="shared" si="64"/>
        <v>3683777530.6374836</v>
      </c>
      <c r="AF132" s="44"/>
    </row>
    <row r="133" spans="1:32" ht="39.4" customHeight="1">
      <c r="A133" s="46">
        <v>32063901</v>
      </c>
      <c r="B133" s="59" t="s">
        <v>2466</v>
      </c>
      <c r="C133" s="60" t="s">
        <v>1967</v>
      </c>
      <c r="D133" s="49"/>
      <c r="E133" s="49"/>
      <c r="F133" s="49">
        <f t="shared" si="61"/>
        <v>0</v>
      </c>
      <c r="G133" s="49">
        <v>380000000</v>
      </c>
      <c r="H133" s="49">
        <v>38000000</v>
      </c>
      <c r="I133" s="49">
        <v>38000000</v>
      </c>
      <c r="J133" s="49">
        <f t="shared" si="65"/>
        <v>1.1967750062988158</v>
      </c>
      <c r="K133" s="49">
        <v>21600000</v>
      </c>
      <c r="L133" s="49"/>
      <c r="M133" s="49"/>
      <c r="N133" s="49"/>
      <c r="O133" s="49" t="e">
        <f t="shared" si="66"/>
        <v>#DIV/0!</v>
      </c>
      <c r="P133" s="49">
        <f t="shared" si="67"/>
        <v>0</v>
      </c>
      <c r="Q133" s="49"/>
      <c r="R133" s="49"/>
      <c r="S133" s="49"/>
      <c r="T133" s="49" t="e">
        <f t="shared" si="68"/>
        <v>#DIV/0!</v>
      </c>
      <c r="U133" s="49">
        <f t="shared" si="69"/>
        <v>0</v>
      </c>
      <c r="V133" s="49"/>
      <c r="W133" s="49">
        <f t="shared" si="70"/>
        <v>0</v>
      </c>
      <c r="X133" s="49" t="e">
        <f t="shared" si="71"/>
        <v>#DIV/0!</v>
      </c>
      <c r="Y133" s="49">
        <f t="shared" si="72"/>
        <v>0</v>
      </c>
      <c r="Z133" s="49">
        <v>1.1967750062988161</v>
      </c>
      <c r="AA133" s="49">
        <f t="shared" ref="AA133:AA142" si="76">K133*1.47</f>
        <v>31752000</v>
      </c>
      <c r="AB133" s="49">
        <f t="shared" si="73"/>
        <v>1.47</v>
      </c>
      <c r="AC133" s="49">
        <f t="shared" si="74"/>
        <v>0</v>
      </c>
      <c r="AD133" s="49">
        <f t="shared" si="75"/>
        <v>11.967750062988157</v>
      </c>
      <c r="AE133" s="49">
        <f t="shared" si="64"/>
        <v>38000000.000000007</v>
      </c>
      <c r="AF133" s="50"/>
    </row>
    <row r="134" spans="1:32" ht="39.4" customHeight="1">
      <c r="A134" s="40">
        <v>32063902</v>
      </c>
      <c r="B134" s="57" t="s">
        <v>2467</v>
      </c>
      <c r="C134" s="58" t="s">
        <v>1967</v>
      </c>
      <c r="D134" s="43"/>
      <c r="E134" s="43"/>
      <c r="F134" s="43">
        <f t="shared" si="61"/>
        <v>0</v>
      </c>
      <c r="G134" s="43">
        <v>468000000</v>
      </c>
      <c r="H134" s="43">
        <v>468000000</v>
      </c>
      <c r="I134" s="43">
        <v>468000000</v>
      </c>
      <c r="J134" s="43">
        <f t="shared" si="65"/>
        <v>6.3168124392614189</v>
      </c>
      <c r="K134" s="43">
        <v>50400000</v>
      </c>
      <c r="L134" s="43"/>
      <c r="M134" s="43"/>
      <c r="N134" s="43"/>
      <c r="O134" s="43" t="e">
        <f t="shared" si="66"/>
        <v>#DIV/0!</v>
      </c>
      <c r="P134" s="43">
        <f t="shared" si="67"/>
        <v>0</v>
      </c>
      <c r="Q134" s="43">
        <v>280000000</v>
      </c>
      <c r="R134" s="43">
        <v>339000000</v>
      </c>
      <c r="S134" s="43">
        <v>389850000</v>
      </c>
      <c r="T134" s="43">
        <f t="shared" si="68"/>
        <v>1.2004617160446325</v>
      </c>
      <c r="U134" s="43">
        <f t="shared" si="69"/>
        <v>7.7351190476190474</v>
      </c>
      <c r="V134" s="43"/>
      <c r="W134" s="43">
        <f t="shared" si="70"/>
        <v>194925000</v>
      </c>
      <c r="X134" s="43" t="e">
        <f t="shared" si="71"/>
        <v>#DIV/0!</v>
      </c>
      <c r="Y134" s="43">
        <f t="shared" si="72"/>
        <v>3.8675595238095237</v>
      </c>
      <c r="Z134" s="43">
        <v>1.7</v>
      </c>
      <c r="AA134" s="43">
        <f t="shared" si="76"/>
        <v>74088000</v>
      </c>
      <c r="AB134" s="43">
        <f t="shared" si="73"/>
        <v>1.47</v>
      </c>
      <c r="AC134" s="43">
        <f t="shared" si="74"/>
        <v>3.8675595238095237</v>
      </c>
      <c r="AD134" s="43">
        <f t="shared" si="75"/>
        <v>6.3168124392614189</v>
      </c>
      <c r="AE134" s="43">
        <f t="shared" si="64"/>
        <v>125949600</v>
      </c>
      <c r="AF134" s="44"/>
    </row>
    <row r="135" spans="1:32" ht="39.4" customHeight="1">
      <c r="A135" s="46">
        <v>32063903</v>
      </c>
      <c r="B135" s="59" t="s">
        <v>2468</v>
      </c>
      <c r="C135" s="60" t="s">
        <v>1967</v>
      </c>
      <c r="D135" s="49"/>
      <c r="E135" s="49"/>
      <c r="F135" s="49">
        <f t="shared" si="61"/>
        <v>0</v>
      </c>
      <c r="G135" s="49">
        <v>8280000000</v>
      </c>
      <c r="H135" s="49">
        <v>828000000</v>
      </c>
      <c r="I135" s="49">
        <v>828000000</v>
      </c>
      <c r="J135" s="49">
        <f t="shared" si="65"/>
        <v>6.6297705522887123</v>
      </c>
      <c r="K135" s="49">
        <v>84960000</v>
      </c>
      <c r="L135" s="49"/>
      <c r="M135" s="49"/>
      <c r="N135" s="49"/>
      <c r="O135" s="49" t="e">
        <f t="shared" si="66"/>
        <v>#DIV/0!</v>
      </c>
      <c r="P135" s="49">
        <f t="shared" si="67"/>
        <v>0</v>
      </c>
      <c r="Q135" s="49">
        <v>540000000</v>
      </c>
      <c r="R135" s="49">
        <v>600000000</v>
      </c>
      <c r="S135" s="49">
        <v>690000000</v>
      </c>
      <c r="T135" s="49">
        <f t="shared" si="68"/>
        <v>12</v>
      </c>
      <c r="U135" s="49">
        <f t="shared" si="69"/>
        <v>8.121468926553673</v>
      </c>
      <c r="V135" s="49"/>
      <c r="W135" s="49">
        <f t="shared" si="70"/>
        <v>345000000</v>
      </c>
      <c r="X135" s="49" t="e">
        <f t="shared" si="71"/>
        <v>#DIV/0!</v>
      </c>
      <c r="Y135" s="49">
        <f t="shared" si="72"/>
        <v>4.0607344632768365</v>
      </c>
      <c r="Z135" s="49">
        <v>1.7</v>
      </c>
      <c r="AA135" s="49">
        <f t="shared" si="76"/>
        <v>124891200</v>
      </c>
      <c r="AB135" s="49">
        <f t="shared" si="73"/>
        <v>1.47</v>
      </c>
      <c r="AC135" s="49">
        <f t="shared" si="74"/>
        <v>4.0607344632768365</v>
      </c>
      <c r="AD135" s="49">
        <f t="shared" si="75"/>
        <v>66.297705522887128</v>
      </c>
      <c r="AE135" s="49">
        <f t="shared" si="64"/>
        <v>212315040</v>
      </c>
      <c r="AF135" s="50"/>
    </row>
    <row r="136" spans="1:32" ht="39.4" customHeight="1">
      <c r="A136" s="40">
        <v>32063904</v>
      </c>
      <c r="B136" s="57" t="s">
        <v>2469</v>
      </c>
      <c r="C136" s="58" t="s">
        <v>1967</v>
      </c>
      <c r="D136" s="43"/>
      <c r="E136" s="43"/>
      <c r="F136" s="43">
        <f t="shared" si="61"/>
        <v>0</v>
      </c>
      <c r="G136" s="43">
        <v>1450000000</v>
      </c>
      <c r="H136" s="43">
        <v>1450000000</v>
      </c>
      <c r="I136" s="43">
        <v>1450000000</v>
      </c>
      <c r="J136" s="43">
        <f t="shared" si="65"/>
        <v>4.98179069607641</v>
      </c>
      <c r="K136" s="43">
        <v>198000000</v>
      </c>
      <c r="L136" s="43"/>
      <c r="M136" s="43"/>
      <c r="N136" s="43"/>
      <c r="O136" s="43" t="e">
        <f t="shared" si="66"/>
        <v>#DIV/0!</v>
      </c>
      <c r="P136" s="43">
        <f t="shared" si="67"/>
        <v>0</v>
      </c>
      <c r="Q136" s="43">
        <v>1450000000</v>
      </c>
      <c r="R136" s="43">
        <v>1050000000</v>
      </c>
      <c r="S136" s="43">
        <v>1207500000</v>
      </c>
      <c r="T136" s="43">
        <f t="shared" si="68"/>
        <v>1.2008281573498965</v>
      </c>
      <c r="U136" s="43">
        <f t="shared" si="69"/>
        <v>6.0984848484848486</v>
      </c>
      <c r="V136" s="43"/>
      <c r="W136" s="43">
        <f t="shared" si="70"/>
        <v>603750000</v>
      </c>
      <c r="X136" s="43" t="e">
        <f t="shared" si="71"/>
        <v>#DIV/0!</v>
      </c>
      <c r="Y136" s="43">
        <f t="shared" si="72"/>
        <v>3.0492424242424243</v>
      </c>
      <c r="Z136" s="43">
        <v>1.6</v>
      </c>
      <c r="AA136" s="43">
        <f t="shared" si="76"/>
        <v>291060000</v>
      </c>
      <c r="AB136" s="43">
        <f t="shared" si="73"/>
        <v>1.47</v>
      </c>
      <c r="AC136" s="43">
        <f t="shared" si="74"/>
        <v>3.0492424242424243</v>
      </c>
      <c r="AD136" s="43">
        <f t="shared" si="75"/>
        <v>4.98179069607641</v>
      </c>
      <c r="AE136" s="43">
        <f t="shared" si="64"/>
        <v>465696000</v>
      </c>
      <c r="AF136" s="44"/>
    </row>
    <row r="137" spans="1:32" ht="39.4" customHeight="1">
      <c r="A137" s="46">
        <v>32063905</v>
      </c>
      <c r="B137" s="59" t="s">
        <v>2470</v>
      </c>
      <c r="C137" s="60" t="s">
        <v>1967</v>
      </c>
      <c r="D137" s="49"/>
      <c r="E137" s="49"/>
      <c r="F137" s="49">
        <f t="shared" si="61"/>
        <v>0</v>
      </c>
      <c r="G137" s="49" t="s">
        <v>2471</v>
      </c>
      <c r="H137" s="49">
        <v>1864000000</v>
      </c>
      <c r="I137" s="49">
        <v>1864000000</v>
      </c>
      <c r="J137" s="49">
        <f t="shared" si="65"/>
        <v>5.5615228547559372</v>
      </c>
      <c r="K137" s="49">
        <v>228000000</v>
      </c>
      <c r="L137" s="49"/>
      <c r="M137" s="49"/>
      <c r="N137" s="49"/>
      <c r="O137" s="49" t="e">
        <f t="shared" si="66"/>
        <v>#DIV/0!</v>
      </c>
      <c r="P137" s="49">
        <f t="shared" si="67"/>
        <v>0</v>
      </c>
      <c r="Q137" s="49">
        <v>2200000000</v>
      </c>
      <c r="R137" s="49">
        <v>1350000000</v>
      </c>
      <c r="S137" s="49">
        <v>15525000000</v>
      </c>
      <c r="T137" s="49" t="e">
        <f t="shared" si="68"/>
        <v>#VALUE!</v>
      </c>
      <c r="U137" s="49">
        <f t="shared" si="69"/>
        <v>68.09210526315789</v>
      </c>
      <c r="V137" s="49"/>
      <c r="W137" s="49">
        <f t="shared" si="70"/>
        <v>7762500000</v>
      </c>
      <c r="X137" s="49" t="e">
        <f t="shared" si="71"/>
        <v>#VALUE!</v>
      </c>
      <c r="Y137" s="49">
        <f t="shared" si="72"/>
        <v>34.046052631578945</v>
      </c>
      <c r="Z137" s="49">
        <v>1.6</v>
      </c>
      <c r="AA137" s="49">
        <f t="shared" si="76"/>
        <v>335160000</v>
      </c>
      <c r="AB137" s="49">
        <f t="shared" si="73"/>
        <v>1.47</v>
      </c>
      <c r="AC137" s="49">
        <f t="shared" si="74"/>
        <v>34.046052631578945</v>
      </c>
      <c r="AD137" s="49" t="e">
        <f t="shared" si="75"/>
        <v>#VALUE!</v>
      </c>
      <c r="AE137" s="49">
        <f t="shared" si="64"/>
        <v>536256000</v>
      </c>
      <c r="AF137" s="50"/>
    </row>
    <row r="138" spans="1:32" ht="39.4" customHeight="1">
      <c r="A138" s="40">
        <v>32063906</v>
      </c>
      <c r="B138" s="57" t="s">
        <v>2472</v>
      </c>
      <c r="C138" s="58" t="s">
        <v>1967</v>
      </c>
      <c r="D138" s="43"/>
      <c r="E138" s="43"/>
      <c r="F138" s="43">
        <f t="shared" si="61"/>
        <v>0</v>
      </c>
      <c r="G138" s="43"/>
      <c r="H138" s="43"/>
      <c r="I138" s="43"/>
      <c r="J138" s="43">
        <f t="shared" si="65"/>
        <v>0</v>
      </c>
      <c r="K138" s="43">
        <v>300000000</v>
      </c>
      <c r="L138" s="43"/>
      <c r="M138" s="43"/>
      <c r="N138" s="43"/>
      <c r="O138" s="43" t="e">
        <f t="shared" si="66"/>
        <v>#DIV/0!</v>
      </c>
      <c r="P138" s="43">
        <f t="shared" si="67"/>
        <v>0</v>
      </c>
      <c r="Q138" s="43"/>
      <c r="R138" s="43"/>
      <c r="S138" s="43"/>
      <c r="T138" s="43" t="e">
        <f t="shared" si="68"/>
        <v>#DIV/0!</v>
      </c>
      <c r="U138" s="43"/>
      <c r="V138" s="43"/>
      <c r="W138" s="43">
        <f t="shared" si="70"/>
        <v>0</v>
      </c>
      <c r="X138" s="43" t="e">
        <f t="shared" si="71"/>
        <v>#DIV/0!</v>
      </c>
      <c r="Y138" s="43">
        <f t="shared" si="72"/>
        <v>0</v>
      </c>
      <c r="Z138" s="43">
        <v>1.6</v>
      </c>
      <c r="AA138" s="43">
        <f t="shared" si="76"/>
        <v>441000000</v>
      </c>
      <c r="AB138" s="43">
        <f t="shared" si="73"/>
        <v>1.47</v>
      </c>
      <c r="AC138" s="43">
        <f t="shared" si="74"/>
        <v>0</v>
      </c>
      <c r="AD138" s="43">
        <f t="shared" si="75"/>
        <v>0</v>
      </c>
      <c r="AE138" s="43">
        <f t="shared" si="64"/>
        <v>705600000</v>
      </c>
      <c r="AF138" s="44"/>
    </row>
    <row r="139" spans="1:32" ht="39.4" customHeight="1">
      <c r="A139" s="46">
        <v>32063907</v>
      </c>
      <c r="B139" s="59" t="s">
        <v>2473</v>
      </c>
      <c r="C139" s="60" t="s">
        <v>1967</v>
      </c>
      <c r="D139" s="49"/>
      <c r="E139" s="49"/>
      <c r="F139" s="49">
        <f t="shared" si="61"/>
        <v>0</v>
      </c>
      <c r="G139" s="49"/>
      <c r="H139" s="49"/>
      <c r="I139" s="49"/>
      <c r="J139" s="49">
        <f t="shared" si="65"/>
        <v>0</v>
      </c>
      <c r="K139" s="49">
        <v>396000000</v>
      </c>
      <c r="L139" s="49"/>
      <c r="M139" s="49"/>
      <c r="N139" s="49"/>
      <c r="O139" s="49" t="e">
        <f t="shared" si="66"/>
        <v>#DIV/0!</v>
      </c>
      <c r="P139" s="49">
        <f t="shared" si="67"/>
        <v>0</v>
      </c>
      <c r="Q139" s="49"/>
      <c r="R139" s="49"/>
      <c r="S139" s="49"/>
      <c r="T139" s="49" t="e">
        <f t="shared" si="68"/>
        <v>#DIV/0!</v>
      </c>
      <c r="U139" s="49"/>
      <c r="V139" s="49"/>
      <c r="W139" s="49">
        <f t="shared" si="70"/>
        <v>0</v>
      </c>
      <c r="X139" s="49" t="e">
        <f t="shared" si="71"/>
        <v>#DIV/0!</v>
      </c>
      <c r="Y139" s="49">
        <f t="shared" si="72"/>
        <v>0</v>
      </c>
      <c r="Z139" s="49">
        <v>1.6</v>
      </c>
      <c r="AA139" s="49">
        <f t="shared" si="76"/>
        <v>582120000</v>
      </c>
      <c r="AB139" s="49">
        <f t="shared" si="73"/>
        <v>1.47</v>
      </c>
      <c r="AC139" s="49">
        <f t="shared" si="74"/>
        <v>0</v>
      </c>
      <c r="AD139" s="49">
        <f t="shared" si="75"/>
        <v>0</v>
      </c>
      <c r="AE139" s="49">
        <f t="shared" si="64"/>
        <v>931392000</v>
      </c>
      <c r="AF139" s="50"/>
    </row>
    <row r="140" spans="1:32" ht="39.4" customHeight="1">
      <c r="A140" s="40">
        <v>32063908</v>
      </c>
      <c r="B140" s="57" t="s">
        <v>2474</v>
      </c>
      <c r="C140" s="58" t="s">
        <v>1967</v>
      </c>
      <c r="D140" s="43"/>
      <c r="E140" s="43"/>
      <c r="F140" s="43">
        <f t="shared" si="61"/>
        <v>0</v>
      </c>
      <c r="G140" s="43"/>
      <c r="H140" s="43"/>
      <c r="I140" s="43"/>
      <c r="J140" s="43">
        <f t="shared" si="65"/>
        <v>0</v>
      </c>
      <c r="K140" s="43">
        <v>480000000</v>
      </c>
      <c r="L140" s="43"/>
      <c r="M140" s="43"/>
      <c r="N140" s="43"/>
      <c r="O140" s="43" t="e">
        <f t="shared" si="66"/>
        <v>#DIV/0!</v>
      </c>
      <c r="P140" s="43">
        <f t="shared" si="67"/>
        <v>0</v>
      </c>
      <c r="Q140" s="43"/>
      <c r="R140" s="43"/>
      <c r="S140" s="43"/>
      <c r="T140" s="43" t="e">
        <f t="shared" si="68"/>
        <v>#DIV/0!</v>
      </c>
      <c r="U140" s="43"/>
      <c r="V140" s="43"/>
      <c r="W140" s="43">
        <f t="shared" si="70"/>
        <v>0</v>
      </c>
      <c r="X140" s="43" t="e">
        <f t="shared" si="71"/>
        <v>#DIV/0!</v>
      </c>
      <c r="Y140" s="43">
        <f t="shared" si="72"/>
        <v>0</v>
      </c>
      <c r="Z140" s="43">
        <v>1.6</v>
      </c>
      <c r="AA140" s="43">
        <f t="shared" si="76"/>
        <v>705600000</v>
      </c>
      <c r="AB140" s="43">
        <f t="shared" si="73"/>
        <v>1.47</v>
      </c>
      <c r="AC140" s="43">
        <f t="shared" si="74"/>
        <v>0</v>
      </c>
      <c r="AD140" s="43">
        <f t="shared" si="75"/>
        <v>0</v>
      </c>
      <c r="AE140" s="43">
        <f t="shared" si="64"/>
        <v>1128960000</v>
      </c>
      <c r="AF140" s="44"/>
    </row>
    <row r="141" spans="1:32" ht="39.4" customHeight="1">
      <c r="A141" s="46">
        <v>32063909</v>
      </c>
      <c r="B141" s="59" t="s">
        <v>2475</v>
      </c>
      <c r="C141" s="60" t="s">
        <v>1967</v>
      </c>
      <c r="D141" s="49"/>
      <c r="E141" s="49"/>
      <c r="F141" s="49">
        <f t="shared" si="61"/>
        <v>0</v>
      </c>
      <c r="G141" s="49"/>
      <c r="H141" s="49"/>
      <c r="I141" s="49"/>
      <c r="J141" s="49">
        <f t="shared" si="65"/>
        <v>0</v>
      </c>
      <c r="K141" s="49">
        <v>600000000</v>
      </c>
      <c r="L141" s="49"/>
      <c r="M141" s="49"/>
      <c r="N141" s="49"/>
      <c r="O141" s="49" t="e">
        <f t="shared" si="66"/>
        <v>#DIV/0!</v>
      </c>
      <c r="P141" s="49">
        <f t="shared" si="67"/>
        <v>0</v>
      </c>
      <c r="Q141" s="49"/>
      <c r="R141" s="49"/>
      <c r="S141" s="49"/>
      <c r="T141" s="49" t="e">
        <f t="shared" si="68"/>
        <v>#DIV/0!</v>
      </c>
      <c r="U141" s="49"/>
      <c r="V141" s="49"/>
      <c r="W141" s="49">
        <f t="shared" si="70"/>
        <v>0</v>
      </c>
      <c r="X141" s="49" t="e">
        <f t="shared" si="71"/>
        <v>#DIV/0!</v>
      </c>
      <c r="Y141" s="49">
        <f t="shared" si="72"/>
        <v>0</v>
      </c>
      <c r="Z141" s="49">
        <v>1.6</v>
      </c>
      <c r="AA141" s="49">
        <f t="shared" si="76"/>
        <v>882000000</v>
      </c>
      <c r="AB141" s="49">
        <f t="shared" si="73"/>
        <v>1.47</v>
      </c>
      <c r="AC141" s="49">
        <f t="shared" si="74"/>
        <v>0</v>
      </c>
      <c r="AD141" s="49">
        <f t="shared" si="75"/>
        <v>0</v>
      </c>
      <c r="AE141" s="49">
        <f t="shared" si="64"/>
        <v>1411200000</v>
      </c>
      <c r="AF141" s="50"/>
    </row>
    <row r="142" spans="1:32" ht="39.4" customHeight="1">
      <c r="A142" s="40">
        <v>32063910</v>
      </c>
      <c r="B142" s="57" t="s">
        <v>2476</v>
      </c>
      <c r="C142" s="58" t="s">
        <v>1967</v>
      </c>
      <c r="D142" s="43"/>
      <c r="E142" s="43"/>
      <c r="F142" s="43">
        <f t="shared" si="61"/>
        <v>0</v>
      </c>
      <c r="G142" s="43"/>
      <c r="H142" s="43"/>
      <c r="I142" s="43"/>
      <c r="J142" s="43">
        <f t="shared" si="65"/>
        <v>0</v>
      </c>
      <c r="K142" s="43">
        <v>840000000</v>
      </c>
      <c r="L142" s="43"/>
      <c r="M142" s="43"/>
      <c r="N142" s="43"/>
      <c r="O142" s="43" t="e">
        <f t="shared" si="66"/>
        <v>#DIV/0!</v>
      </c>
      <c r="P142" s="43">
        <f t="shared" si="67"/>
        <v>0</v>
      </c>
      <c r="Q142" s="43"/>
      <c r="R142" s="43"/>
      <c r="S142" s="43"/>
      <c r="T142" s="43" t="e">
        <f t="shared" si="68"/>
        <v>#DIV/0!</v>
      </c>
      <c r="U142" s="43"/>
      <c r="V142" s="43"/>
      <c r="W142" s="43">
        <f t="shared" si="70"/>
        <v>0</v>
      </c>
      <c r="X142" s="43" t="e">
        <f t="shared" si="71"/>
        <v>#DIV/0!</v>
      </c>
      <c r="Y142" s="43">
        <f t="shared" si="72"/>
        <v>0</v>
      </c>
      <c r="Z142" s="43">
        <v>1.6</v>
      </c>
      <c r="AA142" s="43">
        <f t="shared" si="76"/>
        <v>1234800000</v>
      </c>
      <c r="AB142" s="43">
        <f t="shared" si="73"/>
        <v>1.47</v>
      </c>
      <c r="AC142" s="43">
        <f t="shared" si="74"/>
        <v>0</v>
      </c>
      <c r="AD142" s="43">
        <f t="shared" si="75"/>
        <v>0</v>
      </c>
      <c r="AE142" s="43">
        <f t="shared" si="64"/>
        <v>1975680000</v>
      </c>
      <c r="AF142" s="44"/>
    </row>
    <row r="143" spans="1:32">
      <c r="A143" s="84"/>
      <c r="B143" s="77"/>
      <c r="C143" s="78"/>
      <c r="D143" s="64"/>
      <c r="E143" s="64"/>
      <c r="F143" s="64"/>
      <c r="G143" s="64"/>
      <c r="H143" s="64"/>
      <c r="I143" s="64"/>
      <c r="J143" s="64"/>
      <c r="K143" s="64"/>
      <c r="L143" s="64"/>
      <c r="M143" s="64"/>
      <c r="N143" s="64"/>
      <c r="O143" s="64"/>
      <c r="P143" s="64"/>
      <c r="Q143" s="64"/>
      <c r="R143" s="64"/>
      <c r="S143" s="64"/>
      <c r="T143" s="64"/>
      <c r="U143" s="64"/>
      <c r="V143" s="64"/>
      <c r="W143" s="64"/>
      <c r="X143" s="64"/>
      <c r="Y143" s="64"/>
      <c r="Z143" s="64"/>
      <c r="AA143" s="64"/>
      <c r="AB143" s="64"/>
      <c r="AC143" s="64"/>
      <c r="AD143" s="64"/>
      <c r="AE143" s="64"/>
      <c r="AF143" s="65"/>
    </row>
  </sheetData>
  <mergeCells count="3">
    <mergeCell ref="L1:N1"/>
    <mergeCell ref="D1:F1"/>
    <mergeCell ref="G1:I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theme="9" tint="-0.499984740745262"/>
  </sheetPr>
  <dimension ref="A1:K66"/>
  <sheetViews>
    <sheetView rightToLeft="1" workbookViewId="0">
      <pane ySplit="37" topLeftCell="A38" activePane="bottomLeft" state="frozen"/>
      <selection pane="bottomLeft"/>
    </sheetView>
  </sheetViews>
  <sheetFormatPr defaultRowHeight="13.5"/>
  <cols>
    <col min="1" max="1" width="14.1875" customWidth="1"/>
    <col min="2" max="2" width="46.6875" customWidth="1"/>
    <col min="3" max="3" width="10.8125" customWidth="1"/>
    <col min="4" max="4" width="18.3125" customWidth="1"/>
    <col min="6" max="8" width="18.3125" customWidth="1"/>
  </cols>
  <sheetData>
    <row r="1" spans="1:11" ht="32" customHeight="1">
      <c r="A1" s="27" t="s">
        <v>868</v>
      </c>
      <c r="B1" s="28" t="s">
        <v>869</v>
      </c>
      <c r="C1" s="28" t="s">
        <v>1856</v>
      </c>
      <c r="D1" s="28" t="s">
        <v>871</v>
      </c>
      <c r="E1" s="28" t="s">
        <v>872</v>
      </c>
      <c r="F1" s="28" t="s">
        <v>873</v>
      </c>
      <c r="G1" s="28" t="s">
        <v>1976</v>
      </c>
      <c r="H1" s="28" t="s">
        <v>2477</v>
      </c>
      <c r="I1" s="28" t="s">
        <v>878</v>
      </c>
      <c r="J1" s="28"/>
      <c r="K1" s="72"/>
    </row>
    <row r="2" spans="1:11" ht="28.05" customHeight="1">
      <c r="A2" s="73" t="s">
        <v>2478</v>
      </c>
      <c r="B2" s="32" t="s">
        <v>2479</v>
      </c>
      <c r="C2" s="32" t="s">
        <v>1967</v>
      </c>
      <c r="D2" s="32"/>
      <c r="E2" s="32"/>
      <c r="F2" s="32">
        <f t="shared" ref="F2:F23" si="0">H2*1.16</f>
        <v>1014999.9999999999</v>
      </c>
      <c r="G2" s="32">
        <v>700000</v>
      </c>
      <c r="H2" s="32">
        <f t="shared" ref="H2:H33" si="1">G2*1.25</f>
        <v>875000</v>
      </c>
      <c r="I2" s="114">
        <f t="shared" ref="I2:I33" si="2">H2/G2</f>
        <v>1.25</v>
      </c>
      <c r="J2" s="114"/>
      <c r="K2" s="74">
        <f t="shared" ref="K2:K33" si="3">F2/H2</f>
        <v>1.1599999999999999</v>
      </c>
    </row>
    <row r="3" spans="1:11" ht="38.25" customHeight="1">
      <c r="A3" s="34" t="s">
        <v>2480</v>
      </c>
      <c r="B3" s="129" t="s">
        <v>2481</v>
      </c>
      <c r="C3" s="130" t="s">
        <v>1967</v>
      </c>
      <c r="D3" s="37"/>
      <c r="E3" s="37"/>
      <c r="F3" s="37">
        <f t="shared" si="0"/>
        <v>1218000</v>
      </c>
      <c r="G3" s="37">
        <v>840000</v>
      </c>
      <c r="H3" s="37">
        <f t="shared" si="1"/>
        <v>1050000</v>
      </c>
      <c r="I3" s="37">
        <f t="shared" si="2"/>
        <v>1.25</v>
      </c>
      <c r="J3" s="37"/>
      <c r="K3" s="38">
        <f t="shared" si="3"/>
        <v>1.1599999999999999</v>
      </c>
    </row>
    <row r="4" spans="1:11" ht="38.25" customHeight="1">
      <c r="A4" s="40" t="s">
        <v>2482</v>
      </c>
      <c r="B4" s="131" t="s">
        <v>2483</v>
      </c>
      <c r="C4" s="132" t="s">
        <v>1967</v>
      </c>
      <c r="D4" s="43"/>
      <c r="E4" s="43"/>
      <c r="F4" s="43">
        <f t="shared" si="0"/>
        <v>1421000</v>
      </c>
      <c r="G4" s="43">
        <v>980000</v>
      </c>
      <c r="H4" s="43">
        <f t="shared" si="1"/>
        <v>1225000</v>
      </c>
      <c r="I4" s="43">
        <f t="shared" si="2"/>
        <v>1.25</v>
      </c>
      <c r="J4" s="43"/>
      <c r="K4" s="44">
        <f t="shared" si="3"/>
        <v>1.1599999999999999</v>
      </c>
    </row>
    <row r="5" spans="1:11" ht="38.25" customHeight="1">
      <c r="A5" s="46" t="s">
        <v>2484</v>
      </c>
      <c r="B5" s="133" t="s">
        <v>2485</v>
      </c>
      <c r="C5" s="134" t="s">
        <v>1967</v>
      </c>
      <c r="D5" s="49"/>
      <c r="E5" s="49"/>
      <c r="F5" s="49">
        <f t="shared" si="0"/>
        <v>1563100</v>
      </c>
      <c r="G5" s="49">
        <v>1078000</v>
      </c>
      <c r="H5" s="49">
        <f t="shared" si="1"/>
        <v>1347500</v>
      </c>
      <c r="I5" s="49">
        <f t="shared" si="2"/>
        <v>1.25</v>
      </c>
      <c r="J5" s="49"/>
      <c r="K5" s="50">
        <f t="shared" si="3"/>
        <v>1.1599999999999999</v>
      </c>
    </row>
    <row r="6" spans="1:11" ht="38.25" customHeight="1">
      <c r="A6" s="40" t="s">
        <v>2486</v>
      </c>
      <c r="B6" s="131" t="s">
        <v>2487</v>
      </c>
      <c r="C6" s="132" t="s">
        <v>1967</v>
      </c>
      <c r="D6" s="43"/>
      <c r="E6" s="43"/>
      <c r="F6" s="43">
        <f t="shared" si="0"/>
        <v>1900079.9999999998</v>
      </c>
      <c r="G6" s="43">
        <v>1310400</v>
      </c>
      <c r="H6" s="43">
        <f t="shared" si="1"/>
        <v>1638000</v>
      </c>
      <c r="I6" s="43">
        <f t="shared" si="2"/>
        <v>1.25</v>
      </c>
      <c r="J6" s="43"/>
      <c r="K6" s="44">
        <f t="shared" si="3"/>
        <v>1.1599999999999999</v>
      </c>
    </row>
    <row r="7" spans="1:11" ht="51" customHeight="1">
      <c r="A7" s="46" t="s">
        <v>2488</v>
      </c>
      <c r="B7" s="133" t="s">
        <v>2489</v>
      </c>
      <c r="C7" s="134" t="s">
        <v>1967</v>
      </c>
      <c r="D7" s="49"/>
      <c r="E7" s="49"/>
      <c r="F7" s="49">
        <f t="shared" si="0"/>
        <v>2639000</v>
      </c>
      <c r="G7" s="49">
        <v>1820000</v>
      </c>
      <c r="H7" s="49">
        <f t="shared" si="1"/>
        <v>2275000</v>
      </c>
      <c r="I7" s="49">
        <f t="shared" si="2"/>
        <v>1.25</v>
      </c>
      <c r="J7" s="49"/>
      <c r="K7" s="50">
        <f t="shared" si="3"/>
        <v>1.1599999999999999</v>
      </c>
    </row>
    <row r="8" spans="1:11" ht="38.25" customHeight="1">
      <c r="A8" s="40" t="s">
        <v>2490</v>
      </c>
      <c r="B8" s="131" t="s">
        <v>2491</v>
      </c>
      <c r="C8" s="132" t="s">
        <v>1967</v>
      </c>
      <c r="D8" s="43"/>
      <c r="E8" s="43"/>
      <c r="F8" s="43">
        <f t="shared" si="0"/>
        <v>3633699.9999999995</v>
      </c>
      <c r="G8" s="43">
        <v>2506000</v>
      </c>
      <c r="H8" s="43">
        <f t="shared" si="1"/>
        <v>3132500</v>
      </c>
      <c r="I8" s="43">
        <f t="shared" si="2"/>
        <v>1.25</v>
      </c>
      <c r="J8" s="43"/>
      <c r="K8" s="44">
        <f t="shared" si="3"/>
        <v>1.1599999999999999</v>
      </c>
    </row>
    <row r="9" spans="1:11" ht="38.25" customHeight="1">
      <c r="A9" s="46" t="s">
        <v>2492</v>
      </c>
      <c r="B9" s="133" t="s">
        <v>2493</v>
      </c>
      <c r="C9" s="134" t="s">
        <v>1967</v>
      </c>
      <c r="D9" s="49"/>
      <c r="E9" s="49"/>
      <c r="F9" s="49">
        <f t="shared" si="0"/>
        <v>4567500</v>
      </c>
      <c r="G9" s="49">
        <v>3150000</v>
      </c>
      <c r="H9" s="49">
        <f t="shared" si="1"/>
        <v>3937500</v>
      </c>
      <c r="I9" s="49">
        <f t="shared" si="2"/>
        <v>1.25</v>
      </c>
      <c r="J9" s="49"/>
      <c r="K9" s="50">
        <f t="shared" si="3"/>
        <v>1.1599999999999999</v>
      </c>
    </row>
    <row r="10" spans="1:11" ht="38.25" customHeight="1">
      <c r="A10" s="40" t="s">
        <v>2494</v>
      </c>
      <c r="B10" s="131" t="s">
        <v>2495</v>
      </c>
      <c r="C10" s="132" t="s">
        <v>1967</v>
      </c>
      <c r="D10" s="43"/>
      <c r="E10" s="43"/>
      <c r="F10" s="43">
        <f t="shared" si="0"/>
        <v>812000</v>
      </c>
      <c r="G10" s="43">
        <v>560000</v>
      </c>
      <c r="H10" s="43">
        <f t="shared" si="1"/>
        <v>700000</v>
      </c>
      <c r="I10" s="43">
        <f t="shared" si="2"/>
        <v>1.25</v>
      </c>
      <c r="J10" s="43"/>
      <c r="K10" s="44">
        <f t="shared" si="3"/>
        <v>1.1599999999999999</v>
      </c>
    </row>
    <row r="11" spans="1:11" ht="51" customHeight="1">
      <c r="A11" s="46" t="s">
        <v>2496</v>
      </c>
      <c r="B11" s="133" t="s">
        <v>2497</v>
      </c>
      <c r="C11" s="134" t="s">
        <v>1967</v>
      </c>
      <c r="D11" s="49"/>
      <c r="E11" s="49"/>
      <c r="F11" s="49">
        <f t="shared" si="0"/>
        <v>1014999.9999999999</v>
      </c>
      <c r="G11" s="49">
        <v>700000</v>
      </c>
      <c r="H11" s="49">
        <f t="shared" si="1"/>
        <v>875000</v>
      </c>
      <c r="I11" s="49">
        <f t="shared" si="2"/>
        <v>1.25</v>
      </c>
      <c r="J11" s="49"/>
      <c r="K11" s="50">
        <f t="shared" si="3"/>
        <v>1.1599999999999999</v>
      </c>
    </row>
    <row r="12" spans="1:11" ht="51" customHeight="1">
      <c r="A12" s="40" t="s">
        <v>2498</v>
      </c>
      <c r="B12" s="131" t="s">
        <v>2499</v>
      </c>
      <c r="C12" s="132" t="s">
        <v>1967</v>
      </c>
      <c r="D12" s="43"/>
      <c r="E12" s="43"/>
      <c r="F12" s="43">
        <f t="shared" si="0"/>
        <v>1218000</v>
      </c>
      <c r="G12" s="43">
        <v>840000</v>
      </c>
      <c r="H12" s="43">
        <f t="shared" si="1"/>
        <v>1050000</v>
      </c>
      <c r="I12" s="43">
        <f t="shared" si="2"/>
        <v>1.25</v>
      </c>
      <c r="J12" s="43"/>
      <c r="K12" s="44">
        <f t="shared" si="3"/>
        <v>1.1599999999999999</v>
      </c>
    </row>
    <row r="13" spans="1:11" ht="51" customHeight="1">
      <c r="A13" s="46" t="s">
        <v>2500</v>
      </c>
      <c r="B13" s="133" t="s">
        <v>2501</v>
      </c>
      <c r="C13" s="134" t="s">
        <v>1967</v>
      </c>
      <c r="D13" s="49"/>
      <c r="E13" s="49"/>
      <c r="F13" s="49">
        <f t="shared" si="0"/>
        <v>1421000</v>
      </c>
      <c r="G13" s="49">
        <v>980000</v>
      </c>
      <c r="H13" s="49">
        <f t="shared" si="1"/>
        <v>1225000</v>
      </c>
      <c r="I13" s="49">
        <f t="shared" si="2"/>
        <v>1.25</v>
      </c>
      <c r="J13" s="49"/>
      <c r="K13" s="50">
        <f t="shared" si="3"/>
        <v>1.1599999999999999</v>
      </c>
    </row>
    <row r="14" spans="1:11" ht="51" customHeight="1">
      <c r="A14" s="40" t="s">
        <v>2502</v>
      </c>
      <c r="B14" s="131" t="s">
        <v>2503</v>
      </c>
      <c r="C14" s="132" t="s">
        <v>1967</v>
      </c>
      <c r="D14" s="43"/>
      <c r="E14" s="43"/>
      <c r="F14" s="43">
        <f t="shared" si="0"/>
        <v>1624000</v>
      </c>
      <c r="G14" s="43">
        <v>1120000</v>
      </c>
      <c r="H14" s="43">
        <f t="shared" si="1"/>
        <v>1400000</v>
      </c>
      <c r="I14" s="43">
        <f t="shared" si="2"/>
        <v>1.25</v>
      </c>
      <c r="J14" s="43"/>
      <c r="K14" s="44">
        <f t="shared" si="3"/>
        <v>1.1599999999999999</v>
      </c>
    </row>
    <row r="15" spans="1:11" ht="38.25" customHeight="1">
      <c r="A15" s="46" t="s">
        <v>2504</v>
      </c>
      <c r="B15" s="133" t="s">
        <v>2505</v>
      </c>
      <c r="C15" s="134" t="s">
        <v>1967</v>
      </c>
      <c r="D15" s="49"/>
      <c r="E15" s="49"/>
      <c r="F15" s="49">
        <f t="shared" si="0"/>
        <v>1826999.9999999998</v>
      </c>
      <c r="G15" s="49">
        <v>1260000</v>
      </c>
      <c r="H15" s="49">
        <f t="shared" si="1"/>
        <v>1575000</v>
      </c>
      <c r="I15" s="49">
        <f t="shared" si="2"/>
        <v>1.25</v>
      </c>
      <c r="J15" s="49"/>
      <c r="K15" s="50">
        <f t="shared" si="3"/>
        <v>1.1599999999999999</v>
      </c>
    </row>
    <row r="16" spans="1:11" ht="38.25" customHeight="1">
      <c r="A16" s="40" t="s">
        <v>2506</v>
      </c>
      <c r="B16" s="131" t="s">
        <v>2507</v>
      </c>
      <c r="C16" s="132" t="s">
        <v>1967</v>
      </c>
      <c r="D16" s="43"/>
      <c r="E16" s="43"/>
      <c r="F16" s="43">
        <f t="shared" si="0"/>
        <v>1218000</v>
      </c>
      <c r="G16" s="43">
        <v>840000</v>
      </c>
      <c r="H16" s="43">
        <f t="shared" si="1"/>
        <v>1050000</v>
      </c>
      <c r="I16" s="43">
        <f t="shared" si="2"/>
        <v>1.25</v>
      </c>
      <c r="J16" s="43"/>
      <c r="K16" s="44">
        <f t="shared" si="3"/>
        <v>1.1599999999999999</v>
      </c>
    </row>
    <row r="17" spans="1:11" ht="38.25" customHeight="1">
      <c r="A17" s="46" t="s">
        <v>2508</v>
      </c>
      <c r="B17" s="133" t="s">
        <v>2509</v>
      </c>
      <c r="C17" s="134" t="s">
        <v>1967</v>
      </c>
      <c r="D17" s="49"/>
      <c r="E17" s="49"/>
      <c r="F17" s="49">
        <f t="shared" si="0"/>
        <v>1522500</v>
      </c>
      <c r="G17" s="49">
        <v>1050000</v>
      </c>
      <c r="H17" s="49">
        <f t="shared" si="1"/>
        <v>1312500</v>
      </c>
      <c r="I17" s="49">
        <f t="shared" si="2"/>
        <v>1.25</v>
      </c>
      <c r="J17" s="49"/>
      <c r="K17" s="50">
        <f t="shared" si="3"/>
        <v>1.1599999999999999</v>
      </c>
    </row>
    <row r="18" spans="1:11" ht="38.25" customHeight="1">
      <c r="A18" s="40" t="s">
        <v>2510</v>
      </c>
      <c r="B18" s="131" t="s">
        <v>2511</v>
      </c>
      <c r="C18" s="132" t="s">
        <v>1967</v>
      </c>
      <c r="D18" s="43"/>
      <c r="E18" s="43"/>
      <c r="F18" s="43">
        <f t="shared" si="0"/>
        <v>1725499.9999999998</v>
      </c>
      <c r="G18" s="43">
        <v>1190000</v>
      </c>
      <c r="H18" s="43">
        <f t="shared" si="1"/>
        <v>1487500</v>
      </c>
      <c r="I18" s="43">
        <f t="shared" si="2"/>
        <v>1.25</v>
      </c>
      <c r="J18" s="43"/>
      <c r="K18" s="44">
        <f t="shared" si="3"/>
        <v>1.1599999999999999</v>
      </c>
    </row>
    <row r="19" spans="1:11" ht="38.25" customHeight="1">
      <c r="A19" s="46" t="s">
        <v>2512</v>
      </c>
      <c r="B19" s="133" t="s">
        <v>2513</v>
      </c>
      <c r="C19" s="134" t="s">
        <v>1967</v>
      </c>
      <c r="D19" s="49"/>
      <c r="E19" s="49"/>
      <c r="F19" s="49">
        <f t="shared" si="0"/>
        <v>2029999.9999999998</v>
      </c>
      <c r="G19" s="49">
        <v>1400000</v>
      </c>
      <c r="H19" s="49">
        <f t="shared" si="1"/>
        <v>1750000</v>
      </c>
      <c r="I19" s="49">
        <f t="shared" si="2"/>
        <v>1.25</v>
      </c>
      <c r="J19" s="49"/>
      <c r="K19" s="50">
        <f t="shared" si="3"/>
        <v>1.1599999999999999</v>
      </c>
    </row>
    <row r="20" spans="1:11" ht="38.25" customHeight="1">
      <c r="A20" s="40" t="s">
        <v>2514</v>
      </c>
      <c r="B20" s="131" t="s">
        <v>2515</v>
      </c>
      <c r="C20" s="132" t="s">
        <v>1967</v>
      </c>
      <c r="D20" s="43"/>
      <c r="E20" s="43"/>
      <c r="F20" s="43">
        <f t="shared" si="0"/>
        <v>2517200</v>
      </c>
      <c r="G20" s="43">
        <v>1736000</v>
      </c>
      <c r="H20" s="43">
        <f t="shared" si="1"/>
        <v>2170000</v>
      </c>
      <c r="I20" s="43">
        <f t="shared" si="2"/>
        <v>1.25</v>
      </c>
      <c r="J20" s="43"/>
      <c r="K20" s="44">
        <f t="shared" si="3"/>
        <v>1.1599999999999999</v>
      </c>
    </row>
    <row r="21" spans="1:11" ht="38.25" customHeight="1">
      <c r="A21" s="46" t="s">
        <v>2516</v>
      </c>
      <c r="B21" s="133" t="s">
        <v>2517</v>
      </c>
      <c r="C21" s="134" t="s">
        <v>1967</v>
      </c>
      <c r="D21" s="49"/>
      <c r="E21" s="49"/>
      <c r="F21" s="49">
        <f t="shared" si="0"/>
        <v>3897599.9999999995</v>
      </c>
      <c r="G21" s="49">
        <v>2688000</v>
      </c>
      <c r="H21" s="49">
        <f t="shared" si="1"/>
        <v>3360000</v>
      </c>
      <c r="I21" s="49">
        <f t="shared" si="2"/>
        <v>1.25</v>
      </c>
      <c r="J21" s="49"/>
      <c r="K21" s="50">
        <f t="shared" si="3"/>
        <v>1.1599999999999999</v>
      </c>
    </row>
    <row r="22" spans="1:11" ht="38.25" customHeight="1">
      <c r="A22" s="40" t="s">
        <v>2518</v>
      </c>
      <c r="B22" s="131" t="s">
        <v>2519</v>
      </c>
      <c r="C22" s="132" t="s">
        <v>1967</v>
      </c>
      <c r="D22" s="43"/>
      <c r="E22" s="43"/>
      <c r="F22" s="43">
        <f t="shared" si="0"/>
        <v>5075000</v>
      </c>
      <c r="G22" s="43">
        <v>3500000</v>
      </c>
      <c r="H22" s="43">
        <f t="shared" si="1"/>
        <v>4375000</v>
      </c>
      <c r="I22" s="43">
        <f t="shared" si="2"/>
        <v>1.25</v>
      </c>
      <c r="J22" s="43"/>
      <c r="K22" s="44">
        <f t="shared" si="3"/>
        <v>1.1599999999999999</v>
      </c>
    </row>
    <row r="23" spans="1:11" ht="63.75" customHeight="1">
      <c r="A23" s="46" t="s">
        <v>2520</v>
      </c>
      <c r="B23" s="133" t="s">
        <v>2521</v>
      </c>
      <c r="C23" s="134" t="s">
        <v>1967</v>
      </c>
      <c r="D23" s="49"/>
      <c r="E23" s="49"/>
      <c r="F23" s="49">
        <f t="shared" si="0"/>
        <v>7104999.9999999991</v>
      </c>
      <c r="G23" s="49">
        <v>4900000</v>
      </c>
      <c r="H23" s="49">
        <f t="shared" si="1"/>
        <v>6125000</v>
      </c>
      <c r="I23" s="49">
        <f t="shared" si="2"/>
        <v>1.25</v>
      </c>
      <c r="J23" s="49"/>
      <c r="K23" s="50">
        <f t="shared" si="3"/>
        <v>1.1599999999999999</v>
      </c>
    </row>
    <row r="24" spans="1:11" ht="51" customHeight="1">
      <c r="A24" s="40" t="s">
        <v>2522</v>
      </c>
      <c r="B24" s="131" t="s">
        <v>2523</v>
      </c>
      <c r="C24" s="132" t="s">
        <v>1967</v>
      </c>
      <c r="D24" s="43"/>
      <c r="E24" s="43"/>
      <c r="F24" s="43">
        <f t="shared" ref="F24:F58" si="4">H24*1.108</f>
        <v>1163400</v>
      </c>
      <c r="G24" s="43">
        <v>840000</v>
      </c>
      <c r="H24" s="43">
        <f t="shared" si="1"/>
        <v>1050000</v>
      </c>
      <c r="I24" s="43">
        <f t="shared" si="2"/>
        <v>1.25</v>
      </c>
      <c r="J24" s="43"/>
      <c r="K24" s="44">
        <f t="shared" si="3"/>
        <v>1.1080000000000001</v>
      </c>
    </row>
    <row r="25" spans="1:11" ht="51" customHeight="1">
      <c r="A25" s="46" t="s">
        <v>2524</v>
      </c>
      <c r="B25" s="133" t="s">
        <v>2525</v>
      </c>
      <c r="C25" s="134" t="s">
        <v>1967</v>
      </c>
      <c r="D25" s="49"/>
      <c r="E25" s="49"/>
      <c r="F25" s="49">
        <f t="shared" si="4"/>
        <v>1357300.0000000002</v>
      </c>
      <c r="G25" s="49">
        <v>980000</v>
      </c>
      <c r="H25" s="49">
        <f t="shared" si="1"/>
        <v>1225000</v>
      </c>
      <c r="I25" s="49">
        <f t="shared" si="2"/>
        <v>1.25</v>
      </c>
      <c r="J25" s="49"/>
      <c r="K25" s="50">
        <f t="shared" si="3"/>
        <v>1.1080000000000001</v>
      </c>
    </row>
    <row r="26" spans="1:11" ht="51" customHeight="1">
      <c r="A26" s="40" t="s">
        <v>2526</v>
      </c>
      <c r="B26" s="131" t="s">
        <v>2527</v>
      </c>
      <c r="C26" s="132" t="s">
        <v>1967</v>
      </c>
      <c r="D26" s="43"/>
      <c r="E26" s="43"/>
      <c r="F26" s="43">
        <f t="shared" si="4"/>
        <v>1551200.0000000002</v>
      </c>
      <c r="G26" s="43">
        <v>1120000</v>
      </c>
      <c r="H26" s="43">
        <f t="shared" si="1"/>
        <v>1400000</v>
      </c>
      <c r="I26" s="43">
        <f t="shared" si="2"/>
        <v>1.25</v>
      </c>
      <c r="J26" s="43"/>
      <c r="K26" s="44">
        <f t="shared" si="3"/>
        <v>1.1080000000000001</v>
      </c>
    </row>
    <row r="27" spans="1:11" ht="38.25" customHeight="1">
      <c r="A27" s="46" t="s">
        <v>2528</v>
      </c>
      <c r="B27" s="133" t="s">
        <v>2529</v>
      </c>
      <c r="C27" s="134" t="s">
        <v>1967</v>
      </c>
      <c r="D27" s="49"/>
      <c r="E27" s="49"/>
      <c r="F27" s="49">
        <f t="shared" si="4"/>
        <v>1939000.0000000002</v>
      </c>
      <c r="G27" s="49">
        <v>1400000</v>
      </c>
      <c r="H27" s="49">
        <f t="shared" si="1"/>
        <v>1750000</v>
      </c>
      <c r="I27" s="49">
        <f t="shared" si="2"/>
        <v>1.25</v>
      </c>
      <c r="J27" s="49"/>
      <c r="K27" s="50">
        <f t="shared" si="3"/>
        <v>1.1080000000000001</v>
      </c>
    </row>
    <row r="28" spans="1:11" ht="38.25" customHeight="1">
      <c r="A28" s="40" t="s">
        <v>2530</v>
      </c>
      <c r="B28" s="131" t="s">
        <v>2531</v>
      </c>
      <c r="C28" s="132" t="s">
        <v>1967</v>
      </c>
      <c r="D28" s="43"/>
      <c r="E28" s="43"/>
      <c r="F28" s="43">
        <f t="shared" si="4"/>
        <v>2908500.0000000005</v>
      </c>
      <c r="G28" s="43">
        <v>2100000</v>
      </c>
      <c r="H28" s="43">
        <f t="shared" si="1"/>
        <v>2625000</v>
      </c>
      <c r="I28" s="43">
        <f t="shared" si="2"/>
        <v>1.25</v>
      </c>
      <c r="J28" s="43"/>
      <c r="K28" s="44">
        <f t="shared" si="3"/>
        <v>1.1080000000000001</v>
      </c>
    </row>
    <row r="29" spans="1:11" ht="38.25" customHeight="1">
      <c r="A29" s="46" t="s">
        <v>2532</v>
      </c>
      <c r="B29" s="133" t="s">
        <v>2533</v>
      </c>
      <c r="C29" s="134" t="s">
        <v>1967</v>
      </c>
      <c r="D29" s="49"/>
      <c r="E29" s="49"/>
      <c r="F29" s="49">
        <f t="shared" si="4"/>
        <v>4071900.0000000005</v>
      </c>
      <c r="G29" s="49">
        <v>2940000</v>
      </c>
      <c r="H29" s="49">
        <f t="shared" si="1"/>
        <v>3675000</v>
      </c>
      <c r="I29" s="49">
        <f t="shared" si="2"/>
        <v>1.25</v>
      </c>
      <c r="J29" s="49"/>
      <c r="K29" s="50">
        <f t="shared" si="3"/>
        <v>1.1080000000000001</v>
      </c>
    </row>
    <row r="30" spans="1:11" ht="38.25" customHeight="1">
      <c r="A30" s="40" t="s">
        <v>2534</v>
      </c>
      <c r="B30" s="131" t="s">
        <v>2535</v>
      </c>
      <c r="C30" s="132" t="s">
        <v>1967</v>
      </c>
      <c r="D30" s="43"/>
      <c r="E30" s="43"/>
      <c r="F30" s="43">
        <f t="shared" si="4"/>
        <v>5429200.0000000009</v>
      </c>
      <c r="G30" s="43">
        <v>3920000</v>
      </c>
      <c r="H30" s="43">
        <f t="shared" si="1"/>
        <v>4900000</v>
      </c>
      <c r="I30" s="43">
        <f t="shared" si="2"/>
        <v>1.25</v>
      </c>
      <c r="J30" s="43"/>
      <c r="K30" s="44">
        <f t="shared" si="3"/>
        <v>1.1080000000000001</v>
      </c>
    </row>
    <row r="31" spans="1:11" ht="51" customHeight="1">
      <c r="A31" s="46" t="s">
        <v>2536</v>
      </c>
      <c r="B31" s="133" t="s">
        <v>2537</v>
      </c>
      <c r="C31" s="134" t="s">
        <v>1967</v>
      </c>
      <c r="D31" s="49"/>
      <c r="E31" s="49"/>
      <c r="F31" s="49">
        <f t="shared" si="4"/>
        <v>6786500.0000000009</v>
      </c>
      <c r="G31" s="49">
        <v>4900000</v>
      </c>
      <c r="H31" s="49">
        <f t="shared" si="1"/>
        <v>6125000</v>
      </c>
      <c r="I31" s="49">
        <f t="shared" si="2"/>
        <v>1.25</v>
      </c>
      <c r="J31" s="49"/>
      <c r="K31" s="50">
        <f t="shared" si="3"/>
        <v>1.1080000000000001</v>
      </c>
    </row>
    <row r="32" spans="1:11" ht="51" customHeight="1">
      <c r="A32" s="40" t="s">
        <v>2538</v>
      </c>
      <c r="B32" s="131" t="s">
        <v>2539</v>
      </c>
      <c r="C32" s="132" t="s">
        <v>1967</v>
      </c>
      <c r="D32" s="43"/>
      <c r="E32" s="43"/>
      <c r="F32" s="43">
        <f t="shared" si="4"/>
        <v>1939000.0000000002</v>
      </c>
      <c r="G32" s="43">
        <v>1400000</v>
      </c>
      <c r="H32" s="43">
        <f t="shared" si="1"/>
        <v>1750000</v>
      </c>
      <c r="I32" s="43">
        <f t="shared" si="2"/>
        <v>1.25</v>
      </c>
      <c r="J32" s="43"/>
      <c r="K32" s="44">
        <f t="shared" si="3"/>
        <v>1.1080000000000001</v>
      </c>
    </row>
    <row r="33" spans="1:11" ht="51" customHeight="1">
      <c r="A33" s="46" t="s">
        <v>2540</v>
      </c>
      <c r="B33" s="133" t="s">
        <v>2541</v>
      </c>
      <c r="C33" s="134" t="s">
        <v>1967</v>
      </c>
      <c r="D33" s="49"/>
      <c r="E33" s="49"/>
      <c r="F33" s="49">
        <f t="shared" si="4"/>
        <v>2908500.0000000005</v>
      </c>
      <c r="G33" s="49">
        <v>2100000</v>
      </c>
      <c r="H33" s="49">
        <f t="shared" si="1"/>
        <v>2625000</v>
      </c>
      <c r="I33" s="49">
        <f t="shared" si="2"/>
        <v>1.25</v>
      </c>
      <c r="J33" s="49"/>
      <c r="K33" s="50">
        <f t="shared" si="3"/>
        <v>1.1080000000000001</v>
      </c>
    </row>
    <row r="34" spans="1:11" ht="51" customHeight="1">
      <c r="A34" s="40" t="s">
        <v>2542</v>
      </c>
      <c r="B34" s="131" t="s">
        <v>2543</v>
      </c>
      <c r="C34" s="132" t="s">
        <v>1967</v>
      </c>
      <c r="D34" s="43"/>
      <c r="E34" s="43"/>
      <c r="F34" s="43">
        <f t="shared" si="4"/>
        <v>3878000.0000000005</v>
      </c>
      <c r="G34" s="43">
        <v>2800000</v>
      </c>
      <c r="H34" s="43">
        <f t="shared" ref="H34:H65" si="5">G34*1.25</f>
        <v>3500000</v>
      </c>
      <c r="I34" s="43">
        <f t="shared" ref="I34:I65" si="6">H34/G34</f>
        <v>1.25</v>
      </c>
      <c r="J34" s="43"/>
      <c r="K34" s="44">
        <f t="shared" ref="K34:K66" si="7">F34/H34</f>
        <v>1.1080000000000001</v>
      </c>
    </row>
    <row r="35" spans="1:11" ht="51" customHeight="1">
      <c r="A35" s="46" t="s">
        <v>2544</v>
      </c>
      <c r="B35" s="133" t="s">
        <v>2545</v>
      </c>
      <c r="C35" s="134" t="s">
        <v>1967</v>
      </c>
      <c r="D35" s="49"/>
      <c r="E35" s="49"/>
      <c r="F35" s="49">
        <f t="shared" si="4"/>
        <v>4847500</v>
      </c>
      <c r="G35" s="49">
        <v>3500000</v>
      </c>
      <c r="H35" s="49">
        <f t="shared" si="5"/>
        <v>4375000</v>
      </c>
      <c r="I35" s="49">
        <f t="shared" si="6"/>
        <v>1.25</v>
      </c>
      <c r="J35" s="49"/>
      <c r="K35" s="50">
        <f t="shared" si="7"/>
        <v>1.1080000000000001</v>
      </c>
    </row>
    <row r="36" spans="1:11" ht="51" customHeight="1">
      <c r="A36" s="40" t="s">
        <v>2546</v>
      </c>
      <c r="B36" s="131" t="s">
        <v>2547</v>
      </c>
      <c r="C36" s="132" t="s">
        <v>1967</v>
      </c>
      <c r="D36" s="43"/>
      <c r="E36" s="43"/>
      <c r="F36" s="43">
        <f t="shared" si="4"/>
        <v>6786500.0000000009</v>
      </c>
      <c r="G36" s="43">
        <v>4900000</v>
      </c>
      <c r="H36" s="43">
        <f t="shared" si="5"/>
        <v>6125000</v>
      </c>
      <c r="I36" s="43">
        <f t="shared" si="6"/>
        <v>1.25</v>
      </c>
      <c r="J36" s="43"/>
      <c r="K36" s="44">
        <f t="shared" si="7"/>
        <v>1.1080000000000001</v>
      </c>
    </row>
    <row r="37" spans="1:11" ht="51" customHeight="1">
      <c r="A37" s="46" t="s">
        <v>2548</v>
      </c>
      <c r="B37" s="133" t="s">
        <v>2549</v>
      </c>
      <c r="C37" s="134" t="s">
        <v>1967</v>
      </c>
      <c r="D37" s="49"/>
      <c r="E37" s="49"/>
      <c r="F37" s="49">
        <f t="shared" si="4"/>
        <v>9695000</v>
      </c>
      <c r="G37" s="49">
        <v>7000000</v>
      </c>
      <c r="H37" s="49">
        <f t="shared" si="5"/>
        <v>8750000</v>
      </c>
      <c r="I37" s="49">
        <f t="shared" si="6"/>
        <v>1.25</v>
      </c>
      <c r="J37" s="49"/>
      <c r="K37" s="50">
        <f t="shared" si="7"/>
        <v>1.1080000000000001</v>
      </c>
    </row>
    <row r="38" spans="1:11" ht="51" customHeight="1">
      <c r="A38" s="40" t="s">
        <v>2550</v>
      </c>
      <c r="B38" s="131" t="s">
        <v>2551</v>
      </c>
      <c r="C38" s="132" t="s">
        <v>1967</v>
      </c>
      <c r="D38" s="43"/>
      <c r="E38" s="43"/>
      <c r="F38" s="43">
        <f t="shared" si="4"/>
        <v>1163400</v>
      </c>
      <c r="G38" s="43">
        <v>840000</v>
      </c>
      <c r="H38" s="43">
        <f t="shared" si="5"/>
        <v>1050000</v>
      </c>
      <c r="I38" s="43">
        <f t="shared" si="6"/>
        <v>1.25</v>
      </c>
      <c r="J38" s="43"/>
      <c r="K38" s="44">
        <f t="shared" si="7"/>
        <v>1.1080000000000001</v>
      </c>
    </row>
    <row r="39" spans="1:11" ht="38.25" customHeight="1">
      <c r="A39" s="46" t="s">
        <v>2552</v>
      </c>
      <c r="B39" s="133" t="s">
        <v>2553</v>
      </c>
      <c r="C39" s="134" t="s">
        <v>1967</v>
      </c>
      <c r="D39" s="49"/>
      <c r="E39" s="49"/>
      <c r="F39" s="49">
        <f t="shared" si="4"/>
        <v>1551200.0000000002</v>
      </c>
      <c r="G39" s="49">
        <v>1120000</v>
      </c>
      <c r="H39" s="49">
        <f t="shared" si="5"/>
        <v>1400000</v>
      </c>
      <c r="I39" s="49">
        <f t="shared" si="6"/>
        <v>1.25</v>
      </c>
      <c r="J39" s="49"/>
      <c r="K39" s="50">
        <f t="shared" si="7"/>
        <v>1.1080000000000001</v>
      </c>
    </row>
    <row r="40" spans="1:11" ht="38.25" customHeight="1">
      <c r="A40" s="40" t="s">
        <v>2554</v>
      </c>
      <c r="B40" s="131" t="s">
        <v>2555</v>
      </c>
      <c r="C40" s="132" t="s">
        <v>1967</v>
      </c>
      <c r="D40" s="43"/>
      <c r="E40" s="43"/>
      <c r="F40" s="43">
        <f t="shared" si="4"/>
        <v>1939000.0000000002</v>
      </c>
      <c r="G40" s="43">
        <v>1400000</v>
      </c>
      <c r="H40" s="43">
        <f t="shared" si="5"/>
        <v>1750000</v>
      </c>
      <c r="I40" s="43">
        <f t="shared" si="6"/>
        <v>1.25</v>
      </c>
      <c r="J40" s="43"/>
      <c r="K40" s="44">
        <f t="shared" si="7"/>
        <v>1.1080000000000001</v>
      </c>
    </row>
    <row r="41" spans="1:11" ht="38.25" customHeight="1">
      <c r="A41" s="46" t="s">
        <v>2556</v>
      </c>
      <c r="B41" s="133" t="s">
        <v>2557</v>
      </c>
      <c r="C41" s="134" t="s">
        <v>1967</v>
      </c>
      <c r="D41" s="49"/>
      <c r="E41" s="49"/>
      <c r="F41" s="49">
        <f t="shared" si="4"/>
        <v>2520700</v>
      </c>
      <c r="G41" s="49">
        <v>1820000</v>
      </c>
      <c r="H41" s="49">
        <f t="shared" si="5"/>
        <v>2275000</v>
      </c>
      <c r="I41" s="49">
        <f t="shared" si="6"/>
        <v>1.25</v>
      </c>
      <c r="J41" s="49"/>
      <c r="K41" s="50">
        <f t="shared" si="7"/>
        <v>1.1080000000000001</v>
      </c>
    </row>
    <row r="42" spans="1:11" ht="51" customHeight="1">
      <c r="A42" s="40" t="s">
        <v>2558</v>
      </c>
      <c r="B42" s="131" t="s">
        <v>2559</v>
      </c>
      <c r="C42" s="132" t="s">
        <v>1967</v>
      </c>
      <c r="D42" s="43"/>
      <c r="E42" s="43"/>
      <c r="F42" s="43">
        <f t="shared" si="4"/>
        <v>3102400.0000000005</v>
      </c>
      <c r="G42" s="43">
        <v>2240000</v>
      </c>
      <c r="H42" s="43">
        <f t="shared" si="5"/>
        <v>2800000</v>
      </c>
      <c r="I42" s="43">
        <f t="shared" si="6"/>
        <v>1.25</v>
      </c>
      <c r="J42" s="43"/>
      <c r="K42" s="44">
        <f t="shared" si="7"/>
        <v>1.1080000000000001</v>
      </c>
    </row>
    <row r="43" spans="1:11" ht="51" customHeight="1">
      <c r="A43" s="46" t="s">
        <v>2560</v>
      </c>
      <c r="B43" s="133" t="s">
        <v>2561</v>
      </c>
      <c r="C43" s="134" t="s">
        <v>1967</v>
      </c>
      <c r="D43" s="49"/>
      <c r="E43" s="49"/>
      <c r="F43" s="49">
        <f t="shared" si="4"/>
        <v>3878000.0000000005</v>
      </c>
      <c r="G43" s="49">
        <v>2800000</v>
      </c>
      <c r="H43" s="49">
        <f t="shared" si="5"/>
        <v>3500000</v>
      </c>
      <c r="I43" s="49">
        <f t="shared" si="6"/>
        <v>1.25</v>
      </c>
      <c r="J43" s="49"/>
      <c r="K43" s="50">
        <f t="shared" si="7"/>
        <v>1.1080000000000001</v>
      </c>
    </row>
    <row r="44" spans="1:11" ht="51" customHeight="1">
      <c r="A44" s="40" t="s">
        <v>2562</v>
      </c>
      <c r="B44" s="131" t="s">
        <v>2563</v>
      </c>
      <c r="C44" s="132" t="s">
        <v>1967</v>
      </c>
      <c r="D44" s="43"/>
      <c r="E44" s="43"/>
      <c r="F44" s="43">
        <f t="shared" si="4"/>
        <v>5817000.0000000009</v>
      </c>
      <c r="G44" s="43">
        <v>4200000</v>
      </c>
      <c r="H44" s="43">
        <f t="shared" si="5"/>
        <v>5250000</v>
      </c>
      <c r="I44" s="43">
        <f t="shared" si="6"/>
        <v>1.25</v>
      </c>
      <c r="J44" s="43"/>
      <c r="K44" s="44">
        <f t="shared" si="7"/>
        <v>1.1080000000000001</v>
      </c>
    </row>
    <row r="45" spans="1:11" ht="51" customHeight="1">
      <c r="A45" s="46" t="s">
        <v>2564</v>
      </c>
      <c r="B45" s="133" t="s">
        <v>2565</v>
      </c>
      <c r="C45" s="134" t="s">
        <v>1967</v>
      </c>
      <c r="D45" s="49"/>
      <c r="E45" s="49"/>
      <c r="F45" s="49">
        <f t="shared" si="4"/>
        <v>7756000.0000000009</v>
      </c>
      <c r="G45" s="49">
        <v>5600000</v>
      </c>
      <c r="H45" s="49">
        <f t="shared" si="5"/>
        <v>7000000</v>
      </c>
      <c r="I45" s="49">
        <f t="shared" si="6"/>
        <v>1.25</v>
      </c>
      <c r="J45" s="49"/>
      <c r="K45" s="50">
        <f t="shared" si="7"/>
        <v>1.1080000000000001</v>
      </c>
    </row>
    <row r="46" spans="1:11" ht="51" customHeight="1">
      <c r="A46" s="40" t="s">
        <v>2566</v>
      </c>
      <c r="B46" s="131" t="s">
        <v>2567</v>
      </c>
      <c r="C46" s="132" t="s">
        <v>1967</v>
      </c>
      <c r="D46" s="43"/>
      <c r="E46" s="43"/>
      <c r="F46" s="43">
        <f t="shared" si="4"/>
        <v>95980500.000000015</v>
      </c>
      <c r="G46" s="43">
        <v>69300000</v>
      </c>
      <c r="H46" s="43">
        <f t="shared" si="5"/>
        <v>86625000</v>
      </c>
      <c r="I46" s="43">
        <f t="shared" si="6"/>
        <v>1.25</v>
      </c>
      <c r="J46" s="43"/>
      <c r="K46" s="44">
        <f t="shared" si="7"/>
        <v>1.1080000000000001</v>
      </c>
    </row>
    <row r="47" spans="1:11" ht="51" customHeight="1">
      <c r="A47" s="46" t="s">
        <v>2568</v>
      </c>
      <c r="B47" s="133" t="s">
        <v>2569</v>
      </c>
      <c r="C47" s="134" t="s">
        <v>1967</v>
      </c>
      <c r="D47" s="49"/>
      <c r="E47" s="49"/>
      <c r="F47" s="49">
        <f t="shared" si="4"/>
        <v>117309500.00000001</v>
      </c>
      <c r="G47" s="49">
        <v>84700000</v>
      </c>
      <c r="H47" s="49">
        <f t="shared" si="5"/>
        <v>105875000</v>
      </c>
      <c r="I47" s="49">
        <f t="shared" si="6"/>
        <v>1.25</v>
      </c>
      <c r="J47" s="49"/>
      <c r="K47" s="50">
        <f t="shared" si="7"/>
        <v>1.1080000000000001</v>
      </c>
    </row>
    <row r="48" spans="1:11" ht="51" customHeight="1">
      <c r="A48" s="40" t="s">
        <v>2570</v>
      </c>
      <c r="B48" s="131" t="s">
        <v>2571</v>
      </c>
      <c r="C48" s="132" t="s">
        <v>1967</v>
      </c>
      <c r="D48" s="43"/>
      <c r="E48" s="43"/>
      <c r="F48" s="43">
        <f t="shared" si="4"/>
        <v>138638500</v>
      </c>
      <c r="G48" s="43">
        <v>100100000</v>
      </c>
      <c r="H48" s="43">
        <f t="shared" si="5"/>
        <v>125125000</v>
      </c>
      <c r="I48" s="43">
        <f t="shared" si="6"/>
        <v>1.25</v>
      </c>
      <c r="J48" s="43"/>
      <c r="K48" s="44">
        <f t="shared" si="7"/>
        <v>1.1080000000000001</v>
      </c>
    </row>
    <row r="49" spans="1:11" ht="51" customHeight="1">
      <c r="A49" s="46" t="s">
        <v>2572</v>
      </c>
      <c r="B49" s="133" t="s">
        <v>2573</v>
      </c>
      <c r="C49" s="134" t="s">
        <v>1967</v>
      </c>
      <c r="D49" s="49"/>
      <c r="E49" s="49"/>
      <c r="F49" s="49">
        <f t="shared" si="4"/>
        <v>159967500</v>
      </c>
      <c r="G49" s="49">
        <v>115500000</v>
      </c>
      <c r="H49" s="49">
        <f t="shared" si="5"/>
        <v>144375000</v>
      </c>
      <c r="I49" s="49">
        <f t="shared" si="6"/>
        <v>1.25</v>
      </c>
      <c r="J49" s="49"/>
      <c r="K49" s="50">
        <f t="shared" si="7"/>
        <v>1.1080000000000001</v>
      </c>
    </row>
    <row r="50" spans="1:11" ht="51" customHeight="1">
      <c r="A50" s="40" t="s">
        <v>2574</v>
      </c>
      <c r="B50" s="131" t="s">
        <v>2575</v>
      </c>
      <c r="C50" s="132" t="s">
        <v>1967</v>
      </c>
      <c r="D50" s="43"/>
      <c r="E50" s="43"/>
      <c r="F50" s="43">
        <f t="shared" si="4"/>
        <v>181296500.00000003</v>
      </c>
      <c r="G50" s="43">
        <v>130900000</v>
      </c>
      <c r="H50" s="43">
        <f t="shared" si="5"/>
        <v>163625000</v>
      </c>
      <c r="I50" s="43">
        <f t="shared" si="6"/>
        <v>1.25</v>
      </c>
      <c r="J50" s="43"/>
      <c r="K50" s="44">
        <f t="shared" si="7"/>
        <v>1.1080000000000001</v>
      </c>
    </row>
    <row r="51" spans="1:11" ht="38.25" customHeight="1">
      <c r="A51" s="46" t="s">
        <v>2576</v>
      </c>
      <c r="B51" s="133" t="s">
        <v>2577</v>
      </c>
      <c r="C51" s="134" t="s">
        <v>1967</v>
      </c>
      <c r="D51" s="49"/>
      <c r="E51" s="49"/>
      <c r="F51" s="49">
        <f t="shared" si="4"/>
        <v>213290000.00000003</v>
      </c>
      <c r="G51" s="49">
        <v>154000000</v>
      </c>
      <c r="H51" s="49">
        <f t="shared" si="5"/>
        <v>192500000</v>
      </c>
      <c r="I51" s="49">
        <f t="shared" si="6"/>
        <v>1.25</v>
      </c>
      <c r="J51" s="49"/>
      <c r="K51" s="50">
        <f t="shared" si="7"/>
        <v>1.1080000000000001</v>
      </c>
    </row>
    <row r="52" spans="1:11" ht="38.25" customHeight="1">
      <c r="A52" s="40" t="s">
        <v>2578</v>
      </c>
      <c r="B52" s="131" t="s">
        <v>2579</v>
      </c>
      <c r="C52" s="132" t="s">
        <v>1967</v>
      </c>
      <c r="D52" s="43"/>
      <c r="E52" s="43"/>
      <c r="F52" s="43">
        <f t="shared" si="4"/>
        <v>255948000.00000003</v>
      </c>
      <c r="G52" s="43">
        <v>184800000</v>
      </c>
      <c r="H52" s="43">
        <f t="shared" si="5"/>
        <v>231000000</v>
      </c>
      <c r="I52" s="43">
        <f t="shared" si="6"/>
        <v>1.25</v>
      </c>
      <c r="J52" s="43"/>
      <c r="K52" s="44">
        <f t="shared" si="7"/>
        <v>1.1080000000000001</v>
      </c>
    </row>
    <row r="53" spans="1:11" ht="38.25" customHeight="1">
      <c r="A53" s="46" t="s">
        <v>2580</v>
      </c>
      <c r="B53" s="133" t="s">
        <v>2581</v>
      </c>
      <c r="C53" s="134" t="s">
        <v>1967</v>
      </c>
      <c r="D53" s="49"/>
      <c r="E53" s="49"/>
      <c r="F53" s="49">
        <f t="shared" si="4"/>
        <v>3257520.0000000005</v>
      </c>
      <c r="G53" s="49">
        <v>2352000</v>
      </c>
      <c r="H53" s="49">
        <f t="shared" si="5"/>
        <v>2940000</v>
      </c>
      <c r="I53" s="49">
        <f t="shared" si="6"/>
        <v>1.25</v>
      </c>
      <c r="J53" s="49"/>
      <c r="K53" s="50">
        <f t="shared" si="7"/>
        <v>1.1080000000000001</v>
      </c>
    </row>
    <row r="54" spans="1:11" ht="51" customHeight="1">
      <c r="A54" s="40" t="s">
        <v>2582</v>
      </c>
      <c r="B54" s="131" t="s">
        <v>2583</v>
      </c>
      <c r="C54" s="132" t="s">
        <v>1967</v>
      </c>
      <c r="D54" s="43"/>
      <c r="E54" s="43"/>
      <c r="F54" s="43">
        <f t="shared" si="4"/>
        <v>4071900.0000000005</v>
      </c>
      <c r="G54" s="43">
        <v>2940000</v>
      </c>
      <c r="H54" s="43">
        <f t="shared" si="5"/>
        <v>3675000</v>
      </c>
      <c r="I54" s="43">
        <f t="shared" si="6"/>
        <v>1.25</v>
      </c>
      <c r="J54" s="43"/>
      <c r="K54" s="44">
        <f t="shared" si="7"/>
        <v>1.1080000000000001</v>
      </c>
    </row>
    <row r="55" spans="1:11" ht="51" customHeight="1">
      <c r="A55" s="46" t="s">
        <v>2584</v>
      </c>
      <c r="B55" s="133" t="s">
        <v>2585</v>
      </c>
      <c r="C55" s="134" t="s">
        <v>1967</v>
      </c>
      <c r="D55" s="49"/>
      <c r="E55" s="49"/>
      <c r="F55" s="49">
        <f t="shared" si="4"/>
        <v>4886280</v>
      </c>
      <c r="G55" s="49">
        <v>3528000</v>
      </c>
      <c r="H55" s="49">
        <f t="shared" si="5"/>
        <v>4410000</v>
      </c>
      <c r="I55" s="49">
        <f t="shared" si="6"/>
        <v>1.25</v>
      </c>
      <c r="J55" s="49"/>
      <c r="K55" s="50">
        <f t="shared" si="7"/>
        <v>1.1080000000000001</v>
      </c>
    </row>
    <row r="56" spans="1:11" ht="51" customHeight="1">
      <c r="A56" s="40" t="s">
        <v>2586</v>
      </c>
      <c r="B56" s="131" t="s">
        <v>2587</v>
      </c>
      <c r="C56" s="132" t="s">
        <v>1967</v>
      </c>
      <c r="D56" s="43"/>
      <c r="E56" s="43"/>
      <c r="F56" s="43">
        <f t="shared" si="4"/>
        <v>5700660.0000000009</v>
      </c>
      <c r="G56" s="43">
        <v>4116000</v>
      </c>
      <c r="H56" s="43">
        <f t="shared" si="5"/>
        <v>5145000</v>
      </c>
      <c r="I56" s="43">
        <f t="shared" si="6"/>
        <v>1.25</v>
      </c>
      <c r="J56" s="43"/>
      <c r="K56" s="44">
        <f t="shared" si="7"/>
        <v>1.1080000000000001</v>
      </c>
    </row>
    <row r="57" spans="1:11" ht="51" customHeight="1">
      <c r="A57" s="46" t="s">
        <v>2588</v>
      </c>
      <c r="B57" s="133" t="s">
        <v>2589</v>
      </c>
      <c r="C57" s="134" t="s">
        <v>1967</v>
      </c>
      <c r="D57" s="49"/>
      <c r="E57" s="49"/>
      <c r="F57" s="49">
        <f t="shared" si="4"/>
        <v>6243580.0000000009</v>
      </c>
      <c r="G57" s="49">
        <v>4508000</v>
      </c>
      <c r="H57" s="49">
        <f t="shared" si="5"/>
        <v>5635000</v>
      </c>
      <c r="I57" s="49">
        <f t="shared" si="6"/>
        <v>1.25</v>
      </c>
      <c r="J57" s="49"/>
      <c r="K57" s="50">
        <f t="shared" si="7"/>
        <v>1.1080000000000001</v>
      </c>
    </row>
    <row r="58" spans="1:11" ht="51" customHeight="1">
      <c r="A58" s="40" t="s">
        <v>2590</v>
      </c>
      <c r="B58" s="131" t="s">
        <v>2591</v>
      </c>
      <c r="C58" s="132" t="s">
        <v>1967</v>
      </c>
      <c r="D58" s="43"/>
      <c r="E58" s="43"/>
      <c r="F58" s="43">
        <f t="shared" si="4"/>
        <v>7057960.0000000009</v>
      </c>
      <c r="G58" s="43">
        <v>5096000</v>
      </c>
      <c r="H58" s="43">
        <f t="shared" si="5"/>
        <v>6370000</v>
      </c>
      <c r="I58" s="43">
        <f t="shared" si="6"/>
        <v>1.25</v>
      </c>
      <c r="J58" s="43"/>
      <c r="K58" s="44">
        <f t="shared" si="7"/>
        <v>1.1080000000000001</v>
      </c>
    </row>
    <row r="59" spans="1:11" ht="38.25" customHeight="1">
      <c r="A59" s="46" t="s">
        <v>2592</v>
      </c>
      <c r="B59" s="133" t="s">
        <v>2593</v>
      </c>
      <c r="C59" s="134" t="s">
        <v>1967</v>
      </c>
      <c r="D59" s="49"/>
      <c r="E59" s="49"/>
      <c r="F59" s="49"/>
      <c r="G59" s="49">
        <v>211200000</v>
      </c>
      <c r="H59" s="49">
        <f t="shared" ref="H59:H66" si="8">G59*1.41</f>
        <v>297792000</v>
      </c>
      <c r="I59" s="49">
        <f t="shared" si="6"/>
        <v>1.41</v>
      </c>
      <c r="J59" s="49"/>
      <c r="K59" s="50">
        <f t="shared" si="7"/>
        <v>0</v>
      </c>
    </row>
    <row r="60" spans="1:11" ht="25.5" customHeight="1">
      <c r="A60" s="40" t="s">
        <v>2594</v>
      </c>
      <c r="B60" s="131" t="s">
        <v>2595</v>
      </c>
      <c r="C60" s="132" t="s">
        <v>1967</v>
      </c>
      <c r="D60" s="43"/>
      <c r="E60" s="43"/>
      <c r="F60" s="43"/>
      <c r="G60" s="43">
        <v>240000000</v>
      </c>
      <c r="H60" s="43">
        <f t="shared" si="8"/>
        <v>338400000</v>
      </c>
      <c r="I60" s="43">
        <f t="shared" si="6"/>
        <v>1.41</v>
      </c>
      <c r="J60" s="43"/>
      <c r="K60" s="44">
        <f t="shared" si="7"/>
        <v>0</v>
      </c>
    </row>
    <row r="61" spans="1:11" ht="25.5" customHeight="1">
      <c r="A61" s="46" t="s">
        <v>2596</v>
      </c>
      <c r="B61" s="133" t="s">
        <v>2597</v>
      </c>
      <c r="C61" s="134" t="s">
        <v>1967</v>
      </c>
      <c r="D61" s="49"/>
      <c r="E61" s="49"/>
      <c r="F61" s="49"/>
      <c r="G61" s="49">
        <v>259200000</v>
      </c>
      <c r="H61" s="49">
        <f t="shared" si="8"/>
        <v>365472000</v>
      </c>
      <c r="I61" s="49">
        <f t="shared" si="6"/>
        <v>1.41</v>
      </c>
      <c r="J61" s="49"/>
      <c r="K61" s="50">
        <f t="shared" si="7"/>
        <v>0</v>
      </c>
    </row>
    <row r="62" spans="1:11" ht="25.5" customHeight="1">
      <c r="A62" s="40" t="s">
        <v>2598</v>
      </c>
      <c r="B62" s="131" t="s">
        <v>2599</v>
      </c>
      <c r="C62" s="132" t="s">
        <v>1967</v>
      </c>
      <c r="D62" s="43"/>
      <c r="E62" s="43"/>
      <c r="F62" s="43"/>
      <c r="G62" s="43">
        <v>278400000</v>
      </c>
      <c r="H62" s="43">
        <f t="shared" si="8"/>
        <v>392544000</v>
      </c>
      <c r="I62" s="43">
        <f t="shared" si="6"/>
        <v>1.41</v>
      </c>
      <c r="J62" s="43"/>
      <c r="K62" s="44">
        <f t="shared" si="7"/>
        <v>0</v>
      </c>
    </row>
    <row r="63" spans="1:11" ht="25.5" customHeight="1">
      <c r="A63" s="46" t="s">
        <v>2600</v>
      </c>
      <c r="B63" s="133" t="s">
        <v>2601</v>
      </c>
      <c r="C63" s="134" t="s">
        <v>1967</v>
      </c>
      <c r="D63" s="49"/>
      <c r="E63" s="49"/>
      <c r="F63" s="49"/>
      <c r="G63" s="49">
        <v>316800000</v>
      </c>
      <c r="H63" s="49">
        <f t="shared" si="8"/>
        <v>446688000</v>
      </c>
      <c r="I63" s="49">
        <f t="shared" si="6"/>
        <v>1.41</v>
      </c>
      <c r="J63" s="49"/>
      <c r="K63" s="50">
        <f t="shared" si="7"/>
        <v>0</v>
      </c>
    </row>
    <row r="64" spans="1:11" ht="25.5" customHeight="1">
      <c r="A64" s="40" t="s">
        <v>2602</v>
      </c>
      <c r="B64" s="131" t="s">
        <v>2603</v>
      </c>
      <c r="C64" s="132" t="s">
        <v>1967</v>
      </c>
      <c r="D64" s="43"/>
      <c r="E64" s="43"/>
      <c r="F64" s="43"/>
      <c r="G64" s="43">
        <v>364800000</v>
      </c>
      <c r="H64" s="43">
        <f t="shared" si="8"/>
        <v>514368000</v>
      </c>
      <c r="I64" s="43">
        <f t="shared" si="6"/>
        <v>1.41</v>
      </c>
      <c r="J64" s="43"/>
      <c r="K64" s="44">
        <f t="shared" si="7"/>
        <v>0</v>
      </c>
    </row>
    <row r="65" spans="1:11" ht="25.5" customHeight="1">
      <c r="A65" s="46" t="s">
        <v>2604</v>
      </c>
      <c r="B65" s="133" t="s">
        <v>2605</v>
      </c>
      <c r="C65" s="134" t="s">
        <v>1967</v>
      </c>
      <c r="D65" s="49"/>
      <c r="E65" s="49"/>
      <c r="F65" s="49"/>
      <c r="G65" s="49">
        <v>393600000</v>
      </c>
      <c r="H65" s="49">
        <f t="shared" si="8"/>
        <v>554976000</v>
      </c>
      <c r="I65" s="49">
        <f t="shared" si="6"/>
        <v>1.41</v>
      </c>
      <c r="J65" s="49"/>
      <c r="K65" s="50">
        <f t="shared" si="7"/>
        <v>0</v>
      </c>
    </row>
    <row r="66" spans="1:11" ht="25.9" customHeight="1">
      <c r="A66" s="127" t="s">
        <v>2606</v>
      </c>
      <c r="B66" s="135" t="s">
        <v>2607</v>
      </c>
      <c r="C66" s="136" t="s">
        <v>1967</v>
      </c>
      <c r="D66" s="122"/>
      <c r="E66" s="122"/>
      <c r="F66" s="122"/>
      <c r="G66" s="122">
        <v>432000000</v>
      </c>
      <c r="H66" s="122">
        <f t="shared" si="8"/>
        <v>609120000</v>
      </c>
      <c r="I66" s="122">
        <f t="shared" ref="I66:I97" si="9">H66/G66</f>
        <v>1.41</v>
      </c>
      <c r="J66" s="122"/>
      <c r="K66" s="123">
        <f t="shared" si="7"/>
        <v>0</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theme="9" tint="-0.499984740745262"/>
  </sheetPr>
  <dimension ref="A1:U44"/>
  <sheetViews>
    <sheetView rightToLeft="1" workbookViewId="0">
      <pane ySplit="10" topLeftCell="A11" activePane="bottomLeft" state="frozen"/>
      <selection pane="bottomLeft"/>
    </sheetView>
  </sheetViews>
  <sheetFormatPr defaultRowHeight="13.5"/>
  <cols>
    <col min="1" max="1" width="14.1875" customWidth="1"/>
    <col min="2" max="2" width="46.6875" customWidth="1"/>
    <col min="3" max="3" width="10.8125" customWidth="1"/>
    <col min="4" max="4" width="18.3125" customWidth="1"/>
    <col min="9" max="10" width="18.3125" customWidth="1"/>
    <col min="18" max="18" width="18.3125" customWidth="1"/>
    <col min="21" max="21" width="18.3125" customWidth="1"/>
  </cols>
  <sheetData>
    <row r="1" spans="1:21" ht="32" customHeight="1">
      <c r="A1" s="27"/>
      <c r="B1" s="28"/>
      <c r="C1" s="28"/>
      <c r="D1" s="296" t="s">
        <v>1213</v>
      </c>
      <c r="E1" s="297"/>
      <c r="F1" s="298"/>
      <c r="G1" s="28"/>
      <c r="H1" s="28"/>
      <c r="I1" s="28"/>
      <c r="J1" s="28"/>
      <c r="K1" s="28"/>
      <c r="L1" s="28"/>
      <c r="M1" s="28"/>
      <c r="N1" s="28"/>
      <c r="O1" s="28"/>
      <c r="P1" s="28"/>
      <c r="Q1" s="28"/>
      <c r="R1" s="28"/>
      <c r="S1" s="28"/>
      <c r="T1" s="28"/>
      <c r="U1" s="72"/>
    </row>
    <row r="2" spans="1:21" ht="28.05" customHeight="1">
      <c r="A2" s="73" t="s">
        <v>868</v>
      </c>
      <c r="B2" s="31" t="s">
        <v>869</v>
      </c>
      <c r="C2" s="31" t="s">
        <v>1856</v>
      </c>
      <c r="D2" s="31" t="s">
        <v>877</v>
      </c>
      <c r="E2" s="31" t="s">
        <v>872</v>
      </c>
      <c r="F2" s="31" t="s">
        <v>873</v>
      </c>
      <c r="G2" s="31"/>
      <c r="H2" s="31"/>
      <c r="I2" s="31" t="s">
        <v>2608</v>
      </c>
      <c r="J2" s="31"/>
      <c r="K2" s="31"/>
      <c r="L2" s="31" t="s">
        <v>1606</v>
      </c>
      <c r="M2" s="31" t="s">
        <v>875</v>
      </c>
      <c r="N2" s="31" t="s">
        <v>876</v>
      </c>
      <c r="O2" s="31" t="s">
        <v>877</v>
      </c>
      <c r="P2" s="31" t="s">
        <v>1857</v>
      </c>
      <c r="Q2" s="31" t="s">
        <v>878</v>
      </c>
      <c r="R2" s="31"/>
      <c r="S2" s="31"/>
      <c r="T2" s="31"/>
      <c r="U2" s="74"/>
    </row>
    <row r="3" spans="1:21">
      <c r="A3" s="34" t="s">
        <v>2609</v>
      </c>
      <c r="B3" s="95" t="s">
        <v>2610</v>
      </c>
      <c r="C3" s="100" t="s">
        <v>2611</v>
      </c>
      <c r="D3" s="37">
        <v>1848000</v>
      </c>
      <c r="E3" s="37">
        <v>2330000</v>
      </c>
      <c r="F3" s="37">
        <v>2446500</v>
      </c>
      <c r="G3" s="37">
        <f t="shared" ref="G3:G37" si="0">F3/D3</f>
        <v>1.3238636363636365</v>
      </c>
      <c r="H3" s="37">
        <f t="shared" ref="H3:H30" si="1">E3/D3</f>
        <v>1.2608225108225108</v>
      </c>
      <c r="I3" s="37">
        <f>P3*1.57</f>
        <v>1296607.779310345</v>
      </c>
      <c r="J3" s="37">
        <f t="shared" ref="J3:J29" si="2">I3/P3</f>
        <v>1.57</v>
      </c>
      <c r="K3" s="37">
        <f t="shared" ref="K3:K37" si="3">F3/D3</f>
        <v>1.3238636363636365</v>
      </c>
      <c r="L3" s="37">
        <v>648000</v>
      </c>
      <c r="M3" s="37">
        <v>1450000</v>
      </c>
      <c r="N3" s="37">
        <v>1540000</v>
      </c>
      <c r="O3" s="37">
        <v>1848000</v>
      </c>
      <c r="P3" s="37">
        <f t="shared" ref="P3:P29" si="4">L3*Q3</f>
        <v>825864.82758620696</v>
      </c>
      <c r="Q3" s="37">
        <f t="shared" ref="Q3:Q29" si="5">O3/M3</f>
        <v>1.2744827586206897</v>
      </c>
      <c r="R3" s="37">
        <f>D3/P3</f>
        <v>2.2376543209876543</v>
      </c>
      <c r="S3" s="37">
        <f t="shared" ref="S3:S29" si="6">F3/P3</f>
        <v>2.9623491863075193</v>
      </c>
      <c r="T3" s="37">
        <f>1450000</f>
        <v>1450000</v>
      </c>
      <c r="U3" s="38">
        <f>D3/T3</f>
        <v>1.2744827586206897</v>
      </c>
    </row>
    <row r="4" spans="1:21">
      <c r="A4" s="40" t="s">
        <v>2612</v>
      </c>
      <c r="B4" s="96" t="s">
        <v>2613</v>
      </c>
      <c r="C4" s="58" t="s">
        <v>2611</v>
      </c>
      <c r="D4" s="43">
        <v>3562500</v>
      </c>
      <c r="E4" s="43">
        <v>3600000</v>
      </c>
      <c r="F4" s="43">
        <v>3960000</v>
      </c>
      <c r="G4" s="43">
        <f t="shared" si="0"/>
        <v>1.111578947368421</v>
      </c>
      <c r="H4" s="43">
        <f t="shared" si="1"/>
        <v>1.0105263157894737</v>
      </c>
      <c r="I4" s="43">
        <f>F4</f>
        <v>3960000</v>
      </c>
      <c r="J4" s="43">
        <f t="shared" si="2"/>
        <v>1.5670755836960824</v>
      </c>
      <c r="K4" s="43">
        <f t="shared" si="3"/>
        <v>1.111578947368421</v>
      </c>
      <c r="L4" s="43">
        <v>1915200</v>
      </c>
      <c r="M4" s="43">
        <v>2700000</v>
      </c>
      <c r="N4" s="43">
        <v>2850000</v>
      </c>
      <c r="O4" s="43">
        <v>3562500</v>
      </c>
      <c r="P4" s="43">
        <f t="shared" si="4"/>
        <v>2527000</v>
      </c>
      <c r="Q4" s="43">
        <f t="shared" si="5"/>
        <v>1.3194444444444444</v>
      </c>
      <c r="R4" s="43"/>
      <c r="S4" s="43">
        <f t="shared" si="6"/>
        <v>1.5670755836960824</v>
      </c>
      <c r="T4" s="43"/>
      <c r="U4" s="44"/>
    </row>
    <row r="5" spans="1:21">
      <c r="A5" s="46" t="s">
        <v>2614</v>
      </c>
      <c r="B5" s="97" t="s">
        <v>2615</v>
      </c>
      <c r="C5" s="60" t="s">
        <v>2611</v>
      </c>
      <c r="D5" s="49">
        <v>1656000</v>
      </c>
      <c r="E5" s="49">
        <v>2100000</v>
      </c>
      <c r="F5" s="49">
        <v>2205000</v>
      </c>
      <c r="G5" s="49">
        <f t="shared" si="0"/>
        <v>1.3315217391304348</v>
      </c>
      <c r="H5" s="49">
        <f t="shared" si="1"/>
        <v>1.2681159420289856</v>
      </c>
      <c r="I5" s="49">
        <f>P5*1.57</f>
        <v>1391957.1692307694</v>
      </c>
      <c r="J5" s="49">
        <f t="shared" si="2"/>
        <v>1.57</v>
      </c>
      <c r="K5" s="49">
        <f t="shared" si="3"/>
        <v>1.3315217391304348</v>
      </c>
      <c r="L5" s="49">
        <v>696000</v>
      </c>
      <c r="M5" s="49">
        <v>1300000</v>
      </c>
      <c r="N5" s="49">
        <v>1380000</v>
      </c>
      <c r="O5" s="49">
        <v>1656000</v>
      </c>
      <c r="P5" s="49">
        <f t="shared" si="4"/>
        <v>886596.92307692312</v>
      </c>
      <c r="Q5" s="49">
        <f t="shared" si="5"/>
        <v>1.2738461538461539</v>
      </c>
      <c r="R5" s="49">
        <v>886596.9</v>
      </c>
      <c r="S5" s="49">
        <f t="shared" si="6"/>
        <v>2.4870377311344325</v>
      </c>
      <c r="T5" s="49"/>
      <c r="U5" s="50"/>
    </row>
    <row r="6" spans="1:21">
      <c r="A6" s="40" t="s">
        <v>2616</v>
      </c>
      <c r="B6" s="96" t="s">
        <v>2617</v>
      </c>
      <c r="C6" s="58" t="s">
        <v>2611</v>
      </c>
      <c r="D6" s="43">
        <v>3318750</v>
      </c>
      <c r="E6" s="43">
        <v>4200000</v>
      </c>
      <c r="F6" s="43">
        <v>4620000</v>
      </c>
      <c r="G6" s="43">
        <f t="shared" si="0"/>
        <v>1.392090395480226</v>
      </c>
      <c r="H6" s="43">
        <f t="shared" si="1"/>
        <v>1.2655367231638419</v>
      </c>
      <c r="I6" s="43">
        <f>P6*1.5</f>
        <v>3902850</v>
      </c>
      <c r="J6" s="43">
        <f t="shared" si="2"/>
        <v>1.5</v>
      </c>
      <c r="K6" s="43">
        <f t="shared" si="3"/>
        <v>1.392090395480226</v>
      </c>
      <c r="L6" s="43">
        <v>1960000</v>
      </c>
      <c r="M6" s="43">
        <v>2500000</v>
      </c>
      <c r="N6" s="43">
        <v>2655000</v>
      </c>
      <c r="O6" s="43">
        <v>3318750</v>
      </c>
      <c r="P6" s="43">
        <f t="shared" si="4"/>
        <v>2601900</v>
      </c>
      <c r="Q6" s="43">
        <f t="shared" si="5"/>
        <v>1.3274999999999999</v>
      </c>
      <c r="R6" s="43">
        <v>2601900</v>
      </c>
      <c r="S6" s="43">
        <f t="shared" si="6"/>
        <v>1.7756255044390639</v>
      </c>
      <c r="T6" s="43"/>
      <c r="U6" s="44"/>
    </row>
    <row r="7" spans="1:21">
      <c r="A7" s="46" t="s">
        <v>2618</v>
      </c>
      <c r="B7" s="97" t="s">
        <v>2619</v>
      </c>
      <c r="C7" s="60" t="s">
        <v>2611</v>
      </c>
      <c r="D7" s="49">
        <v>1200000</v>
      </c>
      <c r="E7" s="49">
        <v>1600000</v>
      </c>
      <c r="F7" s="49">
        <v>1680000</v>
      </c>
      <c r="G7" s="49">
        <f t="shared" si="0"/>
        <v>1.4</v>
      </c>
      <c r="H7" s="49">
        <f t="shared" si="1"/>
        <v>1.3333333333333333</v>
      </c>
      <c r="I7" s="49">
        <f>P7*1.57</f>
        <v>1142298.9473684211</v>
      </c>
      <c r="J7" s="49">
        <f t="shared" si="2"/>
        <v>1.5700000000000003</v>
      </c>
      <c r="K7" s="49">
        <f t="shared" si="3"/>
        <v>1.4</v>
      </c>
      <c r="L7" s="49">
        <v>576000</v>
      </c>
      <c r="M7" s="49">
        <v>950000</v>
      </c>
      <c r="N7" s="49">
        <v>1000000</v>
      </c>
      <c r="O7" s="49">
        <v>1200000</v>
      </c>
      <c r="P7" s="49">
        <f t="shared" si="4"/>
        <v>727578.94736842101</v>
      </c>
      <c r="Q7" s="49">
        <f t="shared" si="5"/>
        <v>1.263157894736842</v>
      </c>
      <c r="R7" s="49">
        <v>727578.9</v>
      </c>
      <c r="S7" s="49">
        <f t="shared" si="6"/>
        <v>2.3090277777777781</v>
      </c>
      <c r="T7" s="49"/>
      <c r="U7" s="50"/>
    </row>
    <row r="8" spans="1:21">
      <c r="A8" s="40" t="s">
        <v>2620</v>
      </c>
      <c r="B8" s="96" t="s">
        <v>2621</v>
      </c>
      <c r="C8" s="58" t="s">
        <v>2611</v>
      </c>
      <c r="D8" s="43">
        <v>3712500</v>
      </c>
      <c r="E8" s="43">
        <v>4700000</v>
      </c>
      <c r="F8" s="43">
        <v>5170000</v>
      </c>
      <c r="G8" s="43">
        <f t="shared" si="0"/>
        <v>1.3925925925925926</v>
      </c>
      <c r="H8" s="43">
        <f t="shared" si="1"/>
        <v>1.265993265993266</v>
      </c>
      <c r="I8" s="43">
        <f>P8*1.57</f>
        <v>2879340.75</v>
      </c>
      <c r="J8" s="43">
        <f t="shared" si="2"/>
        <v>1.57</v>
      </c>
      <c r="K8" s="43">
        <f t="shared" si="3"/>
        <v>1.3925925925925926</v>
      </c>
      <c r="L8" s="43">
        <v>1383200</v>
      </c>
      <c r="M8" s="43">
        <v>2800000</v>
      </c>
      <c r="N8" s="43">
        <v>2970000</v>
      </c>
      <c r="O8" s="43">
        <v>3712500</v>
      </c>
      <c r="P8" s="43">
        <f t="shared" si="4"/>
        <v>1833975</v>
      </c>
      <c r="Q8" s="43">
        <f t="shared" si="5"/>
        <v>1.3258928571428572</v>
      </c>
      <c r="R8" s="43">
        <f t="shared" ref="R8:R29" si="7">D8/P8</f>
        <v>2.0242914979757085</v>
      </c>
      <c r="S8" s="43">
        <f t="shared" si="6"/>
        <v>2.8190133453291346</v>
      </c>
      <c r="T8" s="43"/>
      <c r="U8" s="44"/>
    </row>
    <row r="9" spans="1:21" ht="25.5" customHeight="1">
      <c r="A9" s="46" t="s">
        <v>2622</v>
      </c>
      <c r="B9" s="97" t="s">
        <v>2623</v>
      </c>
      <c r="C9" s="60" t="s">
        <v>881</v>
      </c>
      <c r="D9" s="49">
        <v>3362500000</v>
      </c>
      <c r="E9" s="49">
        <v>4060000000</v>
      </c>
      <c r="F9" s="49">
        <v>4466000000</v>
      </c>
      <c r="G9" s="49">
        <f t="shared" si="0"/>
        <v>1.3281784386617101</v>
      </c>
      <c r="H9" s="49">
        <f t="shared" si="1"/>
        <v>1.2074349442379182</v>
      </c>
      <c r="I9" s="49">
        <f>P9*1.5</f>
        <v>3677585025.3807106</v>
      </c>
      <c r="J9" s="49">
        <f t="shared" si="2"/>
        <v>1.5</v>
      </c>
      <c r="K9" s="49">
        <f t="shared" si="3"/>
        <v>1.3281784386617101</v>
      </c>
      <c r="L9" s="49">
        <v>1436400000</v>
      </c>
      <c r="M9" s="49">
        <v>1970000000</v>
      </c>
      <c r="N9" s="49">
        <v>2878300000</v>
      </c>
      <c r="O9" s="49">
        <v>3362500000</v>
      </c>
      <c r="P9" s="49">
        <f t="shared" si="4"/>
        <v>2451723350.2538071</v>
      </c>
      <c r="Q9" s="49">
        <f t="shared" si="5"/>
        <v>1.7068527918781726</v>
      </c>
      <c r="R9" s="49">
        <f t="shared" si="7"/>
        <v>1.3714842662211084</v>
      </c>
      <c r="S9" s="49">
        <f t="shared" si="6"/>
        <v>1.8215758313586528</v>
      </c>
      <c r="T9" s="49"/>
      <c r="U9" s="50"/>
    </row>
    <row r="10" spans="1:21" ht="25.5" customHeight="1">
      <c r="A10" s="40" t="s">
        <v>2624</v>
      </c>
      <c r="B10" s="96" t="s">
        <v>2625</v>
      </c>
      <c r="C10" s="58" t="s">
        <v>881</v>
      </c>
      <c r="D10" s="43">
        <v>3362500000</v>
      </c>
      <c r="E10" s="43">
        <v>4060000000</v>
      </c>
      <c r="F10" s="43">
        <v>4466000000</v>
      </c>
      <c r="G10" s="43">
        <f t="shared" si="0"/>
        <v>1.3281784386617101</v>
      </c>
      <c r="H10" s="43">
        <f t="shared" si="1"/>
        <v>1.2074349442379182</v>
      </c>
      <c r="I10" s="43">
        <f>P10*1.5</f>
        <v>4136387055.8375635</v>
      </c>
      <c r="J10" s="43">
        <f t="shared" si="2"/>
        <v>1.5</v>
      </c>
      <c r="K10" s="43">
        <f t="shared" si="3"/>
        <v>1.3281784386617101</v>
      </c>
      <c r="L10" s="43">
        <v>1615600000</v>
      </c>
      <c r="M10" s="43">
        <v>1970000000</v>
      </c>
      <c r="N10" s="43">
        <v>2878300000</v>
      </c>
      <c r="O10" s="43">
        <v>3362500000</v>
      </c>
      <c r="P10" s="43">
        <f t="shared" si="4"/>
        <v>2757591370.5583758</v>
      </c>
      <c r="Q10" s="43">
        <f t="shared" si="5"/>
        <v>1.7068527918781726</v>
      </c>
      <c r="R10" s="43">
        <f t="shared" si="7"/>
        <v>1.2193612280267392</v>
      </c>
      <c r="S10" s="43">
        <f t="shared" si="6"/>
        <v>1.6195292920051798</v>
      </c>
      <c r="T10" s="43"/>
      <c r="U10" s="44"/>
    </row>
    <row r="11" spans="1:21" ht="25.5" customHeight="1">
      <c r="A11" s="46" t="s">
        <v>2626</v>
      </c>
      <c r="B11" s="97" t="s">
        <v>2627</v>
      </c>
      <c r="C11" s="60" t="s">
        <v>881</v>
      </c>
      <c r="D11" s="49">
        <v>3625000000</v>
      </c>
      <c r="E11" s="49">
        <v>4380000000</v>
      </c>
      <c r="F11" s="49">
        <v>4818000000</v>
      </c>
      <c r="G11" s="49">
        <f t="shared" si="0"/>
        <v>1.3291034482758621</v>
      </c>
      <c r="H11" s="49">
        <f t="shared" si="1"/>
        <v>1.2082758620689655</v>
      </c>
      <c r="I11" s="49">
        <f>P11*1.45</f>
        <v>4543681014.1509438</v>
      </c>
      <c r="J11" s="49">
        <f t="shared" si="2"/>
        <v>1.4500000000000002</v>
      </c>
      <c r="K11" s="49">
        <f t="shared" si="3"/>
        <v>1.3291034482758621</v>
      </c>
      <c r="L11" s="49">
        <v>1832600000</v>
      </c>
      <c r="M11" s="49">
        <v>2120000000</v>
      </c>
      <c r="N11" s="49">
        <v>3103000000</v>
      </c>
      <c r="O11" s="49">
        <v>3625000000</v>
      </c>
      <c r="P11" s="49">
        <f t="shared" si="4"/>
        <v>3133573113.2075472</v>
      </c>
      <c r="Q11" s="49">
        <f t="shared" si="5"/>
        <v>1.7099056603773586</v>
      </c>
      <c r="R11" s="49">
        <f t="shared" si="7"/>
        <v>1.1568263669104004</v>
      </c>
      <c r="S11" s="49">
        <f t="shared" si="6"/>
        <v>1.5375419133170509</v>
      </c>
      <c r="T11" s="49"/>
      <c r="U11" s="50"/>
    </row>
    <row r="12" spans="1:21" ht="25.5" customHeight="1">
      <c r="A12" s="40" t="s">
        <v>2628</v>
      </c>
      <c r="B12" s="96" t="s">
        <v>2629</v>
      </c>
      <c r="C12" s="58" t="s">
        <v>881</v>
      </c>
      <c r="D12" s="43">
        <v>4125000000</v>
      </c>
      <c r="E12" s="43">
        <v>4980000000</v>
      </c>
      <c r="F12" s="43">
        <v>5478000000</v>
      </c>
      <c r="G12" s="43">
        <f t="shared" si="0"/>
        <v>1.3280000000000001</v>
      </c>
      <c r="H12" s="43">
        <f t="shared" si="1"/>
        <v>1.2072727272727273</v>
      </c>
      <c r="I12" s="43">
        <f>P12*1.45</f>
        <v>5010351659.7510366</v>
      </c>
      <c r="J12" s="43">
        <f t="shared" si="2"/>
        <v>1.4499999999999997</v>
      </c>
      <c r="K12" s="43">
        <f t="shared" si="3"/>
        <v>1.3280000000000001</v>
      </c>
      <c r="L12" s="43">
        <v>2018800000</v>
      </c>
      <c r="M12" s="43">
        <v>2410000000</v>
      </c>
      <c r="N12" s="43">
        <v>3531000000</v>
      </c>
      <c r="O12" s="43">
        <v>4125000000</v>
      </c>
      <c r="P12" s="43">
        <f t="shared" si="4"/>
        <v>3455414937.759336</v>
      </c>
      <c r="Q12" s="43">
        <f t="shared" si="5"/>
        <v>1.7116182572614107</v>
      </c>
      <c r="R12" s="43">
        <f t="shared" si="7"/>
        <v>1.193778482266693</v>
      </c>
      <c r="S12" s="43">
        <f t="shared" si="6"/>
        <v>1.5853378244501686</v>
      </c>
      <c r="T12" s="43"/>
      <c r="U12" s="44"/>
    </row>
    <row r="13" spans="1:21" ht="25.5" customHeight="1">
      <c r="A13" s="46" t="s">
        <v>2630</v>
      </c>
      <c r="B13" s="97" t="s">
        <v>2631</v>
      </c>
      <c r="C13" s="60" t="s">
        <v>881</v>
      </c>
      <c r="D13" s="49">
        <v>4625000000</v>
      </c>
      <c r="E13" s="49">
        <v>5586000000</v>
      </c>
      <c r="F13" s="49">
        <v>6144600000.000001</v>
      </c>
      <c r="G13" s="49">
        <f t="shared" si="0"/>
        <v>1.3285621621621624</v>
      </c>
      <c r="H13" s="49">
        <f t="shared" si="1"/>
        <v>1.2077837837837837</v>
      </c>
      <c r="I13" s="49">
        <f>P13*1.45</f>
        <v>5501112037.0370369</v>
      </c>
      <c r="J13" s="49">
        <f t="shared" si="2"/>
        <v>1.45</v>
      </c>
      <c r="K13" s="49">
        <f t="shared" si="3"/>
        <v>1.3285621621621624</v>
      </c>
      <c r="L13" s="49">
        <v>2214800000</v>
      </c>
      <c r="M13" s="49">
        <v>2700000000</v>
      </c>
      <c r="N13" s="49">
        <v>3959000000</v>
      </c>
      <c r="O13" s="49">
        <v>4625000000</v>
      </c>
      <c r="P13" s="49">
        <f t="shared" si="4"/>
        <v>3793870370.3703704</v>
      </c>
      <c r="Q13" s="49">
        <f t="shared" si="5"/>
        <v>1.712962962962963</v>
      </c>
      <c r="R13" s="49">
        <f t="shared" si="7"/>
        <v>1.2190716994762507</v>
      </c>
      <c r="S13" s="49">
        <f t="shared" si="6"/>
        <v>1.6196125328868693</v>
      </c>
      <c r="T13" s="49"/>
      <c r="U13" s="50"/>
    </row>
    <row r="14" spans="1:21" ht="25.5" customHeight="1">
      <c r="A14" s="40" t="s">
        <v>2632</v>
      </c>
      <c r="B14" s="96" t="s">
        <v>2633</v>
      </c>
      <c r="C14" s="58" t="s">
        <v>881</v>
      </c>
      <c r="D14" s="43">
        <v>4625000000</v>
      </c>
      <c r="E14" s="43">
        <v>5586000000</v>
      </c>
      <c r="F14" s="43">
        <v>6144600000.000001</v>
      </c>
      <c r="G14" s="43">
        <f t="shared" si="0"/>
        <v>1.3285621621621624</v>
      </c>
      <c r="H14" s="43">
        <f t="shared" si="1"/>
        <v>1.2077837837837837</v>
      </c>
      <c r="I14" s="43">
        <f>P14*1.4</f>
        <v>5900643518.5185184</v>
      </c>
      <c r="J14" s="43">
        <f t="shared" si="2"/>
        <v>1.4</v>
      </c>
      <c r="K14" s="43">
        <f t="shared" si="3"/>
        <v>1.3285621621621624</v>
      </c>
      <c r="L14" s="43">
        <v>2460500000</v>
      </c>
      <c r="M14" s="43">
        <v>2700000000</v>
      </c>
      <c r="N14" s="43">
        <v>3959000000</v>
      </c>
      <c r="O14" s="43">
        <v>4625000000</v>
      </c>
      <c r="P14" s="43">
        <f t="shared" si="4"/>
        <v>4214745370.3703704</v>
      </c>
      <c r="Q14" s="43">
        <f t="shared" si="5"/>
        <v>1.712962962962963</v>
      </c>
      <c r="R14" s="43">
        <f t="shared" si="7"/>
        <v>1.0973379394432026</v>
      </c>
      <c r="S14" s="43">
        <f t="shared" si="6"/>
        <v>1.4578816654492333</v>
      </c>
      <c r="T14" s="43"/>
      <c r="U14" s="44"/>
    </row>
    <row r="15" spans="1:21" ht="25.5" customHeight="1">
      <c r="A15" s="46" t="s">
        <v>2634</v>
      </c>
      <c r="B15" s="97" t="s">
        <v>2635</v>
      </c>
      <c r="C15" s="60" t="s">
        <v>881</v>
      </c>
      <c r="D15" s="49">
        <v>5562500000</v>
      </c>
      <c r="E15" s="49">
        <v>6720000000</v>
      </c>
      <c r="F15" s="49">
        <v>7392000000.000001</v>
      </c>
      <c r="G15" s="49">
        <f t="shared" si="0"/>
        <v>1.3288988764044944</v>
      </c>
      <c r="H15" s="49">
        <f t="shared" si="1"/>
        <v>1.2080898876404493</v>
      </c>
      <c r="I15" s="49">
        <f>P15*1.4</f>
        <v>7011146153.8461533</v>
      </c>
      <c r="J15" s="49">
        <f t="shared" si="2"/>
        <v>1.4</v>
      </c>
      <c r="K15" s="49">
        <f t="shared" si="3"/>
        <v>1.3288988764044944</v>
      </c>
      <c r="L15" s="49">
        <v>2926000000</v>
      </c>
      <c r="M15" s="49">
        <v>3250000000</v>
      </c>
      <c r="N15" s="49">
        <v>4761500000</v>
      </c>
      <c r="O15" s="49">
        <v>5562500000</v>
      </c>
      <c r="P15" s="49">
        <f t="shared" si="4"/>
        <v>5007961538.4615383</v>
      </c>
      <c r="Q15" s="49">
        <f t="shared" si="5"/>
        <v>1.7115384615384615</v>
      </c>
      <c r="R15" s="49">
        <f t="shared" si="7"/>
        <v>1.1107313738892686</v>
      </c>
      <c r="S15" s="49">
        <f t="shared" si="6"/>
        <v>1.4760496747486698</v>
      </c>
      <c r="T15" s="49"/>
      <c r="U15" s="50"/>
    </row>
    <row r="16" spans="1:21" ht="25.5" customHeight="1">
      <c r="A16" s="40" t="s">
        <v>2636</v>
      </c>
      <c r="B16" s="96" t="s">
        <v>2637</v>
      </c>
      <c r="C16" s="58" t="s">
        <v>881</v>
      </c>
      <c r="D16" s="43">
        <v>6125000000</v>
      </c>
      <c r="E16" s="43">
        <v>7400000000</v>
      </c>
      <c r="F16" s="43">
        <v>8140000000.000001</v>
      </c>
      <c r="G16" s="43">
        <f t="shared" si="0"/>
        <v>1.3289795918367349</v>
      </c>
      <c r="H16" s="43">
        <f t="shared" si="1"/>
        <v>1.2081632653061225</v>
      </c>
      <c r="I16" s="43">
        <f>P16*1.4</f>
        <v>7811472602.7397261</v>
      </c>
      <c r="J16" s="43">
        <f t="shared" si="2"/>
        <v>1.4</v>
      </c>
      <c r="K16" s="43">
        <f t="shared" si="3"/>
        <v>1.3289795918367349</v>
      </c>
      <c r="L16" s="43">
        <v>3325000000</v>
      </c>
      <c r="M16" s="43">
        <v>3650000000</v>
      </c>
      <c r="N16" s="43">
        <v>5243000000</v>
      </c>
      <c r="O16" s="43">
        <v>6125000000</v>
      </c>
      <c r="P16" s="43">
        <f t="shared" si="4"/>
        <v>5579623287.6712332</v>
      </c>
      <c r="Q16" s="43">
        <f t="shared" si="5"/>
        <v>1.678082191780822</v>
      </c>
      <c r="R16" s="43">
        <f t="shared" si="7"/>
        <v>1.0977443609022557</v>
      </c>
      <c r="S16" s="43">
        <f t="shared" si="6"/>
        <v>1.4588798526929569</v>
      </c>
      <c r="T16" s="43"/>
      <c r="U16" s="44"/>
    </row>
    <row r="17" spans="1:21" ht="76.5" customHeight="1">
      <c r="A17" s="46" t="s">
        <v>2638</v>
      </c>
      <c r="B17" s="97" t="s">
        <v>2639</v>
      </c>
      <c r="C17" s="60" t="s">
        <v>2640</v>
      </c>
      <c r="D17" s="49">
        <v>693000000</v>
      </c>
      <c r="E17" s="49">
        <v>728000000</v>
      </c>
      <c r="F17" s="49">
        <v>800800000.00000012</v>
      </c>
      <c r="G17" s="49">
        <f t="shared" si="0"/>
        <v>1.1555555555555557</v>
      </c>
      <c r="H17" s="49">
        <f t="shared" si="1"/>
        <v>1.0505050505050506</v>
      </c>
      <c r="I17" s="49">
        <f>P17*1.3</f>
        <v>772568671.875</v>
      </c>
      <c r="J17" s="49">
        <f t="shared" si="2"/>
        <v>1.3</v>
      </c>
      <c r="K17" s="49">
        <f t="shared" si="3"/>
        <v>1.1555555555555557</v>
      </c>
      <c r="L17" s="49">
        <v>452787500</v>
      </c>
      <c r="M17" s="49">
        <v>480000000</v>
      </c>
      <c r="N17" s="49">
        <v>550000000</v>
      </c>
      <c r="O17" s="49">
        <v>630000000</v>
      </c>
      <c r="P17" s="49">
        <f t="shared" si="4"/>
        <v>594283593.75</v>
      </c>
      <c r="Q17" s="49">
        <f t="shared" si="5"/>
        <v>1.3125</v>
      </c>
      <c r="R17" s="49">
        <f t="shared" si="7"/>
        <v>1.1661099301548741</v>
      </c>
      <c r="S17" s="49">
        <f t="shared" si="6"/>
        <v>1.3475048081789658</v>
      </c>
      <c r="T17" s="49"/>
      <c r="U17" s="50"/>
    </row>
    <row r="18" spans="1:21">
      <c r="A18" s="40" t="s">
        <v>2641</v>
      </c>
      <c r="B18" s="96" t="s">
        <v>2642</v>
      </c>
      <c r="C18" s="58" t="s">
        <v>2640</v>
      </c>
      <c r="D18" s="43">
        <v>630000000</v>
      </c>
      <c r="E18" s="43">
        <v>661000000</v>
      </c>
      <c r="F18" s="43">
        <v>727100000</v>
      </c>
      <c r="G18" s="43">
        <f t="shared" si="0"/>
        <v>1.1541269841269841</v>
      </c>
      <c r="H18" s="43">
        <f t="shared" si="1"/>
        <v>1.0492063492063493</v>
      </c>
      <c r="I18" s="43">
        <f t="shared" ref="I18:I23" si="8">P18*1.57</f>
        <v>437705172.41379315</v>
      </c>
      <c r="J18" s="43">
        <f t="shared" si="2"/>
        <v>1.57</v>
      </c>
      <c r="K18" s="43">
        <f t="shared" si="3"/>
        <v>1.1541269841269841</v>
      </c>
      <c r="L18" s="43">
        <v>192500000</v>
      </c>
      <c r="M18" s="43">
        <v>435000000</v>
      </c>
      <c r="N18" s="43">
        <v>500000000</v>
      </c>
      <c r="O18" s="43">
        <v>630000000</v>
      </c>
      <c r="P18" s="43">
        <f t="shared" si="4"/>
        <v>278793103.44827586</v>
      </c>
      <c r="Q18" s="43">
        <f t="shared" si="5"/>
        <v>1.4482758620689655</v>
      </c>
      <c r="R18" s="43">
        <f t="shared" si="7"/>
        <v>2.2597402597402598</v>
      </c>
      <c r="S18" s="43">
        <f t="shared" si="6"/>
        <v>2.6080272108843539</v>
      </c>
      <c r="T18" s="43"/>
      <c r="U18" s="44"/>
    </row>
    <row r="19" spans="1:21" ht="114.75" customHeight="1">
      <c r="A19" s="46" t="s">
        <v>2643</v>
      </c>
      <c r="B19" s="97" t="s">
        <v>2644</v>
      </c>
      <c r="C19" s="60" t="s">
        <v>2640</v>
      </c>
      <c r="D19" s="49">
        <v>630000000</v>
      </c>
      <c r="E19" s="49">
        <v>661000000</v>
      </c>
      <c r="F19" s="49">
        <v>727100000</v>
      </c>
      <c r="G19" s="49">
        <f t="shared" si="0"/>
        <v>1.1541269841269841</v>
      </c>
      <c r="H19" s="49">
        <f t="shared" si="1"/>
        <v>1.0492063492063493</v>
      </c>
      <c r="I19" s="49">
        <f t="shared" si="8"/>
        <v>477496551.72413796</v>
      </c>
      <c r="J19" s="49">
        <f t="shared" si="2"/>
        <v>1.57</v>
      </c>
      <c r="K19" s="49">
        <f t="shared" si="3"/>
        <v>1.1541269841269841</v>
      </c>
      <c r="L19" s="49">
        <v>210000000</v>
      </c>
      <c r="M19" s="49">
        <v>435000000</v>
      </c>
      <c r="N19" s="49">
        <v>500000000</v>
      </c>
      <c r="O19" s="49">
        <v>630000000</v>
      </c>
      <c r="P19" s="49">
        <f t="shared" si="4"/>
        <v>304137931.03448278</v>
      </c>
      <c r="Q19" s="49">
        <f t="shared" si="5"/>
        <v>1.4482758620689655</v>
      </c>
      <c r="R19" s="49">
        <f t="shared" si="7"/>
        <v>2.0714285714285712</v>
      </c>
      <c r="S19" s="49">
        <f t="shared" si="6"/>
        <v>2.3906916099773241</v>
      </c>
      <c r="T19" s="49"/>
      <c r="U19" s="50"/>
    </row>
    <row r="20" spans="1:21" ht="114.75" customHeight="1">
      <c r="A20" s="40" t="s">
        <v>2645</v>
      </c>
      <c r="B20" s="96" t="s">
        <v>2646</v>
      </c>
      <c r="C20" s="58" t="s">
        <v>2640</v>
      </c>
      <c r="D20" s="43">
        <v>882000000</v>
      </c>
      <c r="E20" s="43">
        <v>926000000</v>
      </c>
      <c r="F20" s="43">
        <v>1018600000</v>
      </c>
      <c r="G20" s="43">
        <f t="shared" si="0"/>
        <v>1.154875283446712</v>
      </c>
      <c r="H20" s="43">
        <f t="shared" si="1"/>
        <v>1.0498866213151927</v>
      </c>
      <c r="I20" s="43">
        <f t="shared" si="8"/>
        <v>567516393.44262302</v>
      </c>
      <c r="J20" s="43">
        <f t="shared" si="2"/>
        <v>1.57</v>
      </c>
      <c r="K20" s="43">
        <f t="shared" si="3"/>
        <v>1.154875283446712</v>
      </c>
      <c r="L20" s="43">
        <v>250000000</v>
      </c>
      <c r="M20" s="43">
        <v>610000000</v>
      </c>
      <c r="N20" s="43">
        <v>700000000</v>
      </c>
      <c r="O20" s="43">
        <v>882000000</v>
      </c>
      <c r="P20" s="43">
        <f t="shared" si="4"/>
        <v>361475409.83606559</v>
      </c>
      <c r="Q20" s="43">
        <f t="shared" si="5"/>
        <v>1.4459016393442623</v>
      </c>
      <c r="R20" s="43">
        <f t="shared" si="7"/>
        <v>2.44</v>
      </c>
      <c r="S20" s="43">
        <f t="shared" si="6"/>
        <v>2.8178956916099773</v>
      </c>
      <c r="T20" s="43"/>
      <c r="U20" s="44"/>
    </row>
    <row r="21" spans="1:21" ht="51" customHeight="1">
      <c r="A21" s="46" t="s">
        <v>2647</v>
      </c>
      <c r="B21" s="97" t="s">
        <v>2648</v>
      </c>
      <c r="C21" s="60" t="s">
        <v>2640</v>
      </c>
      <c r="D21" s="49">
        <v>168000000</v>
      </c>
      <c r="E21" s="49">
        <v>185000000</v>
      </c>
      <c r="F21" s="49">
        <v>203500000</v>
      </c>
      <c r="G21" s="49">
        <f t="shared" si="0"/>
        <v>1.2113095238095237</v>
      </c>
      <c r="H21" s="49">
        <f t="shared" si="1"/>
        <v>1.1011904761904763</v>
      </c>
      <c r="I21" s="49">
        <f t="shared" si="8"/>
        <v>135063310.34482759</v>
      </c>
      <c r="J21" s="49">
        <f t="shared" si="2"/>
        <v>1.5699999999999998</v>
      </c>
      <c r="K21" s="49">
        <f t="shared" si="3"/>
        <v>1.2113095238095237</v>
      </c>
      <c r="L21" s="49">
        <v>59400000</v>
      </c>
      <c r="M21" s="49">
        <v>116000000</v>
      </c>
      <c r="N21" s="49">
        <v>133000000</v>
      </c>
      <c r="O21" s="49">
        <v>168000000</v>
      </c>
      <c r="P21" s="49">
        <f t="shared" si="4"/>
        <v>86027586.206896558</v>
      </c>
      <c r="Q21" s="49">
        <f t="shared" si="5"/>
        <v>1.4482758620689655</v>
      </c>
      <c r="R21" s="49">
        <f t="shared" si="7"/>
        <v>1.9528619528619526</v>
      </c>
      <c r="S21" s="49">
        <f t="shared" si="6"/>
        <v>2.3655202821869485</v>
      </c>
      <c r="T21" s="49"/>
      <c r="U21" s="50"/>
    </row>
    <row r="22" spans="1:21" ht="25.5" customHeight="1">
      <c r="A22" s="40" t="s">
        <v>2649</v>
      </c>
      <c r="B22" s="96" t="s">
        <v>2650</v>
      </c>
      <c r="C22" s="58" t="s">
        <v>2640</v>
      </c>
      <c r="D22" s="43">
        <v>315000000</v>
      </c>
      <c r="E22" s="43">
        <v>380000000</v>
      </c>
      <c r="F22" s="43">
        <v>418000000.00000012</v>
      </c>
      <c r="G22" s="43">
        <f t="shared" si="0"/>
        <v>1.3269841269841274</v>
      </c>
      <c r="H22" s="43">
        <f t="shared" si="1"/>
        <v>1.2063492063492063</v>
      </c>
      <c r="I22" s="43">
        <f t="shared" si="8"/>
        <v>200830861.39896375</v>
      </c>
      <c r="J22" s="43">
        <f t="shared" si="2"/>
        <v>1.57</v>
      </c>
      <c r="K22" s="43">
        <f t="shared" si="3"/>
        <v>1.3269841269841274</v>
      </c>
      <c r="L22" s="43">
        <v>78375000</v>
      </c>
      <c r="M22" s="43">
        <v>193000000</v>
      </c>
      <c r="N22" s="43">
        <v>240000000</v>
      </c>
      <c r="O22" s="43">
        <v>315000000</v>
      </c>
      <c r="P22" s="43">
        <f t="shared" si="4"/>
        <v>127917746.11398964</v>
      </c>
      <c r="Q22" s="43">
        <f t="shared" si="5"/>
        <v>1.6321243523316062</v>
      </c>
      <c r="R22" s="43">
        <f t="shared" si="7"/>
        <v>2.4625199362041466</v>
      </c>
      <c r="S22" s="43">
        <f t="shared" si="6"/>
        <v>3.2677248677248687</v>
      </c>
      <c r="T22" s="43"/>
      <c r="U22" s="44"/>
    </row>
    <row r="23" spans="1:21" ht="25.5" customHeight="1">
      <c r="A23" s="46" t="s">
        <v>2651</v>
      </c>
      <c r="B23" s="97" t="s">
        <v>2652</v>
      </c>
      <c r="C23" s="60" t="s">
        <v>2640</v>
      </c>
      <c r="D23" s="49">
        <v>354375000</v>
      </c>
      <c r="E23" s="49">
        <v>428000000</v>
      </c>
      <c r="F23" s="49">
        <v>470800000.00000012</v>
      </c>
      <c r="G23" s="49">
        <f t="shared" si="0"/>
        <v>1.3285361552028223</v>
      </c>
      <c r="H23" s="49">
        <f t="shared" si="1"/>
        <v>1.2077601410934744</v>
      </c>
      <c r="I23" s="49">
        <f t="shared" si="8"/>
        <v>259992919.921875</v>
      </c>
      <c r="J23" s="49">
        <f t="shared" si="2"/>
        <v>1.57</v>
      </c>
      <c r="K23" s="49">
        <f t="shared" si="3"/>
        <v>1.3285361552028223</v>
      </c>
      <c r="L23" s="49">
        <v>100937500</v>
      </c>
      <c r="M23" s="49">
        <v>216000000</v>
      </c>
      <c r="N23" s="49">
        <v>303345000</v>
      </c>
      <c r="O23" s="49">
        <v>354375000</v>
      </c>
      <c r="P23" s="49">
        <f t="shared" si="4"/>
        <v>165600585.9375</v>
      </c>
      <c r="Q23" s="49">
        <f t="shared" si="5"/>
        <v>1.640625</v>
      </c>
      <c r="R23" s="49">
        <f t="shared" si="7"/>
        <v>2.1399380804953561</v>
      </c>
      <c r="S23" s="49">
        <f t="shared" si="6"/>
        <v>2.8429851098334078</v>
      </c>
      <c r="T23" s="49"/>
      <c r="U23" s="50"/>
    </row>
    <row r="24" spans="1:21" ht="25.5" customHeight="1">
      <c r="A24" s="40" t="s">
        <v>2653</v>
      </c>
      <c r="B24" s="96" t="s">
        <v>2654</v>
      </c>
      <c r="C24" s="58" t="s">
        <v>2655</v>
      </c>
      <c r="D24" s="43">
        <v>1188000</v>
      </c>
      <c r="E24" s="43">
        <v>1300000</v>
      </c>
      <c r="F24" s="43">
        <v>1430000</v>
      </c>
      <c r="G24" s="43">
        <f t="shared" si="0"/>
        <v>1.2037037037037037</v>
      </c>
      <c r="H24" s="43">
        <f t="shared" si="1"/>
        <v>1.0942760942760943</v>
      </c>
      <c r="I24" s="43">
        <f>P24*1.5</f>
        <v>1326600</v>
      </c>
      <c r="J24" s="43">
        <f t="shared" si="2"/>
        <v>1.5</v>
      </c>
      <c r="K24" s="43">
        <f t="shared" si="3"/>
        <v>1.2037037037037037</v>
      </c>
      <c r="L24" s="43">
        <v>670000</v>
      </c>
      <c r="M24" s="43">
        <v>900000</v>
      </c>
      <c r="N24" s="43">
        <v>1039500</v>
      </c>
      <c r="O24" s="43">
        <v>1188000</v>
      </c>
      <c r="P24" s="43">
        <f t="shared" si="4"/>
        <v>884400</v>
      </c>
      <c r="Q24" s="43">
        <f t="shared" si="5"/>
        <v>1.32</v>
      </c>
      <c r="R24" s="43">
        <f t="shared" si="7"/>
        <v>1.3432835820895523</v>
      </c>
      <c r="S24" s="43">
        <f t="shared" si="6"/>
        <v>1.6169154228855722</v>
      </c>
      <c r="T24" s="43"/>
      <c r="U24" s="44"/>
    </row>
    <row r="25" spans="1:21" ht="25.5" customHeight="1">
      <c r="A25" s="46" t="s">
        <v>2656</v>
      </c>
      <c r="B25" s="97" t="s">
        <v>2657</v>
      </c>
      <c r="C25" s="60" t="s">
        <v>2655</v>
      </c>
      <c r="D25" s="49">
        <v>6168750</v>
      </c>
      <c r="E25" s="49">
        <v>6720000</v>
      </c>
      <c r="F25" s="49">
        <v>7392000.0000000009</v>
      </c>
      <c r="G25" s="49">
        <f t="shared" si="0"/>
        <v>1.1982978723404256</v>
      </c>
      <c r="H25" s="49">
        <f t="shared" si="1"/>
        <v>1.0893617021276596</v>
      </c>
      <c r="I25" s="49">
        <f>P25*1.57</f>
        <v>3917187.7660933239</v>
      </c>
      <c r="J25" s="49">
        <f t="shared" si="2"/>
        <v>1.57</v>
      </c>
      <c r="K25" s="49">
        <f t="shared" si="3"/>
        <v>1.1982978723404256</v>
      </c>
      <c r="L25" s="49">
        <v>1484375</v>
      </c>
      <c r="M25" s="49">
        <v>3670000</v>
      </c>
      <c r="N25" s="49">
        <v>4700000</v>
      </c>
      <c r="O25" s="49">
        <v>6168750</v>
      </c>
      <c r="P25" s="49">
        <f t="shared" si="4"/>
        <v>2495024.0548365121</v>
      </c>
      <c r="Q25" s="49">
        <f t="shared" si="5"/>
        <v>1.680858310626703</v>
      </c>
      <c r="R25" s="49">
        <f t="shared" si="7"/>
        <v>2.4724210526315793</v>
      </c>
      <c r="S25" s="49">
        <f t="shared" si="6"/>
        <v>2.962696886898097</v>
      </c>
      <c r="T25" s="49"/>
      <c r="U25" s="50"/>
    </row>
    <row r="26" spans="1:21" ht="25.5" customHeight="1">
      <c r="A26" s="40" t="s">
        <v>2658</v>
      </c>
      <c r="B26" s="96" t="s">
        <v>2659</v>
      </c>
      <c r="C26" s="58" t="s">
        <v>2655</v>
      </c>
      <c r="D26" s="43">
        <v>8000000</v>
      </c>
      <c r="E26" s="43">
        <v>8820000</v>
      </c>
      <c r="F26" s="43">
        <v>9702000</v>
      </c>
      <c r="G26" s="43">
        <f t="shared" si="0"/>
        <v>1.21275</v>
      </c>
      <c r="H26" s="43">
        <f t="shared" si="1"/>
        <v>1.1025</v>
      </c>
      <c r="I26" s="43">
        <f>P26*1.57</f>
        <v>5055932.2033898309</v>
      </c>
      <c r="J26" s="43">
        <f t="shared" si="2"/>
        <v>1.57</v>
      </c>
      <c r="K26" s="43">
        <f t="shared" si="3"/>
        <v>1.21275</v>
      </c>
      <c r="L26" s="43">
        <v>1900000</v>
      </c>
      <c r="M26" s="43">
        <v>4720000</v>
      </c>
      <c r="N26" s="43">
        <v>6100000</v>
      </c>
      <c r="O26" s="43">
        <v>8000000</v>
      </c>
      <c r="P26" s="43">
        <f t="shared" si="4"/>
        <v>3220338.9830508474</v>
      </c>
      <c r="Q26" s="43">
        <f t="shared" si="5"/>
        <v>1.6949152542372881</v>
      </c>
      <c r="R26" s="43">
        <f t="shared" si="7"/>
        <v>2.4842105263157896</v>
      </c>
      <c r="S26" s="43">
        <f t="shared" si="6"/>
        <v>3.0127263157894739</v>
      </c>
      <c r="T26" s="43"/>
      <c r="U26" s="44"/>
    </row>
    <row r="27" spans="1:21" ht="25.5" customHeight="1">
      <c r="A27" s="46" t="s">
        <v>2660</v>
      </c>
      <c r="B27" s="97" t="s">
        <v>2661</v>
      </c>
      <c r="C27" s="60" t="s">
        <v>2640</v>
      </c>
      <c r="D27" s="49">
        <v>115920000</v>
      </c>
      <c r="E27" s="49">
        <v>140000000</v>
      </c>
      <c r="F27" s="49">
        <v>154000000</v>
      </c>
      <c r="G27" s="49">
        <f t="shared" si="0"/>
        <v>1.3285024154589371</v>
      </c>
      <c r="H27" s="49">
        <f t="shared" si="1"/>
        <v>1.2077294685990339</v>
      </c>
      <c r="I27" s="49">
        <f>P27*1.57</f>
        <v>114396480</v>
      </c>
      <c r="J27" s="49">
        <f t="shared" si="2"/>
        <v>1.57</v>
      </c>
      <c r="K27" s="49">
        <f t="shared" si="3"/>
        <v>1.3285024154589371</v>
      </c>
      <c r="L27" s="49">
        <v>52800000</v>
      </c>
      <c r="M27" s="49">
        <v>84000000</v>
      </c>
      <c r="N27" s="49">
        <v>92000000</v>
      </c>
      <c r="O27" s="49">
        <v>115920000</v>
      </c>
      <c r="P27" s="49">
        <f t="shared" si="4"/>
        <v>72864000</v>
      </c>
      <c r="Q27" s="49">
        <f t="shared" si="5"/>
        <v>1.38</v>
      </c>
      <c r="R27" s="49">
        <f t="shared" si="7"/>
        <v>1.5909090909090908</v>
      </c>
      <c r="S27" s="49">
        <f t="shared" si="6"/>
        <v>2.1135265700483092</v>
      </c>
      <c r="T27" s="49"/>
      <c r="U27" s="50"/>
    </row>
    <row r="28" spans="1:21" ht="25.5" customHeight="1">
      <c r="A28" s="40" t="s">
        <v>2662</v>
      </c>
      <c r="B28" s="96" t="s">
        <v>2663</v>
      </c>
      <c r="C28" s="58" t="s">
        <v>2640</v>
      </c>
      <c r="D28" s="43">
        <v>433125000</v>
      </c>
      <c r="E28" s="43">
        <v>520000000</v>
      </c>
      <c r="F28" s="43">
        <v>572000000</v>
      </c>
      <c r="G28" s="43">
        <f t="shared" si="0"/>
        <v>1.3206349206349206</v>
      </c>
      <c r="H28" s="43">
        <f t="shared" si="1"/>
        <v>1.2005772005772006</v>
      </c>
      <c r="I28" s="43">
        <f>P28*1.57</f>
        <v>439887311.52723736</v>
      </c>
      <c r="J28" s="43">
        <f t="shared" si="2"/>
        <v>1.57</v>
      </c>
      <c r="K28" s="43">
        <f t="shared" si="3"/>
        <v>1.3206349206349206</v>
      </c>
      <c r="L28" s="43">
        <v>166250000</v>
      </c>
      <c r="M28" s="43">
        <v>257000000</v>
      </c>
      <c r="N28" s="43">
        <v>3300000</v>
      </c>
      <c r="O28" s="43">
        <v>433125000</v>
      </c>
      <c r="P28" s="43">
        <f t="shared" si="4"/>
        <v>280183000.97276264</v>
      </c>
      <c r="Q28" s="43">
        <f t="shared" si="5"/>
        <v>1.6853112840466926</v>
      </c>
      <c r="R28" s="43">
        <f t="shared" si="7"/>
        <v>1.5458646616541354</v>
      </c>
      <c r="S28" s="43">
        <f t="shared" si="6"/>
        <v>2.0415228547559376</v>
      </c>
      <c r="T28" s="43"/>
      <c r="U28" s="44"/>
    </row>
    <row r="29" spans="1:21" ht="25.5" customHeight="1">
      <c r="A29" s="46" t="s">
        <v>2664</v>
      </c>
      <c r="B29" s="97" t="s">
        <v>2665</v>
      </c>
      <c r="C29" s="60" t="s">
        <v>2640</v>
      </c>
      <c r="D29" s="49">
        <v>5643750</v>
      </c>
      <c r="E29" s="49">
        <v>680000000</v>
      </c>
      <c r="F29" s="49">
        <v>7480000</v>
      </c>
      <c r="G29" s="49">
        <f t="shared" si="0"/>
        <v>1.325359911406423</v>
      </c>
      <c r="H29" s="49">
        <f t="shared" si="1"/>
        <v>120.48726467331119</v>
      </c>
      <c r="I29" s="49">
        <f>P29*1.57</f>
        <v>5721969.646903323</v>
      </c>
      <c r="J29" s="49">
        <f t="shared" si="2"/>
        <v>1.57</v>
      </c>
      <c r="K29" s="49">
        <f t="shared" si="3"/>
        <v>1.325359911406423</v>
      </c>
      <c r="L29" s="49">
        <v>213750000</v>
      </c>
      <c r="M29" s="49">
        <v>331000000</v>
      </c>
      <c r="N29" s="49">
        <v>4300000</v>
      </c>
      <c r="O29" s="49">
        <v>5643750</v>
      </c>
      <c r="P29" s="49">
        <f t="shared" si="4"/>
        <v>3644566.6540785497</v>
      </c>
      <c r="Q29" s="49">
        <f t="shared" si="5"/>
        <v>1.705060422960725E-2</v>
      </c>
      <c r="R29" s="49">
        <f t="shared" si="7"/>
        <v>1.5485380116959064</v>
      </c>
      <c r="S29" s="49">
        <f t="shared" si="6"/>
        <v>2.0523702019907653</v>
      </c>
      <c r="T29" s="49"/>
      <c r="U29" s="50"/>
    </row>
    <row r="30" spans="1:21">
      <c r="A30" s="40">
        <v>32064801</v>
      </c>
      <c r="B30" s="96" t="s">
        <v>2666</v>
      </c>
      <c r="C30" s="58" t="s">
        <v>1967</v>
      </c>
      <c r="D30" s="43">
        <v>466200000</v>
      </c>
      <c r="E30" s="43">
        <v>490000000</v>
      </c>
      <c r="F30" s="43">
        <v>514500000</v>
      </c>
      <c r="G30" s="43">
        <f t="shared" si="0"/>
        <v>1.1036036036036037</v>
      </c>
      <c r="H30" s="43">
        <f t="shared" si="1"/>
        <v>1.0510510510510511</v>
      </c>
      <c r="I30" s="43">
        <v>514500000</v>
      </c>
      <c r="J30" s="43">
        <f t="shared" ref="J30:J37" si="9">F30/P30</f>
        <v>1.0124803702785352</v>
      </c>
      <c r="K30" s="43">
        <f t="shared" si="3"/>
        <v>1.1036036036036037</v>
      </c>
      <c r="L30" s="43"/>
      <c r="M30" s="43">
        <v>329000000</v>
      </c>
      <c r="N30" s="43">
        <v>370000000</v>
      </c>
      <c r="O30" s="43">
        <v>466200000</v>
      </c>
      <c r="P30" s="43">
        <f t="shared" ref="P30:P37" si="10">D30*1.09</f>
        <v>508158000.00000006</v>
      </c>
      <c r="Q30" s="43"/>
      <c r="R30" s="43">
        <f>F30/P30</f>
        <v>1.0124803702785352</v>
      </c>
      <c r="S30" s="43"/>
      <c r="T30" s="43"/>
      <c r="U30" s="44"/>
    </row>
    <row r="31" spans="1:21" ht="38.25" customHeight="1">
      <c r="A31" s="46" t="s">
        <v>2594</v>
      </c>
      <c r="B31" s="97" t="s">
        <v>2667</v>
      </c>
      <c r="C31" s="60" t="s">
        <v>1967</v>
      </c>
      <c r="D31" s="49">
        <v>504000000</v>
      </c>
      <c r="E31" s="49">
        <v>550000000</v>
      </c>
      <c r="F31" s="49">
        <v>577500000</v>
      </c>
      <c r="G31" s="49">
        <f t="shared" si="0"/>
        <v>1.1458333333333333</v>
      </c>
      <c r="H31" s="49">
        <f t="shared" ref="H31:H37" si="11">E30/D30</f>
        <v>1.0510510510510511</v>
      </c>
      <c r="I31" s="49">
        <v>577500000</v>
      </c>
      <c r="J31" s="49">
        <f t="shared" si="9"/>
        <v>1.0512232415902141</v>
      </c>
      <c r="K31" s="49">
        <f t="shared" si="3"/>
        <v>1.1458333333333333</v>
      </c>
      <c r="L31" s="49"/>
      <c r="M31" s="49">
        <v>360000000</v>
      </c>
      <c r="N31" s="49">
        <v>400000000</v>
      </c>
      <c r="O31" s="49">
        <v>504000000</v>
      </c>
      <c r="P31" s="49">
        <f t="shared" si="10"/>
        <v>549360000</v>
      </c>
      <c r="Q31" s="49"/>
      <c r="R31" s="49"/>
      <c r="S31" s="49"/>
      <c r="T31" s="49"/>
      <c r="U31" s="50"/>
    </row>
    <row r="32" spans="1:21" ht="38.25" customHeight="1">
      <c r="A32" s="40" t="s">
        <v>2596</v>
      </c>
      <c r="B32" s="96" t="s">
        <v>2668</v>
      </c>
      <c r="C32" s="58" t="s">
        <v>1967</v>
      </c>
      <c r="D32" s="43">
        <v>541800000</v>
      </c>
      <c r="E32" s="43">
        <v>615000000</v>
      </c>
      <c r="F32" s="43">
        <v>645750000</v>
      </c>
      <c r="G32" s="43">
        <f t="shared" si="0"/>
        <v>1.191860465116279</v>
      </c>
      <c r="H32" s="43">
        <f t="shared" si="11"/>
        <v>1.0912698412698412</v>
      </c>
      <c r="I32" s="43">
        <v>645750000</v>
      </c>
      <c r="J32" s="43">
        <f t="shared" si="9"/>
        <v>1.0934499679965863</v>
      </c>
      <c r="K32" s="43">
        <f t="shared" si="3"/>
        <v>1.191860465116279</v>
      </c>
      <c r="L32" s="43"/>
      <c r="M32" s="43">
        <v>376000000</v>
      </c>
      <c r="N32" s="43">
        <v>430000000</v>
      </c>
      <c r="O32" s="43">
        <v>541800000</v>
      </c>
      <c r="P32" s="43">
        <f t="shared" si="10"/>
        <v>590562000</v>
      </c>
      <c r="Q32" s="43"/>
      <c r="R32" s="43"/>
      <c r="S32" s="43"/>
      <c r="T32" s="43"/>
      <c r="U32" s="44"/>
    </row>
    <row r="33" spans="1:21" ht="38.25" customHeight="1">
      <c r="A33" s="46" t="s">
        <v>2598</v>
      </c>
      <c r="B33" s="97" t="s">
        <v>2669</v>
      </c>
      <c r="C33" s="60" t="s">
        <v>1967</v>
      </c>
      <c r="D33" s="49">
        <v>567000000</v>
      </c>
      <c r="E33" s="49">
        <v>685000000</v>
      </c>
      <c r="F33" s="49">
        <v>719250000</v>
      </c>
      <c r="G33" s="49">
        <f t="shared" si="0"/>
        <v>1.2685185185185186</v>
      </c>
      <c r="H33" s="49">
        <f t="shared" si="11"/>
        <v>1.1351052048726467</v>
      </c>
      <c r="I33" s="49">
        <v>719250000</v>
      </c>
      <c r="J33" s="49">
        <f t="shared" si="9"/>
        <v>1.1637784573564389</v>
      </c>
      <c r="K33" s="49">
        <f t="shared" si="3"/>
        <v>1.2685185185185186</v>
      </c>
      <c r="L33" s="49"/>
      <c r="M33" s="49">
        <v>392000000</v>
      </c>
      <c r="N33" s="49">
        <v>450000000</v>
      </c>
      <c r="O33" s="49">
        <v>567000000</v>
      </c>
      <c r="P33" s="49">
        <f t="shared" si="10"/>
        <v>618030000</v>
      </c>
      <c r="Q33" s="49"/>
      <c r="R33" s="49"/>
      <c r="S33" s="49"/>
      <c r="T33" s="49"/>
      <c r="U33" s="50"/>
    </row>
    <row r="34" spans="1:21" ht="38.25" customHeight="1">
      <c r="A34" s="40" t="s">
        <v>2600</v>
      </c>
      <c r="B34" s="96" t="s">
        <v>2670</v>
      </c>
      <c r="C34" s="58" t="s">
        <v>1967</v>
      </c>
      <c r="D34" s="43">
        <v>617400000</v>
      </c>
      <c r="E34" s="43">
        <v>750000000</v>
      </c>
      <c r="F34" s="43">
        <v>787500000</v>
      </c>
      <c r="G34" s="43">
        <f t="shared" si="0"/>
        <v>1.2755102040816326</v>
      </c>
      <c r="H34" s="43">
        <f t="shared" si="11"/>
        <v>1.2081128747795415</v>
      </c>
      <c r="I34" s="43">
        <v>787500000</v>
      </c>
      <c r="J34" s="43">
        <f t="shared" si="9"/>
        <v>1.1701928477813144</v>
      </c>
      <c r="K34" s="43">
        <f t="shared" si="3"/>
        <v>1.2755102040816326</v>
      </c>
      <c r="L34" s="43"/>
      <c r="M34" s="43">
        <v>424000000</v>
      </c>
      <c r="N34" s="43">
        <v>490000000</v>
      </c>
      <c r="O34" s="43">
        <v>617400000</v>
      </c>
      <c r="P34" s="43">
        <f t="shared" si="10"/>
        <v>672966000</v>
      </c>
      <c r="Q34" s="43"/>
      <c r="R34" s="43"/>
      <c r="S34" s="43"/>
      <c r="T34" s="43"/>
      <c r="U34" s="44"/>
    </row>
    <row r="35" spans="1:21" ht="38.25" customHeight="1">
      <c r="A35" s="46" t="s">
        <v>2602</v>
      </c>
      <c r="B35" s="97" t="s">
        <v>2671</v>
      </c>
      <c r="C35" s="60" t="s">
        <v>1967</v>
      </c>
      <c r="D35" s="49">
        <v>667800000</v>
      </c>
      <c r="E35" s="49">
        <v>800000000</v>
      </c>
      <c r="F35" s="49">
        <v>840000000</v>
      </c>
      <c r="G35" s="49">
        <f t="shared" si="0"/>
        <v>1.2578616352201257</v>
      </c>
      <c r="H35" s="49">
        <f t="shared" si="11"/>
        <v>1.2147716229348882</v>
      </c>
      <c r="I35" s="49">
        <v>840000000</v>
      </c>
      <c r="J35" s="49">
        <f t="shared" si="9"/>
        <v>1.1540015002019504</v>
      </c>
      <c r="K35" s="49">
        <f t="shared" si="3"/>
        <v>1.2578616352201257</v>
      </c>
      <c r="L35" s="49"/>
      <c r="M35" s="49">
        <v>461000000</v>
      </c>
      <c r="N35" s="49">
        <v>530000000</v>
      </c>
      <c r="O35" s="49">
        <v>667800000</v>
      </c>
      <c r="P35" s="49">
        <f t="shared" si="10"/>
        <v>727902000</v>
      </c>
      <c r="Q35" s="49"/>
      <c r="R35" s="49"/>
      <c r="S35" s="49"/>
      <c r="T35" s="49"/>
      <c r="U35" s="50"/>
    </row>
    <row r="36" spans="1:21" ht="38.25" customHeight="1">
      <c r="A36" s="40" t="s">
        <v>2604</v>
      </c>
      <c r="B36" s="96" t="s">
        <v>2672</v>
      </c>
      <c r="C36" s="58" t="s">
        <v>1967</v>
      </c>
      <c r="D36" s="43">
        <v>713160000</v>
      </c>
      <c r="E36" s="43">
        <v>860000000</v>
      </c>
      <c r="F36" s="43">
        <v>903000000</v>
      </c>
      <c r="G36" s="43">
        <f t="shared" si="0"/>
        <v>1.2661955241460541</v>
      </c>
      <c r="H36" s="43">
        <f t="shared" si="11"/>
        <v>1.1979634621144055</v>
      </c>
      <c r="I36" s="43">
        <v>903000000</v>
      </c>
      <c r="J36" s="43">
        <f t="shared" si="9"/>
        <v>1.1616472698587652</v>
      </c>
      <c r="K36" s="43">
        <f t="shared" si="3"/>
        <v>1.2661955241460541</v>
      </c>
      <c r="L36" s="43"/>
      <c r="M36" s="43">
        <v>493000000</v>
      </c>
      <c r="N36" s="43">
        <v>566000000</v>
      </c>
      <c r="O36" s="43">
        <v>713160000</v>
      </c>
      <c r="P36" s="43">
        <f t="shared" si="10"/>
        <v>777344400</v>
      </c>
      <c r="Q36" s="43"/>
      <c r="R36" s="43"/>
      <c r="S36" s="43"/>
      <c r="T36" s="43"/>
      <c r="U36" s="44"/>
    </row>
    <row r="37" spans="1:21" ht="38.25" customHeight="1">
      <c r="A37" s="46" t="s">
        <v>2606</v>
      </c>
      <c r="B37" s="97" t="s">
        <v>2673</v>
      </c>
      <c r="C37" s="60" t="s">
        <v>1967</v>
      </c>
      <c r="D37" s="49">
        <v>768600000</v>
      </c>
      <c r="E37" s="49">
        <v>970000000</v>
      </c>
      <c r="F37" s="49">
        <v>1018500000</v>
      </c>
      <c r="G37" s="49">
        <f t="shared" si="0"/>
        <v>1.325136612021858</v>
      </c>
      <c r="H37" s="49">
        <f t="shared" si="11"/>
        <v>1.2059004991867184</v>
      </c>
      <c r="I37" s="49">
        <v>1018500000</v>
      </c>
      <c r="J37" s="49">
        <f t="shared" si="9"/>
        <v>1.2157216624053742</v>
      </c>
      <c r="K37" s="49">
        <f t="shared" si="3"/>
        <v>1.325136612021858</v>
      </c>
      <c r="L37" s="49"/>
      <c r="M37" s="49">
        <v>530000000</v>
      </c>
      <c r="N37" s="49">
        <v>610000000</v>
      </c>
      <c r="O37" s="49">
        <v>768600000</v>
      </c>
      <c r="P37" s="49">
        <f t="shared" si="10"/>
        <v>837774000.00000012</v>
      </c>
      <c r="Q37" s="49"/>
      <c r="R37" s="49"/>
      <c r="S37" s="49"/>
      <c r="T37" s="49"/>
      <c r="U37" s="50"/>
    </row>
    <row r="38" spans="1:21">
      <c r="A38" s="52"/>
      <c r="B38" s="41"/>
      <c r="C38" s="42"/>
      <c r="D38" s="43"/>
      <c r="E38" s="43"/>
      <c r="F38" s="43"/>
      <c r="G38" s="43"/>
      <c r="H38" s="43"/>
      <c r="I38" s="43"/>
      <c r="J38" s="43"/>
      <c r="K38" s="43"/>
      <c r="L38" s="43"/>
      <c r="M38" s="43"/>
      <c r="N38" s="43"/>
      <c r="O38" s="43"/>
      <c r="P38" s="43"/>
      <c r="Q38" s="43"/>
      <c r="R38" s="43"/>
      <c r="S38" s="43"/>
      <c r="T38" s="43"/>
      <c r="U38" s="44"/>
    </row>
    <row r="39" spans="1:21">
      <c r="A39" s="51"/>
      <c r="B39" s="47"/>
      <c r="C39" s="48"/>
      <c r="D39" s="49"/>
      <c r="E39" s="49"/>
      <c r="F39" s="49"/>
      <c r="G39" s="49"/>
      <c r="H39" s="49"/>
      <c r="I39" s="49"/>
      <c r="J39" s="49"/>
      <c r="K39" s="49"/>
      <c r="L39" s="49"/>
      <c r="M39" s="49"/>
      <c r="N39" s="49"/>
      <c r="O39" s="49"/>
      <c r="P39" s="49"/>
      <c r="Q39" s="49"/>
      <c r="R39" s="49"/>
      <c r="S39" s="49"/>
      <c r="T39" s="49"/>
      <c r="U39" s="50"/>
    </row>
    <row r="40" spans="1:21">
      <c r="A40" s="52"/>
      <c r="B40" s="41"/>
      <c r="C40" s="42"/>
      <c r="D40" s="43"/>
      <c r="E40" s="43"/>
      <c r="F40" s="43"/>
      <c r="G40" s="43"/>
      <c r="H40" s="43"/>
      <c r="I40" s="43"/>
      <c r="J40" s="43"/>
      <c r="K40" s="43"/>
      <c r="L40" s="43"/>
      <c r="M40" s="43"/>
      <c r="N40" s="43"/>
      <c r="O40" s="43"/>
      <c r="P40" s="43"/>
      <c r="Q40" s="43"/>
      <c r="R40" s="43"/>
      <c r="S40" s="43"/>
      <c r="T40" s="43"/>
      <c r="U40" s="44"/>
    </row>
    <row r="41" spans="1:21">
      <c r="A41" s="51"/>
      <c r="B41" s="47"/>
      <c r="C41" s="48"/>
      <c r="D41" s="49"/>
      <c r="E41" s="49"/>
      <c r="F41" s="49"/>
      <c r="G41" s="49"/>
      <c r="H41" s="49"/>
      <c r="I41" s="49"/>
      <c r="J41" s="49"/>
      <c r="K41" s="49"/>
      <c r="L41" s="49"/>
      <c r="M41" s="49"/>
      <c r="N41" s="49"/>
      <c r="O41" s="49"/>
      <c r="P41" s="49"/>
      <c r="Q41" s="49"/>
      <c r="R41" s="49"/>
      <c r="S41" s="49"/>
      <c r="T41" s="49"/>
      <c r="U41" s="50"/>
    </row>
    <row r="42" spans="1:21" ht="13.9" customHeight="1">
      <c r="A42" s="52"/>
      <c r="B42" s="137" t="s">
        <v>868</v>
      </c>
      <c r="C42" s="138" t="s">
        <v>869</v>
      </c>
      <c r="D42" s="43" t="s">
        <v>1856</v>
      </c>
      <c r="E42" s="139" t="s">
        <v>871</v>
      </c>
      <c r="F42" s="139" t="s">
        <v>872</v>
      </c>
      <c r="G42" s="139"/>
      <c r="H42" s="139"/>
      <c r="I42" s="139"/>
      <c r="J42" s="139"/>
      <c r="K42" s="139"/>
      <c r="L42" s="139" t="s">
        <v>873</v>
      </c>
      <c r="M42" s="43"/>
      <c r="N42" s="43"/>
      <c r="O42" s="43"/>
      <c r="P42" s="43"/>
      <c r="Q42" s="43"/>
      <c r="R42" s="43"/>
      <c r="S42" s="43"/>
      <c r="T42" s="43"/>
      <c r="U42" s="44"/>
    </row>
    <row r="43" spans="1:21" ht="283.89999999999998" customHeight="1">
      <c r="A43" s="84"/>
      <c r="B43" s="98" t="s">
        <v>2674</v>
      </c>
      <c r="C43" s="78" t="s">
        <v>2675</v>
      </c>
      <c r="D43" s="64" t="s">
        <v>2676</v>
      </c>
      <c r="E43" s="64"/>
      <c r="F43" s="64"/>
      <c r="G43" s="64"/>
      <c r="H43" s="64"/>
      <c r="I43" s="64"/>
      <c r="J43" s="64"/>
      <c r="K43" s="64"/>
      <c r="L43" s="64"/>
      <c r="M43" s="64"/>
      <c r="N43" s="64">
        <v>4290000000</v>
      </c>
      <c r="O43" s="64"/>
      <c r="P43" s="64"/>
      <c r="Q43" s="64"/>
      <c r="R43" s="64"/>
      <c r="S43" s="64"/>
      <c r="T43" s="64"/>
      <c r="U43" s="65"/>
    </row>
    <row r="44" spans="1:21">
      <c r="A44" s="66"/>
      <c r="B44" s="67"/>
      <c r="C44" s="68"/>
      <c r="D44" s="45"/>
      <c r="E44" s="45"/>
      <c r="F44" s="45"/>
      <c r="G44" s="45"/>
      <c r="H44" s="45"/>
      <c r="I44" s="45"/>
      <c r="J44" s="45"/>
      <c r="K44" s="45"/>
      <c r="L44" s="45"/>
      <c r="M44" s="45"/>
      <c r="N44" s="45"/>
      <c r="O44" s="45"/>
      <c r="P44" s="45"/>
      <c r="Q44" s="45"/>
      <c r="R44" s="70"/>
      <c r="S44" s="70"/>
      <c r="T44" s="70"/>
      <c r="U44" s="45"/>
    </row>
  </sheetData>
  <mergeCells count="1">
    <mergeCell ref="D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96"/>
  <sheetViews>
    <sheetView rightToLeft="1" workbookViewId="0">
      <pane ySplit="2" topLeftCell="A3" activePane="bottomLeft" state="frozen"/>
      <selection pane="bottomLeft"/>
    </sheetView>
  </sheetViews>
  <sheetFormatPr defaultRowHeight="13.5"/>
  <cols>
    <col min="1" max="1" width="14.1875" customWidth="1"/>
    <col min="2" max="2" width="46.6875" customWidth="1"/>
    <col min="3" max="3" width="10.8125" customWidth="1"/>
    <col min="4" max="4" width="18.3125" customWidth="1"/>
  </cols>
  <sheetData>
    <row r="1" spans="1:11" ht="32" customHeight="1">
      <c r="A1" s="27" t="s">
        <v>868</v>
      </c>
      <c r="B1" s="28" t="s">
        <v>869</v>
      </c>
      <c r="C1" s="28" t="s">
        <v>1856</v>
      </c>
      <c r="D1" s="28" t="s">
        <v>871</v>
      </c>
      <c r="E1" s="28" t="s">
        <v>872</v>
      </c>
      <c r="F1" s="28" t="s">
        <v>873</v>
      </c>
      <c r="G1" s="28" t="s">
        <v>1318</v>
      </c>
      <c r="H1" s="28" t="s">
        <v>1976</v>
      </c>
      <c r="I1" s="28" t="s">
        <v>2329</v>
      </c>
      <c r="J1" s="28" t="s">
        <v>878</v>
      </c>
      <c r="K1" s="72"/>
    </row>
    <row r="2" spans="1:11" ht="28.05" customHeight="1">
      <c r="A2" s="73" t="s">
        <v>2677</v>
      </c>
      <c r="B2" s="31" t="s">
        <v>2678</v>
      </c>
      <c r="C2" s="31" t="s">
        <v>1967</v>
      </c>
      <c r="D2" s="31"/>
      <c r="E2" s="31"/>
      <c r="F2" s="31">
        <f t="shared" ref="F2:F11" si="0">I2*1.12</f>
        <v>4060000.0000000005</v>
      </c>
      <c r="G2" s="31">
        <f t="shared" ref="G2:G11" si="1">F2/I2</f>
        <v>1.1200000000000001</v>
      </c>
      <c r="H2" s="31">
        <v>2500000</v>
      </c>
      <c r="I2" s="31">
        <f t="shared" ref="I2:I11" si="2">H2*1.45</f>
        <v>3625000</v>
      </c>
      <c r="J2" s="31">
        <f t="shared" ref="J2:J11" si="3">I2/H2</f>
        <v>1.45</v>
      </c>
      <c r="K2" s="74" t="s">
        <v>2679</v>
      </c>
    </row>
    <row r="3" spans="1:11" ht="38.25" customHeight="1">
      <c r="A3" s="34" t="s">
        <v>2680</v>
      </c>
      <c r="B3" s="95" t="s">
        <v>2681</v>
      </c>
      <c r="C3" s="100" t="s">
        <v>1967</v>
      </c>
      <c r="D3" s="37"/>
      <c r="E3" s="37"/>
      <c r="F3" s="37">
        <f t="shared" si="0"/>
        <v>4466000</v>
      </c>
      <c r="G3" s="37">
        <f t="shared" si="1"/>
        <v>1.1200000000000001</v>
      </c>
      <c r="H3" s="37">
        <v>2750000</v>
      </c>
      <c r="I3" s="37">
        <f t="shared" si="2"/>
        <v>3987500</v>
      </c>
      <c r="J3" s="37">
        <f t="shared" si="3"/>
        <v>1.45</v>
      </c>
      <c r="K3" s="38"/>
    </row>
    <row r="4" spans="1:11" ht="38.25" customHeight="1">
      <c r="A4" s="40" t="s">
        <v>2682</v>
      </c>
      <c r="B4" s="96" t="s">
        <v>2683</v>
      </c>
      <c r="C4" s="58" t="s">
        <v>1967</v>
      </c>
      <c r="D4" s="43"/>
      <c r="E4" s="43"/>
      <c r="F4" s="43">
        <f t="shared" si="0"/>
        <v>4872000</v>
      </c>
      <c r="G4" s="43">
        <f t="shared" si="1"/>
        <v>1.1200000000000001</v>
      </c>
      <c r="H4" s="43">
        <v>3000000</v>
      </c>
      <c r="I4" s="43">
        <f t="shared" si="2"/>
        <v>4350000</v>
      </c>
      <c r="J4" s="43">
        <f t="shared" si="3"/>
        <v>1.45</v>
      </c>
      <c r="K4" s="44"/>
    </row>
    <row r="5" spans="1:11" ht="38.25" customHeight="1">
      <c r="A5" s="46" t="s">
        <v>2684</v>
      </c>
      <c r="B5" s="97" t="s">
        <v>2685</v>
      </c>
      <c r="C5" s="60" t="s">
        <v>1967</v>
      </c>
      <c r="D5" s="49"/>
      <c r="E5" s="49"/>
      <c r="F5" s="49">
        <f t="shared" si="0"/>
        <v>6496000.0000000009</v>
      </c>
      <c r="G5" s="49">
        <f t="shared" si="1"/>
        <v>1.1200000000000001</v>
      </c>
      <c r="H5" s="49">
        <v>4000000</v>
      </c>
      <c r="I5" s="49">
        <f t="shared" si="2"/>
        <v>5800000</v>
      </c>
      <c r="J5" s="49">
        <f t="shared" si="3"/>
        <v>1.45</v>
      </c>
      <c r="K5" s="50"/>
    </row>
    <row r="6" spans="1:11" ht="38.25" customHeight="1">
      <c r="A6" s="40" t="s">
        <v>2686</v>
      </c>
      <c r="B6" s="96" t="s">
        <v>2687</v>
      </c>
      <c r="C6" s="58" t="s">
        <v>1967</v>
      </c>
      <c r="D6" s="43"/>
      <c r="E6" s="43"/>
      <c r="F6" s="43">
        <f t="shared" si="0"/>
        <v>7308000.0000000009</v>
      </c>
      <c r="G6" s="43">
        <f t="shared" si="1"/>
        <v>1.1200000000000001</v>
      </c>
      <c r="H6" s="43">
        <v>4500000</v>
      </c>
      <c r="I6" s="43">
        <f t="shared" si="2"/>
        <v>6525000</v>
      </c>
      <c r="J6" s="43">
        <f t="shared" si="3"/>
        <v>1.45</v>
      </c>
      <c r="K6" s="44"/>
    </row>
    <row r="7" spans="1:11" ht="38.25" customHeight="1">
      <c r="A7" s="46" t="s">
        <v>2688</v>
      </c>
      <c r="B7" s="97" t="s">
        <v>2689</v>
      </c>
      <c r="C7" s="60" t="s">
        <v>1967</v>
      </c>
      <c r="D7" s="49"/>
      <c r="E7" s="49"/>
      <c r="F7" s="49">
        <f t="shared" si="0"/>
        <v>8120000.0000000009</v>
      </c>
      <c r="G7" s="49">
        <f t="shared" si="1"/>
        <v>1.1200000000000001</v>
      </c>
      <c r="H7" s="49">
        <v>5000000</v>
      </c>
      <c r="I7" s="49">
        <f t="shared" si="2"/>
        <v>7250000</v>
      </c>
      <c r="J7" s="49">
        <f t="shared" si="3"/>
        <v>1.45</v>
      </c>
      <c r="K7" s="50"/>
    </row>
    <row r="8" spans="1:11" ht="38.25" customHeight="1">
      <c r="A8" s="40" t="s">
        <v>2690</v>
      </c>
      <c r="B8" s="96" t="s">
        <v>2691</v>
      </c>
      <c r="C8" s="58" t="s">
        <v>1967</v>
      </c>
      <c r="D8" s="43"/>
      <c r="E8" s="43"/>
      <c r="F8" s="43">
        <f t="shared" si="0"/>
        <v>11368000.000000002</v>
      </c>
      <c r="G8" s="43">
        <f t="shared" si="1"/>
        <v>1.1200000000000001</v>
      </c>
      <c r="H8" s="43">
        <v>7000000</v>
      </c>
      <c r="I8" s="43">
        <f t="shared" si="2"/>
        <v>10150000</v>
      </c>
      <c r="J8" s="43">
        <f t="shared" si="3"/>
        <v>1.45</v>
      </c>
      <c r="K8" s="44"/>
    </row>
    <row r="9" spans="1:11" ht="38.25" customHeight="1">
      <c r="A9" s="46" t="s">
        <v>2692</v>
      </c>
      <c r="B9" s="97" t="s">
        <v>2693</v>
      </c>
      <c r="C9" s="60" t="s">
        <v>1967</v>
      </c>
      <c r="D9" s="49"/>
      <c r="E9" s="49"/>
      <c r="F9" s="49">
        <f t="shared" si="0"/>
        <v>14616000.000000002</v>
      </c>
      <c r="G9" s="49">
        <f t="shared" si="1"/>
        <v>1.1200000000000001</v>
      </c>
      <c r="H9" s="49">
        <v>9000000</v>
      </c>
      <c r="I9" s="49">
        <f t="shared" si="2"/>
        <v>13050000</v>
      </c>
      <c r="J9" s="49">
        <f t="shared" si="3"/>
        <v>1.45</v>
      </c>
      <c r="K9" s="50"/>
    </row>
    <row r="10" spans="1:11" ht="38.25" customHeight="1">
      <c r="A10" s="40" t="s">
        <v>2694</v>
      </c>
      <c r="B10" s="96" t="s">
        <v>2695</v>
      </c>
      <c r="C10" s="58" t="s">
        <v>1967</v>
      </c>
      <c r="D10" s="43"/>
      <c r="E10" s="43"/>
      <c r="F10" s="43">
        <f t="shared" si="0"/>
        <v>19488000</v>
      </c>
      <c r="G10" s="43">
        <f t="shared" si="1"/>
        <v>1.1200000000000001</v>
      </c>
      <c r="H10" s="43">
        <v>12000000</v>
      </c>
      <c r="I10" s="43">
        <f t="shared" si="2"/>
        <v>17400000</v>
      </c>
      <c r="J10" s="43">
        <f t="shared" si="3"/>
        <v>1.45</v>
      </c>
      <c r="K10" s="44"/>
    </row>
    <row r="11" spans="1:11" ht="38.25" customHeight="1">
      <c r="A11" s="46" t="s">
        <v>2696</v>
      </c>
      <c r="B11" s="97" t="s">
        <v>2697</v>
      </c>
      <c r="C11" s="60" t="s">
        <v>1967</v>
      </c>
      <c r="D11" s="49"/>
      <c r="E11" s="49"/>
      <c r="F11" s="49">
        <f t="shared" si="0"/>
        <v>24360000.000000004</v>
      </c>
      <c r="G11" s="49">
        <f t="shared" si="1"/>
        <v>1.1200000000000001</v>
      </c>
      <c r="H11" s="49">
        <v>15000000</v>
      </c>
      <c r="I11" s="49">
        <f t="shared" si="2"/>
        <v>21750000</v>
      </c>
      <c r="J11" s="49">
        <f t="shared" si="3"/>
        <v>1.45</v>
      </c>
      <c r="K11" s="50"/>
    </row>
    <row r="12" spans="1:11">
      <c r="A12" s="40" t="s">
        <v>2698</v>
      </c>
      <c r="B12" s="96" t="s">
        <v>2699</v>
      </c>
      <c r="C12" s="58" t="s">
        <v>2655</v>
      </c>
      <c r="D12" s="43"/>
      <c r="E12" s="43"/>
      <c r="F12" s="43"/>
      <c r="G12" s="43"/>
      <c r="H12" s="43"/>
      <c r="I12" s="43"/>
      <c r="J12" s="43"/>
      <c r="K12" s="44"/>
    </row>
    <row r="13" spans="1:11">
      <c r="A13" s="46" t="s">
        <v>2700</v>
      </c>
      <c r="B13" s="97" t="s">
        <v>2701</v>
      </c>
      <c r="C13" s="60" t="s">
        <v>2655</v>
      </c>
      <c r="D13" s="49"/>
      <c r="E13" s="49"/>
      <c r="F13" s="49">
        <v>1680000</v>
      </c>
      <c r="G13" s="49"/>
      <c r="H13" s="49"/>
      <c r="I13" s="49"/>
      <c r="J13" s="49"/>
      <c r="K13" s="50"/>
    </row>
    <row r="14" spans="1:11" ht="25.5" customHeight="1">
      <c r="A14" s="40" t="s">
        <v>2702</v>
      </c>
      <c r="B14" s="96" t="s">
        <v>2703</v>
      </c>
      <c r="C14" s="58" t="s">
        <v>1967</v>
      </c>
      <c r="D14" s="43"/>
      <c r="E14" s="43"/>
      <c r="F14" s="43"/>
      <c r="G14" s="43"/>
      <c r="H14" s="43"/>
      <c r="I14" s="43"/>
      <c r="J14" s="43"/>
      <c r="K14" s="44"/>
    </row>
    <row r="15" spans="1:11" ht="25.5" customHeight="1">
      <c r="A15" s="46" t="s">
        <v>2704</v>
      </c>
      <c r="B15" s="97" t="s">
        <v>2705</v>
      </c>
      <c r="C15" s="60" t="s">
        <v>1967</v>
      </c>
      <c r="D15" s="49"/>
      <c r="E15" s="49"/>
      <c r="F15" s="49"/>
      <c r="G15" s="49"/>
      <c r="H15" s="49"/>
      <c r="I15" s="49"/>
      <c r="J15" s="49"/>
      <c r="K15" s="50"/>
    </row>
    <row r="16" spans="1:11" ht="25.5" customHeight="1">
      <c r="A16" s="40" t="s">
        <v>2706</v>
      </c>
      <c r="B16" s="96" t="s">
        <v>2707</v>
      </c>
      <c r="C16" s="58" t="s">
        <v>1967</v>
      </c>
      <c r="D16" s="43"/>
      <c r="E16" s="43"/>
      <c r="F16" s="43"/>
      <c r="G16" s="43"/>
      <c r="H16" s="43"/>
      <c r="I16" s="43"/>
      <c r="J16" s="43"/>
      <c r="K16" s="44"/>
    </row>
    <row r="17" spans="1:11" ht="25.5" customHeight="1">
      <c r="A17" s="46" t="s">
        <v>2708</v>
      </c>
      <c r="B17" s="97" t="s">
        <v>2709</v>
      </c>
      <c r="C17" s="60" t="s">
        <v>1967</v>
      </c>
      <c r="D17" s="49"/>
      <c r="E17" s="49"/>
      <c r="F17" s="49"/>
      <c r="G17" s="49"/>
      <c r="H17" s="49"/>
      <c r="I17" s="49"/>
      <c r="J17" s="49"/>
      <c r="K17" s="50"/>
    </row>
    <row r="18" spans="1:11" ht="25.5" customHeight="1">
      <c r="A18" s="40" t="s">
        <v>2710</v>
      </c>
      <c r="B18" s="96" t="s">
        <v>2711</v>
      </c>
      <c r="C18" s="58" t="s">
        <v>1967</v>
      </c>
      <c r="D18" s="43"/>
      <c r="E18" s="43"/>
      <c r="F18" s="43"/>
      <c r="G18" s="43"/>
      <c r="H18" s="43"/>
      <c r="I18" s="43"/>
      <c r="J18" s="43"/>
      <c r="K18" s="44"/>
    </row>
    <row r="19" spans="1:11" ht="25.5" customHeight="1">
      <c r="A19" s="46" t="s">
        <v>2712</v>
      </c>
      <c r="B19" s="97" t="s">
        <v>2713</v>
      </c>
      <c r="C19" s="60" t="s">
        <v>1967</v>
      </c>
      <c r="D19" s="49"/>
      <c r="E19" s="49"/>
      <c r="F19" s="49"/>
      <c r="G19" s="49"/>
      <c r="H19" s="49"/>
      <c r="I19" s="49"/>
      <c r="J19" s="49"/>
      <c r="K19" s="50"/>
    </row>
    <row r="20" spans="1:11" ht="25.5" customHeight="1">
      <c r="A20" s="40" t="s">
        <v>2714</v>
      </c>
      <c r="B20" s="96" t="s">
        <v>2715</v>
      </c>
      <c r="C20" s="58" t="s">
        <v>1967</v>
      </c>
      <c r="D20" s="43"/>
      <c r="E20" s="43"/>
      <c r="F20" s="43"/>
      <c r="G20" s="43"/>
      <c r="H20" s="43"/>
      <c r="I20" s="43"/>
      <c r="J20" s="43"/>
      <c r="K20" s="44"/>
    </row>
    <row r="21" spans="1:11" ht="25.5" customHeight="1">
      <c r="A21" s="46" t="s">
        <v>2716</v>
      </c>
      <c r="B21" s="97" t="s">
        <v>2717</v>
      </c>
      <c r="C21" s="60" t="s">
        <v>1967</v>
      </c>
      <c r="D21" s="49"/>
      <c r="E21" s="49"/>
      <c r="F21" s="49"/>
      <c r="G21" s="49"/>
      <c r="H21" s="49"/>
      <c r="I21" s="49"/>
      <c r="J21" s="49"/>
      <c r="K21" s="50"/>
    </row>
    <row r="22" spans="1:11" ht="25.5" customHeight="1">
      <c r="A22" s="40" t="s">
        <v>2718</v>
      </c>
      <c r="B22" s="96" t="s">
        <v>2719</v>
      </c>
      <c r="C22" s="58" t="s">
        <v>1967</v>
      </c>
      <c r="D22" s="43"/>
      <c r="E22" s="43"/>
      <c r="F22" s="43"/>
      <c r="G22" s="43"/>
      <c r="H22" s="43"/>
      <c r="I22" s="43"/>
      <c r="J22" s="43"/>
      <c r="K22" s="44"/>
    </row>
    <row r="23" spans="1:11" ht="25.5" customHeight="1">
      <c r="A23" s="46" t="s">
        <v>2720</v>
      </c>
      <c r="B23" s="97" t="s">
        <v>2721</v>
      </c>
      <c r="C23" s="60" t="s">
        <v>1967</v>
      </c>
      <c r="D23" s="49"/>
      <c r="E23" s="49"/>
      <c r="F23" s="49"/>
      <c r="G23" s="49"/>
      <c r="H23" s="49"/>
      <c r="I23" s="49"/>
      <c r="J23" s="49"/>
      <c r="K23" s="50"/>
    </row>
    <row r="24" spans="1:11" ht="25.5" customHeight="1">
      <c r="A24" s="40" t="s">
        <v>2722</v>
      </c>
      <c r="B24" s="96" t="s">
        <v>2723</v>
      </c>
      <c r="C24" s="58" t="s">
        <v>1967</v>
      </c>
      <c r="D24" s="43"/>
      <c r="E24" s="43"/>
      <c r="F24" s="43"/>
      <c r="G24" s="43"/>
      <c r="H24" s="43"/>
      <c r="I24" s="43"/>
      <c r="J24" s="43"/>
      <c r="K24" s="44"/>
    </row>
    <row r="25" spans="1:11" ht="25.5" customHeight="1">
      <c r="A25" s="46" t="s">
        <v>2724</v>
      </c>
      <c r="B25" s="97" t="s">
        <v>2725</v>
      </c>
      <c r="C25" s="60" t="s">
        <v>1967</v>
      </c>
      <c r="D25" s="49"/>
      <c r="E25" s="49"/>
      <c r="F25" s="49"/>
      <c r="G25" s="49"/>
      <c r="H25" s="49"/>
      <c r="I25" s="49"/>
      <c r="J25" s="49"/>
      <c r="K25" s="50"/>
    </row>
    <row r="26" spans="1:11" ht="25.5" customHeight="1">
      <c r="A26" s="40" t="s">
        <v>2726</v>
      </c>
      <c r="B26" s="96" t="s">
        <v>2727</v>
      </c>
      <c r="C26" s="58" t="s">
        <v>1967</v>
      </c>
      <c r="D26" s="43"/>
      <c r="E26" s="43"/>
      <c r="F26" s="43"/>
      <c r="G26" s="43"/>
      <c r="H26" s="43"/>
      <c r="I26" s="43"/>
      <c r="J26" s="43"/>
      <c r="K26" s="44"/>
    </row>
    <row r="27" spans="1:11" ht="25.5" customHeight="1">
      <c r="A27" s="46" t="s">
        <v>2728</v>
      </c>
      <c r="B27" s="97" t="s">
        <v>2729</v>
      </c>
      <c r="C27" s="60" t="s">
        <v>1967</v>
      </c>
      <c r="D27" s="49"/>
      <c r="E27" s="49"/>
      <c r="F27" s="49"/>
      <c r="G27" s="49"/>
      <c r="H27" s="49"/>
      <c r="I27" s="49"/>
      <c r="J27" s="49"/>
      <c r="K27" s="50"/>
    </row>
    <row r="28" spans="1:11" ht="25.5" customHeight="1">
      <c r="A28" s="40" t="s">
        <v>2730</v>
      </c>
      <c r="B28" s="96" t="s">
        <v>2731</v>
      </c>
      <c r="C28" s="58" t="s">
        <v>1967</v>
      </c>
      <c r="D28" s="43"/>
      <c r="E28" s="43"/>
      <c r="F28" s="43"/>
      <c r="G28" s="43"/>
      <c r="H28" s="43"/>
      <c r="I28" s="43"/>
      <c r="J28" s="43"/>
      <c r="K28" s="44"/>
    </row>
    <row r="29" spans="1:11" ht="25.5" customHeight="1">
      <c r="A29" s="46" t="s">
        <v>2732</v>
      </c>
      <c r="B29" s="97" t="s">
        <v>2733</v>
      </c>
      <c r="C29" s="60" t="s">
        <v>1967</v>
      </c>
      <c r="D29" s="49"/>
      <c r="E29" s="49"/>
      <c r="F29" s="49"/>
      <c r="G29" s="49"/>
      <c r="H29" s="49"/>
      <c r="I29" s="49"/>
      <c r="J29" s="49"/>
      <c r="K29" s="50"/>
    </row>
    <row r="30" spans="1:11" ht="25.5" customHeight="1">
      <c r="A30" s="40" t="s">
        <v>2734</v>
      </c>
      <c r="B30" s="96" t="s">
        <v>2735</v>
      </c>
      <c r="C30" s="58" t="s">
        <v>1967</v>
      </c>
      <c r="D30" s="43"/>
      <c r="E30" s="43"/>
      <c r="F30" s="43"/>
      <c r="G30" s="43"/>
      <c r="H30" s="43"/>
      <c r="I30" s="43"/>
      <c r="J30" s="43"/>
      <c r="K30" s="44"/>
    </row>
    <row r="31" spans="1:11" ht="25.5" customHeight="1">
      <c r="A31" s="46" t="s">
        <v>2736</v>
      </c>
      <c r="B31" s="97" t="s">
        <v>2737</v>
      </c>
      <c r="C31" s="60" t="s">
        <v>1967</v>
      </c>
      <c r="D31" s="49"/>
      <c r="E31" s="49"/>
      <c r="F31" s="49"/>
      <c r="G31" s="49"/>
      <c r="H31" s="49"/>
      <c r="I31" s="49"/>
      <c r="J31" s="49"/>
      <c r="K31" s="50"/>
    </row>
    <row r="32" spans="1:11" ht="25.5" customHeight="1">
      <c r="A32" s="40" t="s">
        <v>2738</v>
      </c>
      <c r="B32" s="96" t="s">
        <v>2739</v>
      </c>
      <c r="C32" s="58" t="s">
        <v>1967</v>
      </c>
      <c r="D32" s="43"/>
      <c r="E32" s="43"/>
      <c r="F32" s="43"/>
      <c r="G32" s="43"/>
      <c r="H32" s="43"/>
      <c r="I32" s="43"/>
      <c r="J32" s="43"/>
      <c r="K32" s="44"/>
    </row>
    <row r="33" spans="1:11" ht="25.5" customHeight="1">
      <c r="A33" s="46" t="s">
        <v>2740</v>
      </c>
      <c r="B33" s="97" t="s">
        <v>2741</v>
      </c>
      <c r="C33" s="60" t="s">
        <v>1967</v>
      </c>
      <c r="D33" s="49"/>
      <c r="E33" s="49"/>
      <c r="F33" s="49"/>
      <c r="G33" s="49"/>
      <c r="H33" s="49"/>
      <c r="I33" s="49"/>
      <c r="J33" s="49"/>
      <c r="K33" s="50"/>
    </row>
    <row r="34" spans="1:11" ht="25.5" customHeight="1">
      <c r="A34" s="40" t="s">
        <v>2742</v>
      </c>
      <c r="B34" s="96" t="s">
        <v>2743</v>
      </c>
      <c r="C34" s="58" t="s">
        <v>1967</v>
      </c>
      <c r="D34" s="43"/>
      <c r="E34" s="43"/>
      <c r="F34" s="43"/>
      <c r="G34" s="43"/>
      <c r="H34" s="43"/>
      <c r="I34" s="43"/>
      <c r="J34" s="43"/>
      <c r="K34" s="44"/>
    </row>
    <row r="35" spans="1:11">
      <c r="A35" s="46" t="s">
        <v>2744</v>
      </c>
      <c r="B35" s="97" t="s">
        <v>2745</v>
      </c>
      <c r="C35" s="60" t="s">
        <v>1967</v>
      </c>
      <c r="D35" s="49"/>
      <c r="E35" s="49"/>
      <c r="F35" s="49"/>
      <c r="G35" s="49"/>
      <c r="H35" s="49"/>
      <c r="I35" s="49"/>
      <c r="J35" s="49"/>
      <c r="K35" s="50"/>
    </row>
    <row r="36" spans="1:11">
      <c r="A36" s="40" t="s">
        <v>2746</v>
      </c>
      <c r="B36" s="96" t="s">
        <v>2747</v>
      </c>
      <c r="C36" s="58" t="s">
        <v>1967</v>
      </c>
      <c r="D36" s="43"/>
      <c r="E36" s="43"/>
      <c r="F36" s="43"/>
      <c r="G36" s="43"/>
      <c r="H36" s="43"/>
      <c r="I36" s="43"/>
      <c r="J36" s="43"/>
      <c r="K36" s="44"/>
    </row>
    <row r="37" spans="1:11">
      <c r="A37" s="46" t="s">
        <v>2748</v>
      </c>
      <c r="B37" s="97" t="s">
        <v>2749</v>
      </c>
      <c r="C37" s="60" t="s">
        <v>1967</v>
      </c>
      <c r="D37" s="49"/>
      <c r="E37" s="49"/>
      <c r="F37" s="49"/>
      <c r="G37" s="49"/>
      <c r="H37" s="49"/>
      <c r="I37" s="49"/>
      <c r="J37" s="49"/>
      <c r="K37" s="50"/>
    </row>
    <row r="38" spans="1:11">
      <c r="A38" s="40" t="s">
        <v>2750</v>
      </c>
      <c r="B38" s="96" t="s">
        <v>2751</v>
      </c>
      <c r="C38" s="58" t="s">
        <v>1967</v>
      </c>
      <c r="D38" s="43"/>
      <c r="E38" s="43"/>
      <c r="F38" s="43"/>
      <c r="G38" s="43"/>
      <c r="H38" s="43"/>
      <c r="I38" s="43"/>
      <c r="J38" s="43"/>
      <c r="K38" s="44"/>
    </row>
    <row r="39" spans="1:11">
      <c r="A39" s="46" t="s">
        <v>2752</v>
      </c>
      <c r="B39" s="97" t="s">
        <v>2753</v>
      </c>
      <c r="C39" s="60" t="s">
        <v>1967</v>
      </c>
      <c r="D39" s="49"/>
      <c r="E39" s="49"/>
      <c r="F39" s="49"/>
      <c r="G39" s="49"/>
      <c r="H39" s="49"/>
      <c r="I39" s="49"/>
      <c r="J39" s="49"/>
      <c r="K39" s="50"/>
    </row>
    <row r="40" spans="1:11">
      <c r="A40" s="40" t="s">
        <v>2754</v>
      </c>
      <c r="B40" s="96" t="s">
        <v>2755</v>
      </c>
      <c r="C40" s="58" t="s">
        <v>1967</v>
      </c>
      <c r="D40" s="43"/>
      <c r="E40" s="43"/>
      <c r="F40" s="43"/>
      <c r="G40" s="43"/>
      <c r="H40" s="43"/>
      <c r="I40" s="43"/>
      <c r="J40" s="43"/>
      <c r="K40" s="44"/>
    </row>
    <row r="41" spans="1:11">
      <c r="A41" s="46" t="s">
        <v>2756</v>
      </c>
      <c r="B41" s="97" t="s">
        <v>2757</v>
      </c>
      <c r="C41" s="60" t="s">
        <v>2655</v>
      </c>
      <c r="D41" s="49"/>
      <c r="E41" s="49"/>
      <c r="F41" s="49">
        <v>1680000</v>
      </c>
      <c r="G41" s="49"/>
      <c r="H41" s="49"/>
      <c r="I41" s="49"/>
      <c r="J41" s="49"/>
      <c r="K41" s="50"/>
    </row>
    <row r="42" spans="1:11">
      <c r="A42" s="40" t="s">
        <v>2758</v>
      </c>
      <c r="B42" s="96" t="s">
        <v>2759</v>
      </c>
      <c r="C42" s="58" t="s">
        <v>2655</v>
      </c>
      <c r="D42" s="43"/>
      <c r="E42" s="43"/>
      <c r="F42" s="43">
        <v>1680000</v>
      </c>
      <c r="G42" s="43"/>
      <c r="H42" s="43"/>
      <c r="I42" s="43"/>
      <c r="J42" s="43"/>
      <c r="K42" s="44"/>
    </row>
    <row r="43" spans="1:11">
      <c r="A43" s="46" t="s">
        <v>2760</v>
      </c>
      <c r="B43" s="97" t="s">
        <v>2761</v>
      </c>
      <c r="C43" s="60" t="s">
        <v>2655</v>
      </c>
      <c r="D43" s="49"/>
      <c r="E43" s="49"/>
      <c r="F43" s="49">
        <v>1680000</v>
      </c>
      <c r="G43" s="49"/>
      <c r="H43" s="49"/>
      <c r="I43" s="49"/>
      <c r="J43" s="49"/>
      <c r="K43" s="50"/>
    </row>
    <row r="44" spans="1:11">
      <c r="A44" s="40" t="s">
        <v>2762</v>
      </c>
      <c r="B44" s="96" t="s">
        <v>2763</v>
      </c>
      <c r="C44" s="58" t="s">
        <v>2655</v>
      </c>
      <c r="D44" s="43"/>
      <c r="E44" s="43"/>
      <c r="F44" s="43">
        <v>1680000</v>
      </c>
      <c r="G44" s="43"/>
      <c r="H44" s="43"/>
      <c r="I44" s="43"/>
      <c r="J44" s="43"/>
      <c r="K44" s="44"/>
    </row>
    <row r="45" spans="1:11">
      <c r="A45" s="46" t="s">
        <v>2764</v>
      </c>
      <c r="B45" s="97" t="s">
        <v>2765</v>
      </c>
      <c r="C45" s="60" t="s">
        <v>2655</v>
      </c>
      <c r="D45" s="49"/>
      <c r="E45" s="49"/>
      <c r="F45" s="49">
        <v>1680000</v>
      </c>
      <c r="G45" s="49"/>
      <c r="H45" s="49"/>
      <c r="I45" s="49"/>
      <c r="J45" s="49"/>
      <c r="K45" s="50"/>
    </row>
    <row r="46" spans="1:11">
      <c r="A46" s="40" t="s">
        <v>2766</v>
      </c>
      <c r="B46" s="96" t="s">
        <v>2767</v>
      </c>
      <c r="C46" s="58" t="s">
        <v>2655</v>
      </c>
      <c r="D46" s="43"/>
      <c r="E46" s="43"/>
      <c r="F46" s="43">
        <v>1680000</v>
      </c>
      <c r="G46" s="43"/>
      <c r="H46" s="43"/>
      <c r="I46" s="43"/>
      <c r="J46" s="43"/>
      <c r="K46" s="44"/>
    </row>
    <row r="47" spans="1:11">
      <c r="A47" s="46" t="s">
        <v>2768</v>
      </c>
      <c r="B47" s="97" t="s">
        <v>2769</v>
      </c>
      <c r="C47" s="60" t="s">
        <v>2655</v>
      </c>
      <c r="D47" s="49"/>
      <c r="E47" s="49"/>
      <c r="F47" s="49">
        <v>1680000</v>
      </c>
      <c r="G47" s="49"/>
      <c r="H47" s="49"/>
      <c r="I47" s="49"/>
      <c r="J47" s="49"/>
      <c r="K47" s="50"/>
    </row>
    <row r="48" spans="1:11">
      <c r="A48" s="40" t="s">
        <v>2770</v>
      </c>
      <c r="B48" s="96" t="s">
        <v>2771</v>
      </c>
      <c r="C48" s="58" t="s">
        <v>2655</v>
      </c>
      <c r="D48" s="43"/>
      <c r="E48" s="43"/>
      <c r="F48" s="43">
        <v>1680000</v>
      </c>
      <c r="G48" s="43"/>
      <c r="H48" s="43"/>
      <c r="I48" s="43"/>
      <c r="J48" s="43"/>
      <c r="K48" s="44"/>
    </row>
    <row r="49" spans="1:11">
      <c r="A49" s="46" t="s">
        <v>2772</v>
      </c>
      <c r="B49" s="97" t="s">
        <v>2773</v>
      </c>
      <c r="C49" s="60" t="s">
        <v>2655</v>
      </c>
      <c r="D49" s="49"/>
      <c r="E49" s="49"/>
      <c r="F49" s="49">
        <v>1680000</v>
      </c>
      <c r="G49" s="49"/>
      <c r="H49" s="49"/>
      <c r="I49" s="49"/>
      <c r="J49" s="49"/>
      <c r="K49" s="50"/>
    </row>
    <row r="50" spans="1:11">
      <c r="A50" s="40" t="s">
        <v>2774</v>
      </c>
      <c r="B50" s="96" t="s">
        <v>2775</v>
      </c>
      <c r="C50" s="58" t="s">
        <v>2655</v>
      </c>
      <c r="D50" s="43"/>
      <c r="E50" s="43"/>
      <c r="F50" s="43">
        <v>1680000</v>
      </c>
      <c r="G50" s="43"/>
      <c r="H50" s="43"/>
      <c r="I50" s="43"/>
      <c r="J50" s="43"/>
      <c r="K50" s="44"/>
    </row>
    <row r="51" spans="1:11">
      <c r="A51" s="46" t="s">
        <v>2776</v>
      </c>
      <c r="B51" s="97" t="s">
        <v>2777</v>
      </c>
      <c r="C51" s="60" t="s">
        <v>2655</v>
      </c>
      <c r="D51" s="49"/>
      <c r="E51" s="49"/>
      <c r="F51" s="49">
        <v>1680000</v>
      </c>
      <c r="G51" s="49"/>
      <c r="H51" s="49"/>
      <c r="I51" s="49"/>
      <c r="J51" s="49"/>
      <c r="K51" s="50"/>
    </row>
    <row r="52" spans="1:11">
      <c r="A52" s="40" t="s">
        <v>2778</v>
      </c>
      <c r="B52" s="96" t="s">
        <v>2779</v>
      </c>
      <c r="C52" s="58" t="s">
        <v>2655</v>
      </c>
      <c r="D52" s="43"/>
      <c r="E52" s="43"/>
      <c r="F52" s="43">
        <v>1680000</v>
      </c>
      <c r="G52" s="43"/>
      <c r="H52" s="43"/>
      <c r="I52" s="43"/>
      <c r="J52" s="43"/>
      <c r="K52" s="44"/>
    </row>
    <row r="53" spans="1:11">
      <c r="A53" s="46" t="s">
        <v>2780</v>
      </c>
      <c r="B53" s="97" t="s">
        <v>2781</v>
      </c>
      <c r="C53" s="60" t="s">
        <v>2655</v>
      </c>
      <c r="D53" s="49"/>
      <c r="E53" s="49"/>
      <c r="F53" s="49">
        <v>1680000</v>
      </c>
      <c r="G53" s="49"/>
      <c r="H53" s="49"/>
      <c r="I53" s="49"/>
      <c r="J53" s="49"/>
      <c r="K53" s="50"/>
    </row>
    <row r="54" spans="1:11">
      <c r="A54" s="40" t="s">
        <v>2782</v>
      </c>
      <c r="B54" s="96" t="s">
        <v>2783</v>
      </c>
      <c r="C54" s="58" t="s">
        <v>2655</v>
      </c>
      <c r="D54" s="43"/>
      <c r="E54" s="43"/>
      <c r="F54" s="43">
        <v>1680000</v>
      </c>
      <c r="G54" s="43"/>
      <c r="H54" s="43"/>
      <c r="I54" s="43"/>
      <c r="J54" s="43"/>
      <c r="K54" s="44"/>
    </row>
    <row r="55" spans="1:11">
      <c r="A55" s="46" t="s">
        <v>2784</v>
      </c>
      <c r="B55" s="97" t="s">
        <v>2785</v>
      </c>
      <c r="C55" s="60" t="s">
        <v>2655</v>
      </c>
      <c r="D55" s="49"/>
      <c r="E55" s="49"/>
      <c r="F55" s="49">
        <v>1680000</v>
      </c>
      <c r="G55" s="49"/>
      <c r="H55" s="49"/>
      <c r="I55" s="49"/>
      <c r="J55" s="49"/>
      <c r="K55" s="50"/>
    </row>
    <row r="56" spans="1:11">
      <c r="A56" s="40" t="s">
        <v>2786</v>
      </c>
      <c r="B56" s="96" t="s">
        <v>2787</v>
      </c>
      <c r="C56" s="58" t="s">
        <v>2655</v>
      </c>
      <c r="D56" s="43"/>
      <c r="E56" s="43"/>
      <c r="F56" s="43">
        <v>1680000</v>
      </c>
      <c r="G56" s="43"/>
      <c r="H56" s="43"/>
      <c r="I56" s="43"/>
      <c r="J56" s="43"/>
      <c r="K56" s="44"/>
    </row>
    <row r="57" spans="1:11">
      <c r="A57" s="46" t="s">
        <v>2788</v>
      </c>
      <c r="B57" s="97" t="s">
        <v>2789</v>
      </c>
      <c r="C57" s="60" t="s">
        <v>2655</v>
      </c>
      <c r="D57" s="49"/>
      <c r="E57" s="49"/>
      <c r="F57" s="49">
        <v>1680000</v>
      </c>
      <c r="G57" s="49"/>
      <c r="H57" s="49"/>
      <c r="I57" s="49"/>
      <c r="J57" s="49"/>
      <c r="K57" s="50"/>
    </row>
    <row r="58" spans="1:11">
      <c r="A58" s="40" t="s">
        <v>2790</v>
      </c>
      <c r="B58" s="96" t="s">
        <v>2791</v>
      </c>
      <c r="C58" s="58" t="s">
        <v>2655</v>
      </c>
      <c r="D58" s="43"/>
      <c r="E58" s="43"/>
      <c r="F58" s="43">
        <v>1680000</v>
      </c>
      <c r="G58" s="43"/>
      <c r="H58" s="43"/>
      <c r="I58" s="43"/>
      <c r="J58" s="43"/>
      <c r="K58" s="44"/>
    </row>
    <row r="59" spans="1:11">
      <c r="A59" s="46" t="s">
        <v>2792</v>
      </c>
      <c r="B59" s="97" t="s">
        <v>2793</v>
      </c>
      <c r="C59" s="60" t="s">
        <v>2655</v>
      </c>
      <c r="D59" s="49"/>
      <c r="E59" s="49"/>
      <c r="F59" s="49">
        <v>1680000</v>
      </c>
      <c r="G59" s="49"/>
      <c r="H59" s="49"/>
      <c r="I59" s="49"/>
      <c r="J59" s="49"/>
      <c r="K59" s="50"/>
    </row>
    <row r="60" spans="1:11">
      <c r="A60" s="40" t="s">
        <v>2794</v>
      </c>
      <c r="B60" s="96" t="s">
        <v>2795</v>
      </c>
      <c r="C60" s="58" t="s">
        <v>2655</v>
      </c>
      <c r="D60" s="43"/>
      <c r="E60" s="43"/>
      <c r="F60" s="43">
        <v>1680000</v>
      </c>
      <c r="G60" s="43"/>
      <c r="H60" s="43"/>
      <c r="I60" s="43"/>
      <c r="J60" s="43"/>
      <c r="K60" s="44"/>
    </row>
    <row r="61" spans="1:11">
      <c r="A61" s="46" t="s">
        <v>2796</v>
      </c>
      <c r="B61" s="97" t="s">
        <v>2797</v>
      </c>
      <c r="C61" s="60" t="s">
        <v>2655</v>
      </c>
      <c r="D61" s="49"/>
      <c r="E61" s="49"/>
      <c r="F61" s="49">
        <v>1680000</v>
      </c>
      <c r="G61" s="49"/>
      <c r="H61" s="49"/>
      <c r="I61" s="49"/>
      <c r="J61" s="49"/>
      <c r="K61" s="50"/>
    </row>
    <row r="62" spans="1:11">
      <c r="A62" s="40" t="s">
        <v>2798</v>
      </c>
      <c r="B62" s="96" t="s">
        <v>2799</v>
      </c>
      <c r="C62" s="58" t="s">
        <v>2655</v>
      </c>
      <c r="D62" s="43"/>
      <c r="E62" s="43"/>
      <c r="F62" s="43">
        <v>1680000</v>
      </c>
      <c r="G62" s="43"/>
      <c r="H62" s="43"/>
      <c r="I62" s="43"/>
      <c r="J62" s="43"/>
      <c r="K62" s="44"/>
    </row>
    <row r="63" spans="1:11">
      <c r="A63" s="46" t="s">
        <v>2800</v>
      </c>
      <c r="B63" s="97" t="s">
        <v>2801</v>
      </c>
      <c r="C63" s="60" t="s">
        <v>2655</v>
      </c>
      <c r="D63" s="49"/>
      <c r="E63" s="49"/>
      <c r="F63" s="49">
        <v>1680000</v>
      </c>
      <c r="G63" s="49"/>
      <c r="H63" s="49"/>
      <c r="I63" s="49"/>
      <c r="J63" s="49"/>
      <c r="K63" s="50"/>
    </row>
    <row r="64" spans="1:11">
      <c r="A64" s="40" t="s">
        <v>2802</v>
      </c>
      <c r="B64" s="96" t="s">
        <v>2803</v>
      </c>
      <c r="C64" s="58" t="s">
        <v>2655</v>
      </c>
      <c r="D64" s="43"/>
      <c r="E64" s="43"/>
      <c r="F64" s="43">
        <v>1680000</v>
      </c>
      <c r="G64" s="43"/>
      <c r="H64" s="43"/>
      <c r="I64" s="43"/>
      <c r="J64" s="43"/>
      <c r="K64" s="44"/>
    </row>
    <row r="65" spans="1:11">
      <c r="A65" s="46" t="s">
        <v>2804</v>
      </c>
      <c r="B65" s="97" t="s">
        <v>2805</v>
      </c>
      <c r="C65" s="60" t="s">
        <v>2655</v>
      </c>
      <c r="D65" s="49"/>
      <c r="E65" s="49"/>
      <c r="F65" s="49">
        <v>1680000</v>
      </c>
      <c r="G65" s="49"/>
      <c r="H65" s="49"/>
      <c r="I65" s="49"/>
      <c r="J65" s="49"/>
      <c r="K65" s="50"/>
    </row>
    <row r="66" spans="1:11">
      <c r="A66" s="40" t="s">
        <v>2806</v>
      </c>
      <c r="B66" s="96" t="s">
        <v>2807</v>
      </c>
      <c r="C66" s="58" t="s">
        <v>2655</v>
      </c>
      <c r="D66" s="43"/>
      <c r="E66" s="43"/>
      <c r="F66" s="43">
        <v>1680000</v>
      </c>
      <c r="G66" s="43"/>
      <c r="H66" s="43"/>
      <c r="I66" s="43"/>
      <c r="J66" s="43"/>
      <c r="K66" s="44"/>
    </row>
    <row r="67" spans="1:11">
      <c r="A67" s="46" t="s">
        <v>2808</v>
      </c>
      <c r="B67" s="97" t="s">
        <v>2809</v>
      </c>
      <c r="C67" s="60" t="s">
        <v>2655</v>
      </c>
      <c r="D67" s="49"/>
      <c r="E67" s="49"/>
      <c r="F67" s="49">
        <v>1680000</v>
      </c>
      <c r="G67" s="49"/>
      <c r="H67" s="49"/>
      <c r="I67" s="49"/>
      <c r="J67" s="49"/>
      <c r="K67" s="50"/>
    </row>
    <row r="68" spans="1:11" ht="25.5" customHeight="1">
      <c r="A68" s="40" t="s">
        <v>2810</v>
      </c>
      <c r="B68" s="96" t="s">
        <v>2811</v>
      </c>
      <c r="C68" s="58" t="s">
        <v>2611</v>
      </c>
      <c r="D68" s="43"/>
      <c r="E68" s="43"/>
      <c r="F68" s="43">
        <v>1680000</v>
      </c>
      <c r="G68" s="43"/>
      <c r="H68" s="43"/>
      <c r="I68" s="43"/>
      <c r="J68" s="43"/>
      <c r="K68" s="44"/>
    </row>
    <row r="69" spans="1:11" ht="25.5" customHeight="1">
      <c r="A69" s="46" t="s">
        <v>2812</v>
      </c>
      <c r="B69" s="97" t="s">
        <v>2813</v>
      </c>
      <c r="C69" s="60" t="s">
        <v>1967</v>
      </c>
      <c r="D69" s="49"/>
      <c r="E69" s="49"/>
      <c r="F69" s="49"/>
      <c r="G69" s="49"/>
      <c r="H69" s="49"/>
      <c r="I69" s="49"/>
      <c r="J69" s="49"/>
      <c r="K69" s="50"/>
    </row>
    <row r="70" spans="1:11" ht="25.5" customHeight="1">
      <c r="A70" s="40" t="s">
        <v>2814</v>
      </c>
      <c r="B70" s="96" t="s">
        <v>2815</v>
      </c>
      <c r="C70" s="58" t="s">
        <v>1967</v>
      </c>
      <c r="D70" s="43"/>
      <c r="E70" s="43"/>
      <c r="F70" s="43"/>
      <c r="G70" s="43"/>
      <c r="H70" s="43"/>
      <c r="I70" s="43"/>
      <c r="J70" s="43"/>
      <c r="K70" s="44"/>
    </row>
    <row r="71" spans="1:11" ht="25.5" customHeight="1">
      <c r="A71" s="46" t="s">
        <v>2816</v>
      </c>
      <c r="B71" s="97" t="s">
        <v>2817</v>
      </c>
      <c r="C71" s="60" t="s">
        <v>1967</v>
      </c>
      <c r="D71" s="49"/>
      <c r="E71" s="49"/>
      <c r="F71" s="49"/>
      <c r="G71" s="49"/>
      <c r="H71" s="49"/>
      <c r="I71" s="49"/>
      <c r="J71" s="49"/>
      <c r="K71" s="50"/>
    </row>
    <row r="72" spans="1:11" ht="25.5" customHeight="1">
      <c r="A72" s="40" t="s">
        <v>2818</v>
      </c>
      <c r="B72" s="96" t="s">
        <v>2819</v>
      </c>
      <c r="C72" s="58" t="s">
        <v>1967</v>
      </c>
      <c r="D72" s="43"/>
      <c r="E72" s="43"/>
      <c r="F72" s="43"/>
      <c r="G72" s="43"/>
      <c r="H72" s="43"/>
      <c r="I72" s="43"/>
      <c r="J72" s="43"/>
      <c r="K72" s="44"/>
    </row>
    <row r="73" spans="1:11" ht="25.5" customHeight="1">
      <c r="A73" s="46" t="s">
        <v>2820</v>
      </c>
      <c r="B73" s="97" t="s">
        <v>2821</v>
      </c>
      <c r="C73" s="60" t="s">
        <v>1967</v>
      </c>
      <c r="D73" s="49"/>
      <c r="E73" s="49"/>
      <c r="F73" s="49"/>
      <c r="G73" s="49"/>
      <c r="H73" s="49"/>
      <c r="I73" s="49"/>
      <c r="J73" s="49"/>
      <c r="K73" s="50"/>
    </row>
    <row r="74" spans="1:11" ht="25.5" customHeight="1">
      <c r="A74" s="40" t="s">
        <v>2822</v>
      </c>
      <c r="B74" s="96" t="s">
        <v>2823</v>
      </c>
      <c r="C74" s="58" t="s">
        <v>1967</v>
      </c>
      <c r="D74" s="43"/>
      <c r="E74" s="43"/>
      <c r="F74" s="43"/>
      <c r="G74" s="43"/>
      <c r="H74" s="43"/>
      <c r="I74" s="43"/>
      <c r="J74" s="43"/>
      <c r="K74" s="44"/>
    </row>
    <row r="75" spans="1:11" ht="25.5" customHeight="1">
      <c r="A75" s="46" t="s">
        <v>2824</v>
      </c>
      <c r="B75" s="97" t="s">
        <v>2825</v>
      </c>
      <c r="C75" s="60" t="s">
        <v>1967</v>
      </c>
      <c r="D75" s="49"/>
      <c r="E75" s="49"/>
      <c r="F75" s="49"/>
      <c r="G75" s="49"/>
      <c r="H75" s="49"/>
      <c r="I75" s="49"/>
      <c r="J75" s="49"/>
      <c r="K75" s="50"/>
    </row>
    <row r="76" spans="1:11" ht="25.5" customHeight="1">
      <c r="A76" s="40" t="s">
        <v>2826</v>
      </c>
      <c r="B76" s="96" t="s">
        <v>2827</v>
      </c>
      <c r="C76" s="58" t="s">
        <v>1967</v>
      </c>
      <c r="D76" s="43"/>
      <c r="E76" s="43"/>
      <c r="F76" s="43"/>
      <c r="G76" s="43"/>
      <c r="H76" s="43"/>
      <c r="I76" s="43"/>
      <c r="J76" s="43"/>
      <c r="K76" s="44"/>
    </row>
    <row r="77" spans="1:11" ht="25.5" customHeight="1">
      <c r="A77" s="46" t="s">
        <v>2828</v>
      </c>
      <c r="B77" s="97" t="s">
        <v>2829</v>
      </c>
      <c r="C77" s="60" t="s">
        <v>1967</v>
      </c>
      <c r="D77" s="49"/>
      <c r="E77" s="49"/>
      <c r="F77" s="49"/>
      <c r="G77" s="49"/>
      <c r="H77" s="49"/>
      <c r="I77" s="49"/>
      <c r="J77" s="49"/>
      <c r="K77" s="50"/>
    </row>
    <row r="78" spans="1:11" ht="25.5" customHeight="1">
      <c r="A78" s="40" t="s">
        <v>2830</v>
      </c>
      <c r="B78" s="96" t="s">
        <v>2831</v>
      </c>
      <c r="C78" s="58" t="s">
        <v>1967</v>
      </c>
      <c r="D78" s="43"/>
      <c r="E78" s="43"/>
      <c r="F78" s="43"/>
      <c r="G78" s="43"/>
      <c r="H78" s="43"/>
      <c r="I78" s="43"/>
      <c r="J78" s="43"/>
      <c r="K78" s="44"/>
    </row>
    <row r="79" spans="1:11" ht="25.5" customHeight="1">
      <c r="A79" s="46" t="s">
        <v>2832</v>
      </c>
      <c r="B79" s="97" t="s">
        <v>2833</v>
      </c>
      <c r="C79" s="60" t="s">
        <v>1967</v>
      </c>
      <c r="D79" s="49"/>
      <c r="E79" s="49"/>
      <c r="F79" s="49"/>
      <c r="G79" s="49"/>
      <c r="H79" s="49"/>
      <c r="I79" s="49"/>
      <c r="J79" s="49"/>
      <c r="K79" s="50"/>
    </row>
    <row r="80" spans="1:11" ht="25.5" customHeight="1">
      <c r="A80" s="40" t="s">
        <v>2834</v>
      </c>
      <c r="B80" s="96" t="s">
        <v>2835</v>
      </c>
      <c r="C80" s="58" t="s">
        <v>1967</v>
      </c>
      <c r="D80" s="43"/>
      <c r="E80" s="43"/>
      <c r="F80" s="43"/>
      <c r="G80" s="43"/>
      <c r="H80" s="43"/>
      <c r="I80" s="43"/>
      <c r="J80" s="43"/>
      <c r="K80" s="44"/>
    </row>
    <row r="81" spans="1:11" ht="25.5" customHeight="1">
      <c r="A81" s="46" t="s">
        <v>2836</v>
      </c>
      <c r="B81" s="97" t="s">
        <v>2837</v>
      </c>
      <c r="C81" s="60" t="s">
        <v>1967</v>
      </c>
      <c r="D81" s="49"/>
      <c r="E81" s="49"/>
      <c r="F81" s="49"/>
      <c r="G81" s="49"/>
      <c r="H81" s="49"/>
      <c r="I81" s="49"/>
      <c r="J81" s="49"/>
      <c r="K81" s="50"/>
    </row>
    <row r="82" spans="1:11" ht="25.5" customHeight="1">
      <c r="A82" s="40" t="s">
        <v>2838</v>
      </c>
      <c r="B82" s="96" t="s">
        <v>2839</v>
      </c>
      <c r="C82" s="58" t="s">
        <v>1967</v>
      </c>
      <c r="D82" s="43"/>
      <c r="E82" s="43"/>
      <c r="F82" s="43"/>
      <c r="G82" s="43"/>
      <c r="H82" s="43"/>
      <c r="I82" s="43"/>
      <c r="J82" s="43"/>
      <c r="K82" s="44"/>
    </row>
    <row r="83" spans="1:11" ht="25.5" customHeight="1">
      <c r="A83" s="46" t="s">
        <v>2840</v>
      </c>
      <c r="B83" s="97" t="s">
        <v>2841</v>
      </c>
      <c r="C83" s="60" t="s">
        <v>1967</v>
      </c>
      <c r="D83" s="49"/>
      <c r="E83" s="49"/>
      <c r="F83" s="49"/>
      <c r="G83" s="49"/>
      <c r="H83" s="49"/>
      <c r="I83" s="49"/>
      <c r="J83" s="49"/>
      <c r="K83" s="50"/>
    </row>
    <row r="84" spans="1:11" ht="25.5" customHeight="1">
      <c r="A84" s="40" t="s">
        <v>2842</v>
      </c>
      <c r="B84" s="96" t="s">
        <v>2843</v>
      </c>
      <c r="C84" s="58" t="s">
        <v>1967</v>
      </c>
      <c r="D84" s="43"/>
      <c r="E84" s="43"/>
      <c r="F84" s="43"/>
      <c r="G84" s="43"/>
      <c r="H84" s="43"/>
      <c r="I84" s="43"/>
      <c r="J84" s="43"/>
      <c r="K84" s="44"/>
    </row>
    <row r="85" spans="1:11" ht="25.5" customHeight="1">
      <c r="A85" s="46" t="s">
        <v>2844</v>
      </c>
      <c r="B85" s="97" t="s">
        <v>2845</v>
      </c>
      <c r="C85" s="60" t="s">
        <v>1967</v>
      </c>
      <c r="D85" s="49"/>
      <c r="E85" s="49"/>
      <c r="F85" s="49"/>
      <c r="G85" s="49"/>
      <c r="H85" s="49"/>
      <c r="I85" s="49"/>
      <c r="J85" s="49"/>
      <c r="K85" s="50"/>
    </row>
    <row r="86" spans="1:11" ht="25.5" customHeight="1">
      <c r="A86" s="40" t="s">
        <v>2846</v>
      </c>
      <c r="B86" s="96" t="s">
        <v>2847</v>
      </c>
      <c r="C86" s="58" t="s">
        <v>1967</v>
      </c>
      <c r="D86" s="43"/>
      <c r="E86" s="43"/>
      <c r="F86" s="43"/>
      <c r="G86" s="43"/>
      <c r="H86" s="43"/>
      <c r="I86" s="43"/>
      <c r="J86" s="43"/>
      <c r="K86" s="44"/>
    </row>
    <row r="87" spans="1:11" ht="25.5" customHeight="1">
      <c r="A87" s="46" t="s">
        <v>2677</v>
      </c>
      <c r="B87" s="97" t="s">
        <v>2848</v>
      </c>
      <c r="C87" s="60" t="s">
        <v>1967</v>
      </c>
      <c r="D87" s="49"/>
      <c r="E87" s="49"/>
      <c r="F87" s="49"/>
      <c r="G87" s="49"/>
      <c r="H87" s="49"/>
      <c r="I87" s="49"/>
      <c r="J87" s="49"/>
      <c r="K87" s="50"/>
    </row>
    <row r="88" spans="1:11" ht="25.5" customHeight="1">
      <c r="A88" s="40" t="s">
        <v>2680</v>
      </c>
      <c r="B88" s="96" t="s">
        <v>2849</v>
      </c>
      <c r="C88" s="58" t="s">
        <v>1967</v>
      </c>
      <c r="D88" s="43"/>
      <c r="E88" s="43"/>
      <c r="F88" s="43"/>
      <c r="G88" s="43"/>
      <c r="H88" s="43"/>
      <c r="I88" s="43"/>
      <c r="J88" s="43"/>
      <c r="K88" s="44"/>
    </row>
    <row r="89" spans="1:11" ht="25.5" customHeight="1">
      <c r="A89" s="46" t="s">
        <v>2682</v>
      </c>
      <c r="B89" s="97" t="s">
        <v>2850</v>
      </c>
      <c r="C89" s="60" t="s">
        <v>1967</v>
      </c>
      <c r="D89" s="49"/>
      <c r="E89" s="49"/>
      <c r="F89" s="49"/>
      <c r="G89" s="49"/>
      <c r="H89" s="49"/>
      <c r="I89" s="49"/>
      <c r="J89" s="49"/>
      <c r="K89" s="50"/>
    </row>
    <row r="90" spans="1:11" ht="25.5" customHeight="1">
      <c r="A90" s="40" t="s">
        <v>2684</v>
      </c>
      <c r="B90" s="96" t="s">
        <v>2851</v>
      </c>
      <c r="C90" s="58" t="s">
        <v>1967</v>
      </c>
      <c r="D90" s="43"/>
      <c r="E90" s="43"/>
      <c r="F90" s="43"/>
      <c r="G90" s="43"/>
      <c r="H90" s="43"/>
      <c r="I90" s="43"/>
      <c r="J90" s="43"/>
      <c r="K90" s="44"/>
    </row>
    <row r="91" spans="1:11" ht="25.5" customHeight="1">
      <c r="A91" s="46" t="s">
        <v>2686</v>
      </c>
      <c r="B91" s="97" t="s">
        <v>2852</v>
      </c>
      <c r="C91" s="60" t="s">
        <v>1967</v>
      </c>
      <c r="D91" s="49"/>
      <c r="E91" s="49"/>
      <c r="F91" s="49"/>
      <c r="G91" s="49"/>
      <c r="H91" s="49"/>
      <c r="I91" s="49"/>
      <c r="J91" s="49"/>
      <c r="K91" s="50"/>
    </row>
    <row r="92" spans="1:11" ht="25.5" customHeight="1">
      <c r="A92" s="40" t="s">
        <v>2688</v>
      </c>
      <c r="B92" s="96" t="s">
        <v>2853</v>
      </c>
      <c r="C92" s="58" t="s">
        <v>1967</v>
      </c>
      <c r="D92" s="43"/>
      <c r="E92" s="43"/>
      <c r="F92" s="43"/>
      <c r="G92" s="43"/>
      <c r="H92" s="43"/>
      <c r="I92" s="43"/>
      <c r="J92" s="43"/>
      <c r="K92" s="44"/>
    </row>
    <row r="93" spans="1:11" ht="25.5" customHeight="1">
      <c r="A93" s="46" t="s">
        <v>2690</v>
      </c>
      <c r="B93" s="97" t="s">
        <v>2854</v>
      </c>
      <c r="C93" s="60" t="s">
        <v>1967</v>
      </c>
      <c r="D93" s="49"/>
      <c r="E93" s="49"/>
      <c r="F93" s="49"/>
      <c r="G93" s="49"/>
      <c r="H93" s="49"/>
      <c r="I93" s="49"/>
      <c r="J93" s="49"/>
      <c r="K93" s="50"/>
    </row>
    <row r="94" spans="1:11" ht="25.5" customHeight="1">
      <c r="A94" s="40" t="s">
        <v>2692</v>
      </c>
      <c r="B94" s="96" t="s">
        <v>2855</v>
      </c>
      <c r="C94" s="58" t="s">
        <v>1967</v>
      </c>
      <c r="D94" s="43"/>
      <c r="E94" s="43"/>
      <c r="F94" s="43"/>
      <c r="G94" s="43"/>
      <c r="H94" s="43"/>
      <c r="I94" s="43"/>
      <c r="J94" s="43"/>
      <c r="K94" s="44"/>
    </row>
    <row r="95" spans="1:11" ht="25.5" customHeight="1">
      <c r="A95" s="46" t="s">
        <v>2694</v>
      </c>
      <c r="B95" s="97" t="s">
        <v>2856</v>
      </c>
      <c r="C95" s="60" t="s">
        <v>1967</v>
      </c>
      <c r="D95" s="49"/>
      <c r="E95" s="49"/>
      <c r="F95" s="49"/>
      <c r="G95" s="49"/>
      <c r="H95" s="49"/>
      <c r="I95" s="49"/>
      <c r="J95" s="49"/>
      <c r="K95" s="50"/>
    </row>
    <row r="96" spans="1:11" ht="25.9" customHeight="1">
      <c r="A96" s="127" t="s">
        <v>2696</v>
      </c>
      <c r="B96" s="128" t="s">
        <v>2857</v>
      </c>
      <c r="C96" s="140" t="s">
        <v>1967</v>
      </c>
      <c r="D96" s="122"/>
      <c r="E96" s="122"/>
      <c r="F96" s="122"/>
      <c r="G96" s="122"/>
      <c r="H96" s="122"/>
      <c r="I96" s="122"/>
      <c r="J96" s="122"/>
      <c r="K96" s="123"/>
    </row>
  </sheetData>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H13"/>
  <sheetViews>
    <sheetView rightToLeft="1" workbookViewId="0">
      <pane ySplit="2" topLeftCell="A3" activePane="bottomLeft" state="frozen"/>
      <selection pane="bottomLeft"/>
    </sheetView>
  </sheetViews>
  <sheetFormatPr defaultRowHeight="13.5"/>
  <cols>
    <col min="1" max="1" width="14.1875" customWidth="1"/>
    <col min="2" max="2" width="46.6875" customWidth="1"/>
    <col min="3" max="3" width="10.8125" customWidth="1"/>
    <col min="4" max="4" width="18.3125" customWidth="1"/>
  </cols>
  <sheetData>
    <row r="1" spans="1:8" ht="32" customHeight="1">
      <c r="A1" s="27" t="s">
        <v>868</v>
      </c>
      <c r="B1" s="28" t="s">
        <v>869</v>
      </c>
      <c r="C1" s="28" t="s">
        <v>870</v>
      </c>
      <c r="D1" s="28" t="s">
        <v>871</v>
      </c>
      <c r="E1" s="28" t="s">
        <v>872</v>
      </c>
      <c r="F1" s="28" t="s">
        <v>873</v>
      </c>
      <c r="G1" s="28" t="s">
        <v>1318</v>
      </c>
      <c r="H1" s="72"/>
    </row>
    <row r="2" spans="1:8" ht="28.05" customHeight="1">
      <c r="A2" s="73" t="s">
        <v>2858</v>
      </c>
      <c r="B2" s="31" t="s">
        <v>2859</v>
      </c>
      <c r="C2" s="31" t="s">
        <v>881</v>
      </c>
      <c r="D2" s="31"/>
      <c r="E2" s="31"/>
      <c r="F2" s="32">
        <f t="shared" ref="F2:F13" si="0">H2*1.27</f>
        <v>1271270000</v>
      </c>
      <c r="G2" s="114">
        <f t="shared" ref="G2:G13" si="1">F2/H2</f>
        <v>1.27</v>
      </c>
      <c r="H2" s="141">
        <v>1001000000</v>
      </c>
    </row>
    <row r="3" spans="1:8" ht="63.75" customHeight="1">
      <c r="A3" s="75" t="s">
        <v>2860</v>
      </c>
      <c r="B3" s="35" t="s">
        <v>2861</v>
      </c>
      <c r="C3" s="36" t="s">
        <v>881</v>
      </c>
      <c r="D3" s="37"/>
      <c r="E3" s="37"/>
      <c r="F3" s="37">
        <f t="shared" si="0"/>
        <v>1598168000</v>
      </c>
      <c r="G3" s="37">
        <f t="shared" si="1"/>
        <v>1.27</v>
      </c>
      <c r="H3" s="38">
        <v>1258400000</v>
      </c>
    </row>
    <row r="4" spans="1:8" ht="63.75" customHeight="1">
      <c r="A4" s="52" t="s">
        <v>2862</v>
      </c>
      <c r="B4" s="41" t="s">
        <v>2863</v>
      </c>
      <c r="C4" s="42" t="s">
        <v>881</v>
      </c>
      <c r="D4" s="43"/>
      <c r="E4" s="43"/>
      <c r="F4" s="43">
        <f t="shared" si="0"/>
        <v>1997710000</v>
      </c>
      <c r="G4" s="43">
        <f t="shared" si="1"/>
        <v>1.27</v>
      </c>
      <c r="H4" s="44">
        <v>1573000000</v>
      </c>
    </row>
    <row r="5" spans="1:8" ht="63.75" customHeight="1">
      <c r="A5" s="51" t="s">
        <v>2864</v>
      </c>
      <c r="B5" s="47" t="s">
        <v>2865</v>
      </c>
      <c r="C5" s="48" t="s">
        <v>881</v>
      </c>
      <c r="D5" s="49"/>
      <c r="E5" s="49"/>
      <c r="F5" s="49">
        <f t="shared" si="0"/>
        <v>2905760000</v>
      </c>
      <c r="G5" s="49">
        <f t="shared" si="1"/>
        <v>1.27</v>
      </c>
      <c r="H5" s="50">
        <v>2288000000</v>
      </c>
    </row>
    <row r="6" spans="1:8" ht="63.75" customHeight="1">
      <c r="A6" s="52" t="s">
        <v>2866</v>
      </c>
      <c r="B6" s="41" t="s">
        <v>2867</v>
      </c>
      <c r="C6" s="42" t="s">
        <v>881</v>
      </c>
      <c r="D6" s="43"/>
      <c r="E6" s="43"/>
      <c r="F6" s="43">
        <f t="shared" si="0"/>
        <v>3813810000</v>
      </c>
      <c r="G6" s="43">
        <f t="shared" si="1"/>
        <v>1.27</v>
      </c>
      <c r="H6" s="44">
        <v>3003000000</v>
      </c>
    </row>
    <row r="7" spans="1:8" ht="63.75" customHeight="1">
      <c r="A7" s="51" t="s">
        <v>2868</v>
      </c>
      <c r="B7" s="47" t="s">
        <v>2869</v>
      </c>
      <c r="C7" s="48" t="s">
        <v>881</v>
      </c>
      <c r="D7" s="49"/>
      <c r="E7" s="49"/>
      <c r="F7" s="49">
        <f t="shared" si="0"/>
        <v>5085080000</v>
      </c>
      <c r="G7" s="49">
        <f t="shared" si="1"/>
        <v>1.27</v>
      </c>
      <c r="H7" s="50">
        <v>4004000000</v>
      </c>
    </row>
    <row r="8" spans="1:8" ht="63.75" customHeight="1">
      <c r="A8" s="52" t="s">
        <v>2870</v>
      </c>
      <c r="B8" s="41" t="s">
        <v>2871</v>
      </c>
      <c r="C8" s="42" t="s">
        <v>881</v>
      </c>
      <c r="D8" s="43"/>
      <c r="E8" s="43"/>
      <c r="F8" s="43">
        <f t="shared" si="0"/>
        <v>1271270000</v>
      </c>
      <c r="G8" s="43">
        <f t="shared" si="1"/>
        <v>1.27</v>
      </c>
      <c r="H8" s="44">
        <v>1001000000</v>
      </c>
    </row>
    <row r="9" spans="1:8" ht="63.75" customHeight="1">
      <c r="A9" s="51" t="s">
        <v>2872</v>
      </c>
      <c r="B9" s="47" t="s">
        <v>2873</v>
      </c>
      <c r="C9" s="48" t="s">
        <v>881</v>
      </c>
      <c r="D9" s="49"/>
      <c r="E9" s="49"/>
      <c r="F9" s="49">
        <f t="shared" si="0"/>
        <v>1598168000</v>
      </c>
      <c r="G9" s="49">
        <f t="shared" si="1"/>
        <v>1.27</v>
      </c>
      <c r="H9" s="50">
        <v>1258400000</v>
      </c>
    </row>
    <row r="10" spans="1:8" ht="63.75" customHeight="1">
      <c r="A10" s="52" t="s">
        <v>2874</v>
      </c>
      <c r="B10" s="41" t="s">
        <v>2875</v>
      </c>
      <c r="C10" s="42" t="s">
        <v>881</v>
      </c>
      <c r="D10" s="43"/>
      <c r="E10" s="43"/>
      <c r="F10" s="43">
        <f t="shared" si="0"/>
        <v>1997710000</v>
      </c>
      <c r="G10" s="43">
        <f t="shared" si="1"/>
        <v>1.27</v>
      </c>
      <c r="H10" s="44">
        <v>1573000000</v>
      </c>
    </row>
    <row r="11" spans="1:8" ht="63.75" customHeight="1">
      <c r="A11" s="51" t="s">
        <v>2876</v>
      </c>
      <c r="B11" s="47" t="s">
        <v>2877</v>
      </c>
      <c r="C11" s="48" t="s">
        <v>881</v>
      </c>
      <c r="D11" s="49"/>
      <c r="E11" s="49"/>
      <c r="F11" s="49">
        <f t="shared" si="0"/>
        <v>2905760000</v>
      </c>
      <c r="G11" s="49">
        <f t="shared" si="1"/>
        <v>1.27</v>
      </c>
      <c r="H11" s="50">
        <v>2288000000</v>
      </c>
    </row>
    <row r="12" spans="1:8" ht="63.75" customHeight="1">
      <c r="A12" s="52" t="s">
        <v>2878</v>
      </c>
      <c r="B12" s="41" t="s">
        <v>2879</v>
      </c>
      <c r="C12" s="42" t="s">
        <v>881</v>
      </c>
      <c r="D12" s="43"/>
      <c r="E12" s="43"/>
      <c r="F12" s="43">
        <f t="shared" si="0"/>
        <v>3813810000</v>
      </c>
      <c r="G12" s="43">
        <f t="shared" si="1"/>
        <v>1.27</v>
      </c>
      <c r="H12" s="44">
        <v>3003000000</v>
      </c>
    </row>
    <row r="13" spans="1:8" ht="64.150000000000006" customHeight="1">
      <c r="A13" s="84" t="s">
        <v>2880</v>
      </c>
      <c r="B13" s="77" t="s">
        <v>2881</v>
      </c>
      <c r="C13" s="78" t="s">
        <v>881</v>
      </c>
      <c r="D13" s="64"/>
      <c r="E13" s="64"/>
      <c r="F13" s="64">
        <f t="shared" si="0"/>
        <v>5085080000</v>
      </c>
      <c r="G13" s="64">
        <f t="shared" si="1"/>
        <v>1.27</v>
      </c>
      <c r="H13" s="65">
        <v>4004000000</v>
      </c>
    </row>
  </sheetData>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theme="9" tint="-0.499984740745262"/>
  </sheetPr>
  <dimension ref="A1:H17"/>
  <sheetViews>
    <sheetView rightToLeft="1" workbookViewId="0">
      <pane ySplit="2" topLeftCell="A3" activePane="bottomLeft" state="frozen"/>
      <selection pane="bottomLeft"/>
    </sheetView>
  </sheetViews>
  <sheetFormatPr defaultRowHeight="13.5"/>
  <cols>
    <col min="1" max="1" width="14.1875" customWidth="1"/>
    <col min="2" max="2" width="46.6875" customWidth="1"/>
    <col min="3" max="3" width="10.8125" customWidth="1"/>
    <col min="4" max="4" width="18.3125" customWidth="1"/>
  </cols>
  <sheetData>
    <row r="1" spans="1:8" ht="32" customHeight="1">
      <c r="A1" s="27" t="s">
        <v>868</v>
      </c>
      <c r="B1" s="28" t="s">
        <v>869</v>
      </c>
      <c r="C1" s="28" t="s">
        <v>1856</v>
      </c>
      <c r="D1" s="28" t="s">
        <v>2882</v>
      </c>
      <c r="E1" s="28" t="s">
        <v>2329</v>
      </c>
      <c r="F1" s="28" t="s">
        <v>878</v>
      </c>
      <c r="G1" s="28" t="s">
        <v>2883</v>
      </c>
      <c r="H1" s="72" t="s">
        <v>1318</v>
      </c>
    </row>
    <row r="2" spans="1:8" ht="28.05" customHeight="1">
      <c r="A2" s="73" t="s">
        <v>2884</v>
      </c>
      <c r="B2" s="31" t="s">
        <v>2885</v>
      </c>
      <c r="C2" s="31" t="s">
        <v>1967</v>
      </c>
      <c r="D2" s="31">
        <v>52000000</v>
      </c>
      <c r="E2" s="31">
        <f t="shared" ref="E2:E11" si="0">D2*1.55</f>
        <v>80600000</v>
      </c>
      <c r="F2" s="31">
        <f t="shared" ref="F2:F17" si="1">E2/D2</f>
        <v>1.55</v>
      </c>
      <c r="G2" s="32">
        <f t="shared" ref="G2:G11" si="2">E2*1.28</f>
        <v>103168000</v>
      </c>
      <c r="H2" s="142">
        <f t="shared" ref="H2:H17" si="3">G2/E2</f>
        <v>1.28</v>
      </c>
    </row>
    <row r="3" spans="1:8" ht="25.5" customHeight="1">
      <c r="A3" s="34" t="s">
        <v>2886</v>
      </c>
      <c r="B3" s="95" t="s">
        <v>2887</v>
      </c>
      <c r="C3" s="100" t="s">
        <v>1967</v>
      </c>
      <c r="D3" s="37">
        <v>135200000</v>
      </c>
      <c r="E3" s="37">
        <f t="shared" si="0"/>
        <v>209560000</v>
      </c>
      <c r="F3" s="37">
        <f t="shared" si="1"/>
        <v>1.55</v>
      </c>
      <c r="G3" s="37">
        <f t="shared" si="2"/>
        <v>268236800</v>
      </c>
      <c r="H3" s="38">
        <f t="shared" si="3"/>
        <v>1.28</v>
      </c>
    </row>
    <row r="4" spans="1:8" ht="25.5" customHeight="1">
      <c r="A4" s="40" t="s">
        <v>2888</v>
      </c>
      <c r="B4" s="96" t="s">
        <v>2889</v>
      </c>
      <c r="C4" s="58" t="s">
        <v>1967</v>
      </c>
      <c r="D4" s="43">
        <v>67600000</v>
      </c>
      <c r="E4" s="43">
        <f t="shared" si="0"/>
        <v>104780000</v>
      </c>
      <c r="F4" s="43">
        <f t="shared" si="1"/>
        <v>1.55</v>
      </c>
      <c r="G4" s="43">
        <f t="shared" si="2"/>
        <v>134118400</v>
      </c>
      <c r="H4" s="44">
        <f t="shared" si="3"/>
        <v>1.28</v>
      </c>
    </row>
    <row r="5" spans="1:8" ht="25.5" customHeight="1">
      <c r="A5" s="46" t="s">
        <v>2890</v>
      </c>
      <c r="B5" s="97" t="s">
        <v>2891</v>
      </c>
      <c r="C5" s="60" t="s">
        <v>1967</v>
      </c>
      <c r="D5" s="49">
        <v>163800000</v>
      </c>
      <c r="E5" s="49">
        <f t="shared" si="0"/>
        <v>253890000</v>
      </c>
      <c r="F5" s="49">
        <f t="shared" si="1"/>
        <v>1.55</v>
      </c>
      <c r="G5" s="49">
        <f t="shared" si="2"/>
        <v>324979200</v>
      </c>
      <c r="H5" s="50">
        <f t="shared" si="3"/>
        <v>1.28</v>
      </c>
    </row>
    <row r="6" spans="1:8">
      <c r="A6" s="40" t="s">
        <v>2892</v>
      </c>
      <c r="B6" s="96" t="s">
        <v>2893</v>
      </c>
      <c r="C6" s="58" t="s">
        <v>1967</v>
      </c>
      <c r="D6" s="43">
        <v>25000000</v>
      </c>
      <c r="E6" s="43">
        <f t="shared" si="0"/>
        <v>38750000</v>
      </c>
      <c r="F6" s="43">
        <f t="shared" si="1"/>
        <v>1.55</v>
      </c>
      <c r="G6" s="43">
        <f t="shared" si="2"/>
        <v>49600000</v>
      </c>
      <c r="H6" s="44">
        <f t="shared" si="3"/>
        <v>1.28</v>
      </c>
    </row>
    <row r="7" spans="1:8">
      <c r="A7" s="46" t="s">
        <v>2894</v>
      </c>
      <c r="B7" s="97" t="s">
        <v>2895</v>
      </c>
      <c r="C7" s="60" t="s">
        <v>1967</v>
      </c>
      <c r="D7" s="49">
        <v>50000000</v>
      </c>
      <c r="E7" s="49">
        <f t="shared" si="0"/>
        <v>77500000</v>
      </c>
      <c r="F7" s="49">
        <f t="shared" si="1"/>
        <v>1.55</v>
      </c>
      <c r="G7" s="49">
        <f t="shared" si="2"/>
        <v>99200000</v>
      </c>
      <c r="H7" s="50">
        <f t="shared" si="3"/>
        <v>1.28</v>
      </c>
    </row>
    <row r="8" spans="1:8">
      <c r="A8" s="40" t="s">
        <v>2896</v>
      </c>
      <c r="B8" s="96" t="s">
        <v>2897</v>
      </c>
      <c r="C8" s="58" t="s">
        <v>1967</v>
      </c>
      <c r="D8" s="43">
        <v>60000000</v>
      </c>
      <c r="E8" s="43">
        <f t="shared" si="0"/>
        <v>93000000</v>
      </c>
      <c r="F8" s="43">
        <f t="shared" si="1"/>
        <v>1.55</v>
      </c>
      <c r="G8" s="43">
        <f t="shared" si="2"/>
        <v>119040000</v>
      </c>
      <c r="H8" s="44">
        <f t="shared" si="3"/>
        <v>1.28</v>
      </c>
    </row>
    <row r="9" spans="1:8">
      <c r="A9" s="46" t="s">
        <v>2898</v>
      </c>
      <c r="B9" s="97" t="s">
        <v>2899</v>
      </c>
      <c r="C9" s="60" t="s">
        <v>1967</v>
      </c>
      <c r="D9" s="49">
        <v>80000000</v>
      </c>
      <c r="E9" s="49">
        <f t="shared" si="0"/>
        <v>124000000</v>
      </c>
      <c r="F9" s="49">
        <f t="shared" si="1"/>
        <v>1.55</v>
      </c>
      <c r="G9" s="49">
        <f t="shared" si="2"/>
        <v>158720000</v>
      </c>
      <c r="H9" s="50">
        <f t="shared" si="3"/>
        <v>1.28</v>
      </c>
    </row>
    <row r="10" spans="1:8">
      <c r="A10" s="40" t="s">
        <v>2900</v>
      </c>
      <c r="B10" s="96" t="s">
        <v>2901</v>
      </c>
      <c r="C10" s="58" t="s">
        <v>1967</v>
      </c>
      <c r="D10" s="43">
        <v>160000000</v>
      </c>
      <c r="E10" s="43">
        <f t="shared" si="0"/>
        <v>248000000</v>
      </c>
      <c r="F10" s="43">
        <f t="shared" si="1"/>
        <v>1.55</v>
      </c>
      <c r="G10" s="43">
        <f t="shared" si="2"/>
        <v>317440000</v>
      </c>
      <c r="H10" s="44">
        <f t="shared" si="3"/>
        <v>1.28</v>
      </c>
    </row>
    <row r="11" spans="1:8">
      <c r="A11" s="46" t="s">
        <v>2902</v>
      </c>
      <c r="B11" s="97" t="s">
        <v>2903</v>
      </c>
      <c r="C11" s="60" t="s">
        <v>1967</v>
      </c>
      <c r="D11" s="49">
        <v>192000000</v>
      </c>
      <c r="E11" s="49">
        <f t="shared" si="0"/>
        <v>297600000</v>
      </c>
      <c r="F11" s="49">
        <f t="shared" si="1"/>
        <v>1.55</v>
      </c>
      <c r="G11" s="49">
        <f t="shared" si="2"/>
        <v>380928000</v>
      </c>
      <c r="H11" s="50">
        <f t="shared" si="3"/>
        <v>1.28</v>
      </c>
    </row>
    <row r="12" spans="1:8" ht="51" customHeight="1">
      <c r="A12" s="40" t="s">
        <v>2904</v>
      </c>
      <c r="B12" s="96" t="s">
        <v>2905</v>
      </c>
      <c r="C12" s="58" t="s">
        <v>1967</v>
      </c>
      <c r="D12" s="43">
        <v>125000</v>
      </c>
      <c r="E12" s="43">
        <f t="shared" ref="E12:E17" si="4">D12*1.25</f>
        <v>156250</v>
      </c>
      <c r="F12" s="43">
        <f t="shared" si="1"/>
        <v>1.25</v>
      </c>
      <c r="G12" s="43">
        <f t="shared" ref="G12:G17" si="5">E12*1.175</f>
        <v>183593.75</v>
      </c>
      <c r="H12" s="44">
        <f t="shared" si="3"/>
        <v>1.175</v>
      </c>
    </row>
    <row r="13" spans="1:8" ht="25.5" customHeight="1">
      <c r="A13" s="46" t="s">
        <v>2906</v>
      </c>
      <c r="B13" s="97" t="s">
        <v>2907</v>
      </c>
      <c r="C13" s="60" t="s">
        <v>1967</v>
      </c>
      <c r="D13" s="49">
        <v>2450000</v>
      </c>
      <c r="E13" s="49">
        <f t="shared" si="4"/>
        <v>3062500</v>
      </c>
      <c r="F13" s="49">
        <f t="shared" si="1"/>
        <v>1.25</v>
      </c>
      <c r="G13" s="49">
        <f t="shared" si="5"/>
        <v>3598437.5</v>
      </c>
      <c r="H13" s="50">
        <f t="shared" si="3"/>
        <v>1.175</v>
      </c>
    </row>
    <row r="14" spans="1:8" ht="25.5" customHeight="1">
      <c r="A14" s="40" t="s">
        <v>2908</v>
      </c>
      <c r="B14" s="96" t="s">
        <v>2909</v>
      </c>
      <c r="C14" s="58" t="s">
        <v>1967</v>
      </c>
      <c r="D14" s="43">
        <v>3500000</v>
      </c>
      <c r="E14" s="43">
        <f t="shared" si="4"/>
        <v>4375000</v>
      </c>
      <c r="F14" s="43">
        <f t="shared" si="1"/>
        <v>1.25</v>
      </c>
      <c r="G14" s="43">
        <f t="shared" si="5"/>
        <v>5140625</v>
      </c>
      <c r="H14" s="44">
        <f t="shared" si="3"/>
        <v>1.175</v>
      </c>
    </row>
    <row r="15" spans="1:8" ht="25.5" customHeight="1">
      <c r="A15" s="46" t="s">
        <v>2910</v>
      </c>
      <c r="B15" s="97" t="s">
        <v>2911</v>
      </c>
      <c r="C15" s="60" t="s">
        <v>1967</v>
      </c>
      <c r="D15" s="49">
        <v>22500000</v>
      </c>
      <c r="E15" s="49">
        <f t="shared" si="4"/>
        <v>28125000</v>
      </c>
      <c r="F15" s="49">
        <f t="shared" si="1"/>
        <v>1.25</v>
      </c>
      <c r="G15" s="49">
        <f t="shared" si="5"/>
        <v>33046875</v>
      </c>
      <c r="H15" s="50">
        <f t="shared" si="3"/>
        <v>1.175</v>
      </c>
    </row>
    <row r="16" spans="1:8" ht="25.5" customHeight="1">
      <c r="A16" s="40" t="s">
        <v>2912</v>
      </c>
      <c r="B16" s="96" t="s">
        <v>2913</v>
      </c>
      <c r="C16" s="58" t="s">
        <v>1967</v>
      </c>
      <c r="D16" s="43">
        <v>31500000</v>
      </c>
      <c r="E16" s="43">
        <f t="shared" si="4"/>
        <v>39375000</v>
      </c>
      <c r="F16" s="43">
        <f t="shared" si="1"/>
        <v>1.25</v>
      </c>
      <c r="G16" s="43">
        <f t="shared" si="5"/>
        <v>46265625</v>
      </c>
      <c r="H16" s="44">
        <f t="shared" si="3"/>
        <v>1.175</v>
      </c>
    </row>
    <row r="17" spans="1:8" ht="25.9" customHeight="1">
      <c r="A17" s="61" t="s">
        <v>2914</v>
      </c>
      <c r="B17" s="98" t="s">
        <v>2915</v>
      </c>
      <c r="C17" s="63" t="s">
        <v>1967</v>
      </c>
      <c r="D17" s="64">
        <v>45000000</v>
      </c>
      <c r="E17" s="64">
        <f t="shared" si="4"/>
        <v>56250000</v>
      </c>
      <c r="F17" s="64">
        <f t="shared" si="1"/>
        <v>1.25</v>
      </c>
      <c r="G17" s="64">
        <f t="shared" si="5"/>
        <v>66093750</v>
      </c>
      <c r="H17" s="65">
        <f t="shared" si="3"/>
        <v>1.175</v>
      </c>
    </row>
  </sheetData>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S17:S20"/>
  <sheetViews>
    <sheetView rightToLeft="1" workbookViewId="0"/>
  </sheetViews>
  <sheetFormatPr defaultRowHeight="13.5"/>
  <cols>
    <col min="19" max="19" width="17.875" customWidth="1"/>
  </cols>
  <sheetData>
    <row r="17" spans="19:19">
      <c r="S17" s="143" t="s">
        <v>2916</v>
      </c>
    </row>
    <row r="20" spans="19:19">
      <c r="S20" s="144">
        <v>1997949771.5999999</v>
      </c>
    </row>
  </sheetData>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L101"/>
  <sheetViews>
    <sheetView rightToLeft="1" workbookViewId="0">
      <pane ySplit="3" topLeftCell="A4" activePane="bottomLeft" state="frozen"/>
      <selection pane="bottomLeft"/>
    </sheetView>
  </sheetViews>
  <sheetFormatPr defaultRowHeight="13.5"/>
  <cols>
    <col min="1" max="1" width="7" customWidth="1"/>
    <col min="2" max="2" width="26" customWidth="1"/>
    <col min="3" max="3" width="22" customWidth="1"/>
    <col min="4" max="4" width="16" customWidth="1"/>
    <col min="5" max="6" width="18" customWidth="1"/>
    <col min="7" max="7" width="14" customWidth="1"/>
    <col min="8" max="8" width="20" customWidth="1"/>
    <col min="9" max="9" width="16" customWidth="1"/>
    <col min="10" max="10" width="14" customWidth="1"/>
    <col min="11" max="11" width="30" customWidth="1"/>
    <col min="12" max="12" width="14" customWidth="1"/>
  </cols>
  <sheetData>
    <row r="1" spans="1:12" ht="40.049999999999997" customHeight="1">
      <c r="A1" s="285" t="s">
        <v>2917</v>
      </c>
      <c r="B1" s="282"/>
      <c r="C1" s="282"/>
      <c r="D1" s="282"/>
      <c r="E1" s="282"/>
      <c r="F1" s="282"/>
      <c r="G1" s="282"/>
      <c r="H1" s="282"/>
      <c r="I1" s="282"/>
      <c r="J1" s="282"/>
      <c r="K1" s="282"/>
      <c r="L1" s="278"/>
    </row>
    <row r="2" spans="1:12" ht="28.05" customHeight="1">
      <c r="A2" s="305" t="s">
        <v>2918</v>
      </c>
      <c r="B2" s="282"/>
      <c r="C2" s="282"/>
      <c r="D2" s="282"/>
      <c r="E2" s="282"/>
      <c r="F2" s="282"/>
      <c r="G2" s="282"/>
      <c r="H2" s="282"/>
      <c r="I2" s="282"/>
      <c r="J2" s="282"/>
      <c r="K2" s="282"/>
      <c r="L2" s="278"/>
    </row>
    <row r="4" spans="1:12" ht="32" customHeight="1">
      <c r="A4" s="281" t="s">
        <v>2919</v>
      </c>
      <c r="B4" s="282"/>
      <c r="C4" s="282"/>
      <c r="D4" s="282"/>
      <c r="E4" s="282"/>
      <c r="F4" s="282"/>
      <c r="G4" s="282"/>
      <c r="H4" s="282"/>
      <c r="I4" s="282"/>
      <c r="J4" s="282"/>
      <c r="K4" s="282"/>
      <c r="L4" s="278"/>
    </row>
    <row r="5" spans="1:12" ht="30" customHeight="1">
      <c r="A5" s="159" t="s">
        <v>2920</v>
      </c>
      <c r="B5" s="159" t="s">
        <v>2921</v>
      </c>
      <c r="C5" s="159" t="s">
        <v>2922</v>
      </c>
      <c r="D5" s="159" t="s">
        <v>2923</v>
      </c>
      <c r="E5" s="159" t="s">
        <v>2924</v>
      </c>
      <c r="F5" s="159" t="s">
        <v>2925</v>
      </c>
      <c r="G5" s="159" t="s">
        <v>2926</v>
      </c>
      <c r="H5" s="159" t="s">
        <v>2927</v>
      </c>
      <c r="I5" s="159" t="s">
        <v>2928</v>
      </c>
      <c r="J5" s="159" t="s">
        <v>2929</v>
      </c>
      <c r="K5" s="159" t="s">
        <v>2930</v>
      </c>
      <c r="L5" s="159" t="s">
        <v>2931</v>
      </c>
    </row>
    <row r="6" spans="1:12" ht="28.05" customHeight="1">
      <c r="A6" s="160">
        <v>1</v>
      </c>
      <c r="B6" s="162" t="s">
        <v>2932</v>
      </c>
      <c r="C6" s="161" t="s">
        <v>2933</v>
      </c>
      <c r="D6" s="160" t="s">
        <v>2934</v>
      </c>
      <c r="E6" s="181">
        <v>20.507154175519119</v>
      </c>
      <c r="F6" s="172">
        <v>0.57745413304607363</v>
      </c>
      <c r="G6" s="173">
        <v>0.92263244875142691</v>
      </c>
      <c r="H6" s="160" t="s">
        <v>2935</v>
      </c>
      <c r="I6" s="160" t="s">
        <v>2936</v>
      </c>
      <c r="J6" s="174">
        <v>1.4922136733423781</v>
      </c>
      <c r="K6" s="175" t="s">
        <v>2937</v>
      </c>
      <c r="L6" s="169" t="s">
        <v>2938</v>
      </c>
    </row>
    <row r="7" spans="1:12" ht="28.05" customHeight="1">
      <c r="A7" s="165">
        <v>2</v>
      </c>
      <c r="B7" s="166" t="s">
        <v>2939</v>
      </c>
      <c r="C7" s="161" t="s">
        <v>2933</v>
      </c>
      <c r="D7" s="165" t="s">
        <v>2934</v>
      </c>
      <c r="E7" s="184">
        <v>19.960354942160581</v>
      </c>
      <c r="F7" s="172">
        <v>0.59623252589522757</v>
      </c>
      <c r="G7" s="177">
        <v>0.98605908229019401</v>
      </c>
      <c r="H7" s="165" t="s">
        <v>2935</v>
      </c>
      <c r="I7" s="165" t="s">
        <v>2936</v>
      </c>
      <c r="J7" s="174">
        <v>1.511763566673521</v>
      </c>
      <c r="K7" s="178" t="s">
        <v>2940</v>
      </c>
      <c r="L7" s="170" t="s">
        <v>2941</v>
      </c>
    </row>
    <row r="8" spans="1:12" ht="28.05" customHeight="1">
      <c r="A8" s="160">
        <v>3</v>
      </c>
      <c r="B8" s="162" t="s">
        <v>2942</v>
      </c>
      <c r="C8" s="161" t="s">
        <v>2943</v>
      </c>
      <c r="D8" s="160" t="s">
        <v>2944</v>
      </c>
      <c r="E8" s="181">
        <v>20.140304365843789</v>
      </c>
      <c r="F8" s="172">
        <v>0.54360735221043444</v>
      </c>
      <c r="G8" s="173">
        <v>0.89800507945719532</v>
      </c>
      <c r="H8" s="160" t="s">
        <v>2935</v>
      </c>
      <c r="I8" s="160" t="s">
        <v>2936</v>
      </c>
      <c r="J8" s="174">
        <v>1.4576126170296579</v>
      </c>
      <c r="K8" s="175" t="s">
        <v>2945</v>
      </c>
      <c r="L8" s="169" t="s">
        <v>2938</v>
      </c>
    </row>
    <row r="9" spans="1:12" ht="28.05" customHeight="1">
      <c r="A9" s="165">
        <v>4</v>
      </c>
      <c r="B9" s="166" t="s">
        <v>2946</v>
      </c>
      <c r="C9" s="161" t="s">
        <v>2947</v>
      </c>
      <c r="D9" s="165" t="s">
        <v>2948</v>
      </c>
      <c r="E9" s="184">
        <v>11.44052589502726</v>
      </c>
      <c r="F9" s="172">
        <v>1.249587998673088</v>
      </c>
      <c r="G9" s="177">
        <v>0.97423827270134922</v>
      </c>
      <c r="H9" s="165" t="s">
        <v>2949</v>
      </c>
      <c r="I9" s="165" t="s">
        <v>2936</v>
      </c>
      <c r="J9" s="179">
        <v>2.3777351052534099</v>
      </c>
      <c r="K9" s="178" t="s">
        <v>2950</v>
      </c>
      <c r="L9" s="170" t="s">
        <v>2941</v>
      </c>
    </row>
    <row r="10" spans="1:12" ht="28.05" customHeight="1">
      <c r="A10" s="160">
        <v>5</v>
      </c>
      <c r="B10" s="162" t="s">
        <v>2951</v>
      </c>
      <c r="C10" s="161" t="s">
        <v>2952</v>
      </c>
      <c r="D10" s="160" t="s">
        <v>2948</v>
      </c>
      <c r="E10" s="181">
        <v>16.01618318056564</v>
      </c>
      <c r="F10" s="172">
        <v>0.65264243537666011</v>
      </c>
      <c r="G10" s="173">
        <v>0.90843667839150799</v>
      </c>
      <c r="H10" s="160" t="s">
        <v>2935</v>
      </c>
      <c r="I10" s="160" t="s">
        <v>2936</v>
      </c>
      <c r="J10" s="174">
        <v>1.5720449126628571</v>
      </c>
      <c r="K10" s="175" t="s">
        <v>2953</v>
      </c>
      <c r="L10" s="169" t="s">
        <v>2938</v>
      </c>
    </row>
    <row r="13" spans="1:12" ht="30" customHeight="1">
      <c r="A13" s="303" t="s">
        <v>2954</v>
      </c>
      <c r="B13" s="282"/>
      <c r="C13" s="282"/>
      <c r="D13" s="282"/>
      <c r="E13" s="282"/>
      <c r="F13" s="282"/>
      <c r="G13" s="282"/>
      <c r="H13" s="278"/>
    </row>
    <row r="14" spans="1:12" ht="26" customHeight="1">
      <c r="A14" s="159" t="s">
        <v>2920</v>
      </c>
      <c r="B14" s="159" t="s">
        <v>2934</v>
      </c>
      <c r="C14" s="159" t="s">
        <v>2955</v>
      </c>
      <c r="D14" s="159" t="s">
        <v>2956</v>
      </c>
      <c r="E14" s="159" t="s">
        <v>2957</v>
      </c>
      <c r="F14" s="159" t="s">
        <v>2958</v>
      </c>
      <c r="G14" s="159" t="s">
        <v>2959</v>
      </c>
      <c r="H14" s="159" t="s">
        <v>2960</v>
      </c>
    </row>
    <row r="15" spans="1:12" ht="22.05" customHeight="1">
      <c r="A15" s="160">
        <v>1</v>
      </c>
      <c r="B15" s="180">
        <v>3.5</v>
      </c>
      <c r="C15" s="171">
        <v>1955000000</v>
      </c>
      <c r="D15" s="181">
        <v>1.2527629684953681</v>
      </c>
      <c r="E15" s="181">
        <v>21.393656030383742</v>
      </c>
      <c r="F15" s="181">
        <v>21.23056732940384</v>
      </c>
      <c r="G15" s="189">
        <v>-0.16308870097990541</v>
      </c>
      <c r="H15" s="182">
        <v>-0.15048416781420479</v>
      </c>
    </row>
    <row r="16" spans="1:12" ht="22.05" customHeight="1">
      <c r="A16" s="165">
        <v>2</v>
      </c>
      <c r="B16" s="183">
        <v>5</v>
      </c>
      <c r="C16" s="176">
        <v>1989500000</v>
      </c>
      <c r="D16" s="184">
        <v>1.6094379124341001</v>
      </c>
      <c r="E16" s="184">
        <v>21.41114918783126</v>
      </c>
      <c r="F16" s="184">
        <v>21.43653074993524</v>
      </c>
      <c r="G16" s="190">
        <v>2.5381562103980571E-2</v>
      </c>
      <c r="H16" s="185">
        <v>2.5706416566181139E-2</v>
      </c>
    </row>
    <row r="17" spans="1:8" ht="22.05" customHeight="1">
      <c r="A17" s="160">
        <v>3</v>
      </c>
      <c r="B17" s="180">
        <v>7</v>
      </c>
      <c r="C17" s="171">
        <v>3032400000</v>
      </c>
      <c r="D17" s="181">
        <v>1.945910149055313</v>
      </c>
      <c r="E17" s="181">
        <v>21.832620222146421</v>
      </c>
      <c r="F17" s="181">
        <v>21.630828033627409</v>
      </c>
      <c r="G17" s="189">
        <v>-0.20179218851901479</v>
      </c>
      <c r="H17" s="182">
        <v>-0.18273525270608679</v>
      </c>
    </row>
    <row r="18" spans="1:8" ht="22.05" customHeight="1">
      <c r="A18" s="165">
        <v>4</v>
      </c>
      <c r="B18" s="183">
        <v>9</v>
      </c>
      <c r="C18" s="176">
        <v>3150000000</v>
      </c>
      <c r="D18" s="184">
        <v>2.19722457733622</v>
      </c>
      <c r="E18" s="184">
        <v>21.87066828978395</v>
      </c>
      <c r="F18" s="184">
        <v>21.775950588932329</v>
      </c>
      <c r="G18" s="190">
        <v>-9.4717700851621345E-2</v>
      </c>
      <c r="H18" s="185">
        <v>-9.0370314088157169E-2</v>
      </c>
    </row>
    <row r="19" spans="1:8" ht="22.05" customHeight="1">
      <c r="A19" s="160">
        <v>5</v>
      </c>
      <c r="B19" s="180">
        <v>15</v>
      </c>
      <c r="C19" s="171">
        <v>3261000000</v>
      </c>
      <c r="D19" s="181">
        <v>2.7080502011022101</v>
      </c>
      <c r="E19" s="181">
        <v>21.905299733753591</v>
      </c>
      <c r="F19" s="181">
        <v>22.07092895664184</v>
      </c>
      <c r="G19" s="189">
        <v>0.16562922288824569</v>
      </c>
      <c r="H19" s="182">
        <v>0.18013545337841369</v>
      </c>
    </row>
    <row r="20" spans="1:8" ht="22.05" customHeight="1">
      <c r="A20" s="165">
        <v>6</v>
      </c>
      <c r="B20" s="183">
        <v>22</v>
      </c>
      <c r="C20" s="176">
        <v>3813000000</v>
      </c>
      <c r="D20" s="184">
        <v>3.0910424533583161</v>
      </c>
      <c r="E20" s="184">
        <v>22.061682117821839</v>
      </c>
      <c r="F20" s="184">
        <v>22.29208941563175</v>
      </c>
      <c r="G20" s="191">
        <v>0.23040729780991501</v>
      </c>
      <c r="H20" s="186">
        <v>0.25911273936678247</v>
      </c>
    </row>
    <row r="21" spans="1:8" ht="22.05" customHeight="1">
      <c r="A21" s="160">
        <v>7</v>
      </c>
      <c r="B21" s="180">
        <v>30</v>
      </c>
      <c r="C21" s="171">
        <v>5016500000</v>
      </c>
      <c r="D21" s="181">
        <v>3.401197381662155</v>
      </c>
      <c r="E21" s="181">
        <v>22.335998316329938</v>
      </c>
      <c r="F21" s="181">
        <v>22.471189660865409</v>
      </c>
      <c r="G21" s="189">
        <v>0.1351913445354711</v>
      </c>
      <c r="H21" s="182">
        <v>0.1447558061642914</v>
      </c>
    </row>
    <row r="22" spans="1:8" ht="22.05" customHeight="1">
      <c r="A22" s="165">
        <v>8</v>
      </c>
      <c r="B22" s="183">
        <v>37</v>
      </c>
      <c r="C22" s="176">
        <v>5459300000</v>
      </c>
      <c r="D22" s="184">
        <v>3.6109179126442239</v>
      </c>
      <c r="E22" s="184">
        <v>22.420586413356041</v>
      </c>
      <c r="F22" s="184">
        <v>22.592293648265631</v>
      </c>
      <c r="G22" s="189">
        <v>0.1717072349095865</v>
      </c>
      <c r="H22" s="182">
        <v>0.1873301734994815</v>
      </c>
    </row>
    <row r="23" spans="1:8" ht="22.05" customHeight="1">
      <c r="A23" s="160">
        <v>9</v>
      </c>
      <c r="B23" s="180">
        <v>45</v>
      </c>
      <c r="C23" s="171">
        <v>5798500000</v>
      </c>
      <c r="D23" s="181">
        <v>3.8066624897703201</v>
      </c>
      <c r="E23" s="181">
        <v>22.480865100361029</v>
      </c>
      <c r="F23" s="181">
        <v>22.70532716334845</v>
      </c>
      <c r="G23" s="191">
        <v>0.22446206298741339</v>
      </c>
      <c r="H23" s="186">
        <v>0.2516492266148494</v>
      </c>
    </row>
    <row r="24" spans="1:8" ht="22.05" customHeight="1">
      <c r="A24" s="165">
        <v>10</v>
      </c>
      <c r="B24" s="183">
        <v>55</v>
      </c>
      <c r="C24" s="176">
        <v>7018200000</v>
      </c>
      <c r="D24" s="184">
        <v>4.0073331852324712</v>
      </c>
      <c r="E24" s="184">
        <v>22.67177261184899</v>
      </c>
      <c r="F24" s="184">
        <v>22.821205285824298</v>
      </c>
      <c r="G24" s="189">
        <v>0.14943267397530849</v>
      </c>
      <c r="H24" s="182">
        <v>0.16117529086394991</v>
      </c>
    </row>
    <row r="25" spans="1:8" ht="22.05" customHeight="1">
      <c r="A25" s="160">
        <v>11</v>
      </c>
      <c r="B25" s="180">
        <v>75</v>
      </c>
      <c r="C25" s="171">
        <v>10783900000</v>
      </c>
      <c r="D25" s="181">
        <v>4.3174881135363101</v>
      </c>
      <c r="E25" s="181">
        <v>23.10132011807633</v>
      </c>
      <c r="F25" s="181">
        <v>23.000305531057961</v>
      </c>
      <c r="G25" s="190">
        <v>-0.1010145870183763</v>
      </c>
      <c r="H25" s="185">
        <v>-9.6080152705729213E-2</v>
      </c>
    </row>
    <row r="26" spans="1:8" ht="22.05" customHeight="1">
      <c r="A26" s="165">
        <v>12</v>
      </c>
      <c r="B26" s="183">
        <v>90</v>
      </c>
      <c r="C26" s="176">
        <v>14055000000</v>
      </c>
      <c r="D26" s="184">
        <v>4.499809670330265</v>
      </c>
      <c r="E26" s="184">
        <v>23.36624404130491</v>
      </c>
      <c r="F26" s="184">
        <v>23.105587867572019</v>
      </c>
      <c r="G26" s="191">
        <v>-0.26065617373288669</v>
      </c>
      <c r="H26" s="186">
        <v>-0.2294541920365247</v>
      </c>
    </row>
    <row r="27" spans="1:8" ht="22.05" customHeight="1">
      <c r="A27" s="160">
        <v>13</v>
      </c>
      <c r="B27" s="180">
        <v>110</v>
      </c>
      <c r="C27" s="171">
        <v>16105200000</v>
      </c>
      <c r="D27" s="181">
        <v>4.7004803657924166</v>
      </c>
      <c r="E27" s="181">
        <v>23.50240803815603</v>
      </c>
      <c r="F27" s="181">
        <v>23.221465990047871</v>
      </c>
      <c r="G27" s="191">
        <v>-0.28094204810816242</v>
      </c>
      <c r="H27" s="186">
        <v>-0.24492790793148431</v>
      </c>
    </row>
    <row r="28" spans="1:8" ht="26" customHeight="1">
      <c r="A28" s="187"/>
      <c r="B28" s="304" t="s">
        <v>2961</v>
      </c>
      <c r="C28" s="282"/>
      <c r="D28" s="282"/>
      <c r="E28" s="282"/>
      <c r="F28" s="278"/>
      <c r="G28" s="188">
        <v>0.16953208413354889</v>
      </c>
      <c r="H28" s="187"/>
    </row>
    <row r="30" spans="1:8" ht="30" customHeight="1">
      <c r="A30" s="303" t="s">
        <v>2962</v>
      </c>
      <c r="B30" s="282"/>
      <c r="C30" s="282"/>
      <c r="D30" s="282"/>
      <c r="E30" s="282"/>
      <c r="F30" s="282"/>
      <c r="G30" s="282"/>
      <c r="H30" s="278"/>
    </row>
    <row r="31" spans="1:8" ht="26" customHeight="1">
      <c r="A31" s="159" t="s">
        <v>2920</v>
      </c>
      <c r="B31" s="159" t="s">
        <v>2934</v>
      </c>
      <c r="C31" s="159" t="s">
        <v>2955</v>
      </c>
      <c r="D31" s="159" t="s">
        <v>2956</v>
      </c>
      <c r="E31" s="159" t="s">
        <v>2957</v>
      </c>
      <c r="F31" s="159" t="s">
        <v>2958</v>
      </c>
      <c r="G31" s="159" t="s">
        <v>2959</v>
      </c>
      <c r="H31" s="159" t="s">
        <v>2960</v>
      </c>
    </row>
    <row r="32" spans="1:8" ht="22.05" customHeight="1">
      <c r="A32" s="160">
        <v>1</v>
      </c>
      <c r="B32" s="180">
        <v>3</v>
      </c>
      <c r="C32" s="171">
        <v>976000000</v>
      </c>
      <c r="D32" s="181">
        <v>1.09861228866811</v>
      </c>
      <c r="E32" s="181">
        <v>20.698973144377369</v>
      </c>
      <c r="F32" s="181">
        <v>20.615383322012701</v>
      </c>
      <c r="G32" s="190">
        <v>-8.3589822364665167E-2</v>
      </c>
      <c r="H32" s="185">
        <v>-8.0191536410647704E-2</v>
      </c>
    </row>
    <row r="33" spans="1:8" ht="22.05" customHeight="1">
      <c r="A33" s="165">
        <v>2</v>
      </c>
      <c r="B33" s="183">
        <v>4</v>
      </c>
      <c r="C33" s="176">
        <v>1129000000</v>
      </c>
      <c r="D33" s="184">
        <v>1.386294361119891</v>
      </c>
      <c r="E33" s="184">
        <v>20.84459812211394</v>
      </c>
      <c r="F33" s="184">
        <v>20.786908730725401</v>
      </c>
      <c r="G33" s="190">
        <v>-5.7689391388535682E-2</v>
      </c>
      <c r="H33" s="185">
        <v>-5.6056901238013518E-2</v>
      </c>
    </row>
    <row r="34" spans="1:8" ht="22.05" customHeight="1">
      <c r="A34" s="160">
        <v>3</v>
      </c>
      <c r="B34" s="180">
        <v>5.5</v>
      </c>
      <c r="C34" s="171">
        <v>1166000000</v>
      </c>
      <c r="D34" s="181">
        <v>1.7047480922384251</v>
      </c>
      <c r="E34" s="181">
        <v>20.87684492487471</v>
      </c>
      <c r="F34" s="181">
        <v>20.976781203210969</v>
      </c>
      <c r="G34" s="189">
        <v>9.9936278336254958E-2</v>
      </c>
      <c r="H34" s="182">
        <v>0.1051004969897217</v>
      </c>
    </row>
    <row r="35" spans="1:8" ht="22.05" customHeight="1">
      <c r="A35" s="165">
        <v>4</v>
      </c>
      <c r="B35" s="183">
        <v>5.7</v>
      </c>
      <c r="C35" s="176">
        <v>1313000000</v>
      </c>
      <c r="D35" s="184">
        <v>1.740466174840505</v>
      </c>
      <c r="E35" s="184">
        <v>20.995580432267069</v>
      </c>
      <c r="F35" s="184">
        <v>20.998077485820939</v>
      </c>
      <c r="G35" s="190">
        <v>2.4970535538670902E-3</v>
      </c>
      <c r="H35" s="185">
        <v>2.5001737886815238E-3</v>
      </c>
    </row>
    <row r="36" spans="1:8" ht="22.05" customHeight="1">
      <c r="A36" s="160">
        <v>5</v>
      </c>
      <c r="B36" s="180">
        <v>11</v>
      </c>
      <c r="C36" s="171">
        <v>1848000000</v>
      </c>
      <c r="D36" s="181">
        <v>2.3978952727983711</v>
      </c>
      <c r="E36" s="181">
        <v>21.3373698101659</v>
      </c>
      <c r="F36" s="181">
        <v>21.39005809749338</v>
      </c>
      <c r="G36" s="190">
        <v>5.268828732747366E-2</v>
      </c>
      <c r="H36" s="185">
        <v>5.4101017258079538E-2</v>
      </c>
    </row>
    <row r="37" spans="1:8" ht="22.05" customHeight="1">
      <c r="A37" s="165">
        <v>6</v>
      </c>
      <c r="B37" s="183">
        <v>15</v>
      </c>
      <c r="C37" s="176">
        <v>2089500000</v>
      </c>
      <c r="D37" s="184">
        <v>2.7080502011022101</v>
      </c>
      <c r="E37" s="184">
        <v>21.46019063985224</v>
      </c>
      <c r="F37" s="184">
        <v>21.574982553814831</v>
      </c>
      <c r="G37" s="189">
        <v>0.11479191396258411</v>
      </c>
      <c r="H37" s="182">
        <v>0.1216400156605931</v>
      </c>
    </row>
    <row r="38" spans="1:8" ht="22.05" customHeight="1">
      <c r="A38" s="160">
        <v>7</v>
      </c>
      <c r="B38" s="180">
        <v>18.5</v>
      </c>
      <c r="C38" s="171">
        <v>2730000000</v>
      </c>
      <c r="D38" s="181">
        <v>2.917770732084279</v>
      </c>
      <c r="E38" s="181">
        <v>21.727567446143279</v>
      </c>
      <c r="F38" s="181">
        <v>21.700024755734351</v>
      </c>
      <c r="G38" s="190">
        <v>-2.75426904089251E-2</v>
      </c>
      <c r="H38" s="185">
        <v>-2.716684897807195E-2</v>
      </c>
    </row>
    <row r="39" spans="1:8" ht="22.05" customHeight="1">
      <c r="A39" s="165">
        <v>8</v>
      </c>
      <c r="B39" s="183">
        <v>22</v>
      </c>
      <c r="C39" s="176">
        <v>2911000000</v>
      </c>
      <c r="D39" s="184">
        <v>3.0910424533583161</v>
      </c>
      <c r="E39" s="184">
        <v>21.791762501709901</v>
      </c>
      <c r="F39" s="184">
        <v>21.803334991775792</v>
      </c>
      <c r="G39" s="190">
        <v>1.157249006589112E-2</v>
      </c>
      <c r="H39" s="185">
        <v>1.1639710380939141E-2</v>
      </c>
    </row>
    <row r="40" spans="1:8" ht="22.05" customHeight="1">
      <c r="A40" s="160">
        <v>9</v>
      </c>
      <c r="B40" s="180">
        <v>30</v>
      </c>
      <c r="C40" s="171">
        <v>3730000000</v>
      </c>
      <c r="D40" s="181">
        <v>3.401197381662155</v>
      </c>
      <c r="E40" s="181">
        <v>22.039674070602139</v>
      </c>
      <c r="F40" s="181">
        <v>21.988259448097239</v>
      </c>
      <c r="G40" s="190">
        <v>-5.1414622504896812E-2</v>
      </c>
      <c r="H40" s="185">
        <v>-5.0115254719518401E-2</v>
      </c>
    </row>
    <row r="41" spans="1:8" ht="22.05" customHeight="1">
      <c r="A41" s="165">
        <v>10</v>
      </c>
      <c r="B41" s="183">
        <v>37</v>
      </c>
      <c r="C41" s="176">
        <v>4280000000</v>
      </c>
      <c r="D41" s="184">
        <v>3.6109179126442239</v>
      </c>
      <c r="E41" s="184">
        <v>22.177218846540121</v>
      </c>
      <c r="F41" s="184">
        <v>22.113301650016769</v>
      </c>
      <c r="G41" s="190">
        <v>-6.391719652335226E-2</v>
      </c>
      <c r="H41" s="185">
        <v>-6.1917327178430327E-2</v>
      </c>
    </row>
    <row r="42" spans="1:8" ht="22.05" customHeight="1">
      <c r="A42" s="160">
        <v>11</v>
      </c>
      <c r="B42" s="180">
        <v>45</v>
      </c>
      <c r="C42" s="171">
        <v>4500000000</v>
      </c>
      <c r="D42" s="181">
        <v>3.8066624897703201</v>
      </c>
      <c r="E42" s="181">
        <v>22.227343233722689</v>
      </c>
      <c r="F42" s="181">
        <v>22.23001093366695</v>
      </c>
      <c r="G42" s="190">
        <v>2.6676999442649669E-3</v>
      </c>
      <c r="H42" s="185">
        <v>2.6712614220415752E-3</v>
      </c>
    </row>
    <row r="43" spans="1:8" ht="26" customHeight="1">
      <c r="A43" s="187"/>
      <c r="B43" s="304" t="s">
        <v>2963</v>
      </c>
      <c r="C43" s="282"/>
      <c r="D43" s="282"/>
      <c r="E43" s="282"/>
      <c r="F43" s="278"/>
      <c r="G43" s="188">
        <v>5.210004945679441E-2</v>
      </c>
      <c r="H43" s="187"/>
    </row>
    <row r="45" spans="1:8" ht="30" customHeight="1">
      <c r="A45" s="303" t="s">
        <v>2964</v>
      </c>
      <c r="B45" s="282"/>
      <c r="C45" s="282"/>
      <c r="D45" s="282"/>
      <c r="E45" s="282"/>
      <c r="F45" s="282"/>
      <c r="G45" s="282"/>
      <c r="H45" s="278"/>
    </row>
    <row r="46" spans="1:8" ht="26" customHeight="1">
      <c r="A46" s="159" t="s">
        <v>2920</v>
      </c>
      <c r="B46" s="159" t="s">
        <v>2944</v>
      </c>
      <c r="C46" s="159" t="s">
        <v>2955</v>
      </c>
      <c r="D46" s="159" t="s">
        <v>2956</v>
      </c>
      <c r="E46" s="159" t="s">
        <v>2957</v>
      </c>
      <c r="F46" s="159" t="s">
        <v>2958</v>
      </c>
      <c r="G46" s="159" t="s">
        <v>2959</v>
      </c>
      <c r="H46" s="159" t="s">
        <v>2960</v>
      </c>
    </row>
    <row r="47" spans="1:8" ht="22.05" customHeight="1">
      <c r="A47" s="160">
        <v>1</v>
      </c>
      <c r="B47" s="180">
        <v>0.25</v>
      </c>
      <c r="C47" s="171">
        <v>346500000</v>
      </c>
      <c r="D47" s="181">
        <v>-1.386294361119891</v>
      </c>
      <c r="E47" s="181">
        <v>19.663393376594229</v>
      </c>
      <c r="F47" s="181">
        <v>19.38670455881115</v>
      </c>
      <c r="G47" s="191">
        <v>-0.27668881778308219</v>
      </c>
      <c r="H47" s="186">
        <v>-0.24170957310386301</v>
      </c>
    </row>
    <row r="48" spans="1:8" ht="22.05" customHeight="1">
      <c r="A48" s="165">
        <v>2</v>
      </c>
      <c r="B48" s="183">
        <v>0.5</v>
      </c>
      <c r="C48" s="176">
        <v>446600000</v>
      </c>
      <c r="D48" s="184">
        <v>-0.69314718055994529</v>
      </c>
      <c r="E48" s="184">
        <v>19.917173897370329</v>
      </c>
      <c r="F48" s="184">
        <v>19.763504462327472</v>
      </c>
      <c r="G48" s="189">
        <v>-0.1536694350428647</v>
      </c>
      <c r="H48" s="182">
        <v>-0.14244454805607651</v>
      </c>
    </row>
    <row r="49" spans="1:8" ht="22.05" customHeight="1">
      <c r="A49" s="160">
        <v>3</v>
      </c>
      <c r="B49" s="180">
        <v>1</v>
      </c>
      <c r="C49" s="171">
        <v>539000000</v>
      </c>
      <c r="D49" s="181">
        <v>0</v>
      </c>
      <c r="E49" s="181">
        <v>20.105226128873269</v>
      </c>
      <c r="F49" s="181">
        <v>20.140304365843789</v>
      </c>
      <c r="G49" s="190">
        <v>3.5078236970516492E-2</v>
      </c>
      <c r="H49" s="185">
        <v>3.5700735717857701E-2</v>
      </c>
    </row>
    <row r="50" spans="1:8" ht="22.05" customHeight="1">
      <c r="A50" s="165">
        <v>4</v>
      </c>
      <c r="B50" s="183">
        <v>1.5</v>
      </c>
      <c r="C50" s="176">
        <v>577500000</v>
      </c>
      <c r="D50" s="184">
        <v>0.40546510810816438</v>
      </c>
      <c r="E50" s="184">
        <v>20.174219000360221</v>
      </c>
      <c r="F50" s="184">
        <v>20.360718179676191</v>
      </c>
      <c r="G50" s="191">
        <v>0.18649917931596599</v>
      </c>
      <c r="H50" s="186">
        <v>0.20502363314163219</v>
      </c>
    </row>
    <row r="51" spans="1:8" ht="22.05" customHeight="1">
      <c r="A51" s="160">
        <v>5</v>
      </c>
      <c r="B51" s="180">
        <v>2</v>
      </c>
      <c r="C51" s="171">
        <v>616000000</v>
      </c>
      <c r="D51" s="181">
        <v>0.69314718055994529</v>
      </c>
      <c r="E51" s="181">
        <v>20.238757521497789</v>
      </c>
      <c r="F51" s="181">
        <v>20.517104269360111</v>
      </c>
      <c r="G51" s="191">
        <v>0.27834674786231872</v>
      </c>
      <c r="H51" s="186">
        <v>0.32094415236809443</v>
      </c>
    </row>
    <row r="52" spans="1:8" ht="22.05" customHeight="1">
      <c r="A52" s="165">
        <v>6</v>
      </c>
      <c r="B52" s="183">
        <v>2.5</v>
      </c>
      <c r="C52" s="176">
        <v>731500000</v>
      </c>
      <c r="D52" s="184">
        <v>0.91629073187415511</v>
      </c>
      <c r="E52" s="184">
        <v>20.410607778424449</v>
      </c>
      <c r="F52" s="184">
        <v>20.638406744452858</v>
      </c>
      <c r="G52" s="191">
        <v>0.22779896602840571</v>
      </c>
      <c r="H52" s="186">
        <v>0.2558328349911389</v>
      </c>
    </row>
    <row r="53" spans="1:8" ht="22.05" customHeight="1">
      <c r="A53" s="160">
        <v>7</v>
      </c>
      <c r="B53" s="180">
        <v>3</v>
      </c>
      <c r="C53" s="171">
        <v>870100000</v>
      </c>
      <c r="D53" s="181">
        <v>1.09861228866811</v>
      </c>
      <c r="E53" s="181">
        <v>20.584118705536248</v>
      </c>
      <c r="F53" s="181">
        <v>20.737518083192509</v>
      </c>
      <c r="G53" s="189">
        <v>0.15339937765625319</v>
      </c>
      <c r="H53" s="182">
        <v>0.16579047665010441</v>
      </c>
    </row>
    <row r="54" spans="1:8" ht="22.05" customHeight="1">
      <c r="A54" s="165">
        <v>8</v>
      </c>
      <c r="B54" s="183">
        <v>4</v>
      </c>
      <c r="C54" s="176">
        <v>1045000000</v>
      </c>
      <c r="D54" s="184">
        <v>1.386294361119891</v>
      </c>
      <c r="E54" s="184">
        <v>20.767282722363181</v>
      </c>
      <c r="F54" s="184">
        <v>20.893904172876429</v>
      </c>
      <c r="G54" s="189">
        <v>0.12662145051324461</v>
      </c>
      <c r="H54" s="182">
        <v>0.13498728759435311</v>
      </c>
    </row>
    <row r="55" spans="1:8" ht="22.05" customHeight="1">
      <c r="A55" s="160">
        <v>9</v>
      </c>
      <c r="B55" s="180">
        <v>5</v>
      </c>
      <c r="C55" s="171">
        <v>1210000000</v>
      </c>
      <c r="D55" s="181">
        <v>1.6094379124341001</v>
      </c>
      <c r="E55" s="181">
        <v>20.913886196555062</v>
      </c>
      <c r="F55" s="181">
        <v>21.01520664796918</v>
      </c>
      <c r="G55" s="189">
        <v>0.1013204514141179</v>
      </c>
      <c r="H55" s="182">
        <v>0.1066312064850322</v>
      </c>
    </row>
    <row r="56" spans="1:8" ht="22.05" customHeight="1">
      <c r="A56" s="165">
        <v>10</v>
      </c>
      <c r="B56" s="183">
        <v>6</v>
      </c>
      <c r="C56" s="176">
        <v>1485000000</v>
      </c>
      <c r="D56" s="184">
        <v>1.791759469228055</v>
      </c>
      <c r="E56" s="184">
        <v>21.118680609201071</v>
      </c>
      <c r="F56" s="184">
        <v>21.11431798670883</v>
      </c>
      <c r="G56" s="190">
        <v>-4.3626224922483914E-3</v>
      </c>
      <c r="H56" s="185">
        <v>-4.3531200782467618E-3</v>
      </c>
    </row>
    <row r="57" spans="1:8" ht="22.05" customHeight="1">
      <c r="A57" s="160">
        <v>11</v>
      </c>
      <c r="B57" s="180">
        <v>7</v>
      </c>
      <c r="C57" s="171">
        <v>1760000000</v>
      </c>
      <c r="D57" s="181">
        <v>1.945910149055313</v>
      </c>
      <c r="E57" s="181">
        <v>21.288579645996471</v>
      </c>
      <c r="F57" s="181">
        <v>21.19811542961116</v>
      </c>
      <c r="G57" s="190">
        <v>-9.0464216385310436E-2</v>
      </c>
      <c r="H57" s="185">
        <v>-8.6492978100610726E-2</v>
      </c>
    </row>
    <row r="58" spans="1:8" ht="22.05" customHeight="1">
      <c r="A58" s="165">
        <v>12</v>
      </c>
      <c r="B58" s="183">
        <v>8</v>
      </c>
      <c r="C58" s="176">
        <v>2200000000</v>
      </c>
      <c r="D58" s="184">
        <v>2.0794415416798362</v>
      </c>
      <c r="E58" s="184">
        <v>21.51172319731068</v>
      </c>
      <c r="F58" s="184">
        <v>21.27070407639275</v>
      </c>
      <c r="G58" s="191">
        <v>-0.24101912091792951</v>
      </c>
      <c r="H58" s="186">
        <v>-0.21417339948124481</v>
      </c>
    </row>
    <row r="59" spans="1:8" ht="22.05" customHeight="1">
      <c r="A59" s="160">
        <v>13</v>
      </c>
      <c r="B59" s="180">
        <v>10</v>
      </c>
      <c r="C59" s="171">
        <v>2750000000</v>
      </c>
      <c r="D59" s="181">
        <v>2.3025850929940459</v>
      </c>
      <c r="E59" s="181">
        <v>21.734866748624889</v>
      </c>
      <c r="F59" s="181">
        <v>21.392006551485501</v>
      </c>
      <c r="G59" s="191">
        <v>-0.34286019713939098</v>
      </c>
      <c r="H59" s="186">
        <v>-0.29026257205261119</v>
      </c>
    </row>
    <row r="60" spans="1:8" ht="26" customHeight="1">
      <c r="A60" s="187"/>
      <c r="B60" s="304" t="s">
        <v>2961</v>
      </c>
      <c r="C60" s="282"/>
      <c r="D60" s="282"/>
      <c r="E60" s="282"/>
      <c r="F60" s="278"/>
      <c r="G60" s="188">
        <v>0.16956511675545119</v>
      </c>
      <c r="H60" s="187"/>
    </row>
    <row r="62" spans="1:8" ht="30" customHeight="1">
      <c r="A62" s="303" t="s">
        <v>2965</v>
      </c>
      <c r="B62" s="282"/>
      <c r="C62" s="282"/>
      <c r="D62" s="282"/>
      <c r="E62" s="282"/>
      <c r="F62" s="282"/>
      <c r="G62" s="282"/>
      <c r="H62" s="278"/>
    </row>
    <row r="63" spans="1:8" ht="26" customHeight="1">
      <c r="A63" s="159" t="s">
        <v>2920</v>
      </c>
      <c r="B63" s="159" t="s">
        <v>2948</v>
      </c>
      <c r="C63" s="159" t="s">
        <v>2955</v>
      </c>
      <c r="D63" s="159" t="s">
        <v>2956</v>
      </c>
      <c r="E63" s="159" t="s">
        <v>2957</v>
      </c>
      <c r="F63" s="159" t="s">
        <v>2958</v>
      </c>
      <c r="G63" s="159" t="s">
        <v>2959</v>
      </c>
      <c r="H63" s="159" t="s">
        <v>2960</v>
      </c>
    </row>
    <row r="64" spans="1:8" ht="22.05" customHeight="1">
      <c r="A64" s="160">
        <v>1</v>
      </c>
      <c r="B64" s="180">
        <v>50</v>
      </c>
      <c r="C64" s="171">
        <v>16300000</v>
      </c>
      <c r="D64" s="181">
        <v>3.912023005428146</v>
      </c>
      <c r="E64" s="181">
        <v>16.60667566577699</v>
      </c>
      <c r="F64" s="181">
        <v>16.328942893143289</v>
      </c>
      <c r="G64" s="191">
        <v>-0.27773277263370127</v>
      </c>
      <c r="H64" s="186">
        <v>-0.24250078100867739</v>
      </c>
    </row>
    <row r="65" spans="1:8" ht="22.05" customHeight="1">
      <c r="A65" s="165">
        <v>2</v>
      </c>
      <c r="B65" s="183">
        <v>65</v>
      </c>
      <c r="C65" s="176">
        <v>20400000</v>
      </c>
      <c r="D65" s="184">
        <v>4.1743872698956368</v>
      </c>
      <c r="E65" s="184">
        <v>16.83104545881444</v>
      </c>
      <c r="F65" s="184">
        <v>16.656790129302561</v>
      </c>
      <c r="G65" s="189">
        <v>-0.17425532951188669</v>
      </c>
      <c r="H65" s="182">
        <v>-0.15991762754981459</v>
      </c>
    </row>
    <row r="66" spans="1:8" ht="22.05" customHeight="1">
      <c r="A66" s="160">
        <v>3</v>
      </c>
      <c r="B66" s="180">
        <v>80</v>
      </c>
      <c r="C66" s="171">
        <v>26000000</v>
      </c>
      <c r="D66" s="181">
        <v>4.3820266346738812</v>
      </c>
      <c r="E66" s="181">
        <v>17.073607095985761</v>
      </c>
      <c r="F66" s="181">
        <v>16.91625378758156</v>
      </c>
      <c r="G66" s="189">
        <v>-0.1573533084042005</v>
      </c>
      <c r="H66" s="182">
        <v>-0.145597861970682</v>
      </c>
    </row>
    <row r="67" spans="1:8" ht="22.05" customHeight="1">
      <c r="A67" s="165">
        <v>4</v>
      </c>
      <c r="B67" s="183">
        <v>100</v>
      </c>
      <c r="C67" s="176">
        <v>28300000</v>
      </c>
      <c r="D67" s="184">
        <v>4.6051701859880918</v>
      </c>
      <c r="E67" s="184">
        <v>17.15837236261347</v>
      </c>
      <c r="F67" s="184">
        <v>17.195091291285092</v>
      </c>
      <c r="G67" s="190">
        <v>3.6718928671621853E-2</v>
      </c>
      <c r="H67" s="185">
        <v>3.7401396067942308E-2</v>
      </c>
    </row>
    <row r="68" spans="1:8" ht="22.05" customHeight="1">
      <c r="A68" s="160">
        <v>5</v>
      </c>
      <c r="B68" s="180">
        <v>125</v>
      </c>
      <c r="C68" s="171">
        <v>33200000</v>
      </c>
      <c r="D68" s="181">
        <v>4.8283137373023024</v>
      </c>
      <c r="E68" s="181">
        <v>17.318060433886721</v>
      </c>
      <c r="F68" s="181">
        <v>17.47392879498862</v>
      </c>
      <c r="G68" s="189">
        <v>0.1558683611018985</v>
      </c>
      <c r="H68" s="182">
        <v>0.16867235022315599</v>
      </c>
    </row>
    <row r="69" spans="1:8" ht="22.05" customHeight="1">
      <c r="A69" s="165">
        <v>6</v>
      </c>
      <c r="B69" s="183">
        <v>150</v>
      </c>
      <c r="C69" s="176">
        <v>42800000</v>
      </c>
      <c r="D69" s="184">
        <v>5.0106352940962564</v>
      </c>
      <c r="E69" s="184">
        <v>17.572048660552021</v>
      </c>
      <c r="F69" s="184">
        <v>17.701755624257739</v>
      </c>
      <c r="G69" s="189">
        <v>0.1297069637057113</v>
      </c>
      <c r="H69" s="182">
        <v>0.13849471416631501</v>
      </c>
    </row>
    <row r="70" spans="1:8" ht="22.05" customHeight="1">
      <c r="A70" s="160">
        <v>7</v>
      </c>
      <c r="B70" s="180">
        <v>200</v>
      </c>
      <c r="C70" s="171">
        <v>53800000</v>
      </c>
      <c r="D70" s="181">
        <v>5.2983173665480363</v>
      </c>
      <c r="E70" s="181">
        <v>17.80078402513201</v>
      </c>
      <c r="F70" s="181">
        <v>18.061239689426881</v>
      </c>
      <c r="G70" s="191">
        <v>0.26045566429486661</v>
      </c>
      <c r="H70" s="186">
        <v>0.29752118606042188</v>
      </c>
    </row>
    <row r="71" spans="1:8" ht="22.05" customHeight="1">
      <c r="A71" s="165">
        <v>8</v>
      </c>
      <c r="B71" s="183">
        <v>250</v>
      </c>
      <c r="C71" s="176">
        <v>72200000</v>
      </c>
      <c r="D71" s="184">
        <v>5.521460917862246</v>
      </c>
      <c r="E71" s="184">
        <v>18.094950603863051</v>
      </c>
      <c r="F71" s="184">
        <v>18.340077193130409</v>
      </c>
      <c r="G71" s="191">
        <v>0.24512658926735401</v>
      </c>
      <c r="H71" s="186">
        <v>0.27778305658815311</v>
      </c>
    </row>
    <row r="72" spans="1:8" ht="22.05" customHeight="1">
      <c r="A72" s="160">
        <v>9</v>
      </c>
      <c r="B72" s="180">
        <v>300</v>
      </c>
      <c r="C72" s="171">
        <v>96600000</v>
      </c>
      <c r="D72" s="181">
        <v>5.7037824746562009</v>
      </c>
      <c r="E72" s="181">
        <v>18.38608929918275</v>
      </c>
      <c r="F72" s="181">
        <v>18.567904022399532</v>
      </c>
      <c r="G72" s="189">
        <v>0.18181472321678169</v>
      </c>
      <c r="H72" s="182">
        <v>0.19939195380952141</v>
      </c>
    </row>
    <row r="73" spans="1:8" ht="22.05" customHeight="1">
      <c r="A73" s="165">
        <v>10</v>
      </c>
      <c r="B73" s="183">
        <v>350</v>
      </c>
      <c r="C73" s="176">
        <v>117600000</v>
      </c>
      <c r="D73" s="184">
        <v>5.857933154483459</v>
      </c>
      <c r="E73" s="184">
        <v>18.582799593428799</v>
      </c>
      <c r="F73" s="184">
        <v>18.760528861898969</v>
      </c>
      <c r="G73" s="189">
        <v>0.1777292684701699</v>
      </c>
      <c r="H73" s="182">
        <v>0.19450188813144609</v>
      </c>
    </row>
    <row r="74" spans="1:8" ht="22.05" customHeight="1">
      <c r="A74" s="160">
        <v>11</v>
      </c>
      <c r="B74" s="180">
        <v>400</v>
      </c>
      <c r="C74" s="171">
        <v>159000000</v>
      </c>
      <c r="D74" s="181">
        <v>5.9914645471079817</v>
      </c>
      <c r="E74" s="181">
        <v>18.884414760184509</v>
      </c>
      <c r="F74" s="181">
        <v>18.92738808756868</v>
      </c>
      <c r="G74" s="190">
        <v>4.2973327384171263E-2</v>
      </c>
      <c r="H74" s="185">
        <v>4.3910050667533902E-2</v>
      </c>
    </row>
    <row r="75" spans="1:8" ht="22.05" customHeight="1">
      <c r="A75" s="165">
        <v>12</v>
      </c>
      <c r="B75" s="183">
        <v>450</v>
      </c>
      <c r="C75" s="176">
        <v>174600000</v>
      </c>
      <c r="D75" s="184">
        <v>6.1092475827643664</v>
      </c>
      <c r="E75" s="184">
        <v>18.978008201369779</v>
      </c>
      <c r="F75" s="184">
        <v>19.074568355372179</v>
      </c>
      <c r="G75" s="189">
        <v>9.656015400240392E-2</v>
      </c>
      <c r="H75" s="182">
        <v>0.1013758313155714</v>
      </c>
    </row>
    <row r="76" spans="1:8" ht="22.05" customHeight="1">
      <c r="A76" s="160">
        <v>13</v>
      </c>
      <c r="B76" s="180">
        <v>500</v>
      </c>
      <c r="C76" s="171">
        <v>210000000</v>
      </c>
      <c r="D76" s="181">
        <v>6.2146080984221914</v>
      </c>
      <c r="E76" s="181">
        <v>19.162618088681739</v>
      </c>
      <c r="F76" s="181">
        <v>19.206225591272201</v>
      </c>
      <c r="G76" s="190">
        <v>4.3607502590461422E-2</v>
      </c>
      <c r="H76" s="185">
        <v>4.4572282502575708E-2</v>
      </c>
    </row>
    <row r="77" spans="1:8" ht="22.05" customHeight="1">
      <c r="A77" s="165">
        <v>14</v>
      </c>
      <c r="B77" s="183">
        <v>600</v>
      </c>
      <c r="C77" s="176">
        <v>380000000</v>
      </c>
      <c r="D77" s="184">
        <v>6.3969296552161463</v>
      </c>
      <c r="E77" s="184">
        <v>19.75568181068471</v>
      </c>
      <c r="F77" s="184">
        <v>19.43405242054132</v>
      </c>
      <c r="G77" s="191">
        <v>-0.32162939014338221</v>
      </c>
      <c r="H77" s="186">
        <v>-0.27503317960228668</v>
      </c>
    </row>
    <row r="78" spans="1:8" ht="22.05" customHeight="1">
      <c r="A78" s="160">
        <v>15</v>
      </c>
      <c r="B78" s="180">
        <v>700</v>
      </c>
      <c r="C78" s="171">
        <v>373000000</v>
      </c>
      <c r="D78" s="181">
        <v>6.5510803350434044</v>
      </c>
      <c r="E78" s="181">
        <v>19.737088977608089</v>
      </c>
      <c r="F78" s="181">
        <v>19.626677260040761</v>
      </c>
      <c r="G78" s="189">
        <v>-0.11041171756732381</v>
      </c>
      <c r="H78" s="182">
        <v>-0.10453461943777249</v>
      </c>
    </row>
    <row r="79" spans="1:8" ht="22.05" customHeight="1">
      <c r="A79" s="165">
        <v>16</v>
      </c>
      <c r="B79" s="183">
        <v>800</v>
      </c>
      <c r="C79" s="176">
        <v>475000000</v>
      </c>
      <c r="D79" s="184">
        <v>6.6846117276679271</v>
      </c>
      <c r="E79" s="184">
        <v>19.978825361998911</v>
      </c>
      <c r="F79" s="184">
        <v>19.793536485710469</v>
      </c>
      <c r="G79" s="189">
        <v>-0.18528887628844259</v>
      </c>
      <c r="H79" s="182">
        <v>-0.169135767794419</v>
      </c>
    </row>
    <row r="80" spans="1:8" ht="22.05" customHeight="1">
      <c r="A80" s="160">
        <v>17</v>
      </c>
      <c r="B80" s="180">
        <v>900</v>
      </c>
      <c r="C80" s="171">
        <v>528000000</v>
      </c>
      <c r="D80" s="181">
        <v>6.8023947633243109</v>
      </c>
      <c r="E80" s="181">
        <v>20.084606841670539</v>
      </c>
      <c r="F80" s="181">
        <v>19.940716753513971</v>
      </c>
      <c r="G80" s="189">
        <v>-0.1438900881565601</v>
      </c>
      <c r="H80" s="182">
        <v>-0.13401707539177521</v>
      </c>
    </row>
    <row r="81" spans="1:8" ht="26" customHeight="1">
      <c r="A81" s="187"/>
      <c r="B81" s="304" t="s">
        <v>2966</v>
      </c>
      <c r="C81" s="282"/>
      <c r="D81" s="282"/>
      <c r="E81" s="282"/>
      <c r="F81" s="278"/>
      <c r="G81" s="188">
        <v>0.1608448013110626</v>
      </c>
      <c r="H81" s="187"/>
    </row>
    <row r="83" spans="1:8" ht="30" customHeight="1">
      <c r="A83" s="303" t="s">
        <v>2967</v>
      </c>
      <c r="B83" s="282"/>
      <c r="C83" s="282"/>
      <c r="D83" s="282"/>
      <c r="E83" s="282"/>
      <c r="F83" s="282"/>
      <c r="G83" s="282"/>
      <c r="H83" s="278"/>
    </row>
    <row r="84" spans="1:8" ht="26" customHeight="1">
      <c r="A84" s="159" t="s">
        <v>2920</v>
      </c>
      <c r="B84" s="159" t="s">
        <v>2948</v>
      </c>
      <c r="C84" s="159" t="s">
        <v>2955</v>
      </c>
      <c r="D84" s="159" t="s">
        <v>2956</v>
      </c>
      <c r="E84" s="159" t="s">
        <v>2957</v>
      </c>
      <c r="F84" s="159" t="s">
        <v>2958</v>
      </c>
      <c r="G84" s="159" t="s">
        <v>2959</v>
      </c>
      <c r="H84" s="159" t="s">
        <v>2960</v>
      </c>
    </row>
    <row r="85" spans="1:8" ht="22.05" customHeight="1">
      <c r="A85" s="160">
        <v>1</v>
      </c>
      <c r="B85" s="180">
        <v>50</v>
      </c>
      <c r="C85" s="171">
        <v>154150000</v>
      </c>
      <c r="D85" s="181">
        <v>3.912023005428146</v>
      </c>
      <c r="E85" s="181">
        <v>18.853436712296428</v>
      </c>
      <c r="F85" s="181">
        <v>18.56933540207779</v>
      </c>
      <c r="G85" s="191">
        <v>-0.2841013102186416</v>
      </c>
      <c r="H85" s="186">
        <v>-0.2473096143841885</v>
      </c>
    </row>
    <row r="86" spans="1:8" ht="22.05" customHeight="1">
      <c r="A86" s="165">
        <v>2</v>
      </c>
      <c r="B86" s="183">
        <v>65</v>
      </c>
      <c r="C86" s="176">
        <v>166980000</v>
      </c>
      <c r="D86" s="184">
        <v>4.1743872698956368</v>
      </c>
      <c r="E86" s="184">
        <v>18.933384602730129</v>
      </c>
      <c r="F86" s="184">
        <v>18.740565454595661</v>
      </c>
      <c r="G86" s="189">
        <v>-0.19281914813446829</v>
      </c>
      <c r="H86" s="182">
        <v>-0.17536890327362839</v>
      </c>
    </row>
    <row r="87" spans="1:8" ht="22.05" customHeight="1">
      <c r="A87" s="160">
        <v>3</v>
      </c>
      <c r="B87" s="180">
        <v>80</v>
      </c>
      <c r="C87" s="171">
        <v>166980000</v>
      </c>
      <c r="D87" s="181">
        <v>4.3820266346738812</v>
      </c>
      <c r="E87" s="181">
        <v>18.933384602730129</v>
      </c>
      <c r="F87" s="181">
        <v>18.876079715304591</v>
      </c>
      <c r="G87" s="190">
        <v>-5.730488742553419E-2</v>
      </c>
      <c r="H87" s="185">
        <v>-5.5693881588916729E-2</v>
      </c>
    </row>
    <row r="88" spans="1:8" ht="22.05" customHeight="1">
      <c r="A88" s="165">
        <v>4</v>
      </c>
      <c r="B88" s="183">
        <v>100</v>
      </c>
      <c r="C88" s="176">
        <v>178110000</v>
      </c>
      <c r="D88" s="184">
        <v>4.6051701859880918</v>
      </c>
      <c r="E88" s="184">
        <v>18.997911894914971</v>
      </c>
      <c r="F88" s="184">
        <v>19.021712666072901</v>
      </c>
      <c r="G88" s="190">
        <v>2.380077115793355E-2</v>
      </c>
      <c r="H88" s="185">
        <v>2.4086270043430759E-2</v>
      </c>
    </row>
    <row r="89" spans="1:8" ht="22.05" customHeight="1">
      <c r="A89" s="160">
        <v>5</v>
      </c>
      <c r="B89" s="180">
        <v>125</v>
      </c>
      <c r="C89" s="171">
        <v>191340000</v>
      </c>
      <c r="D89" s="181">
        <v>4.8283137373023024</v>
      </c>
      <c r="E89" s="181">
        <v>19.0695625082143</v>
      </c>
      <c r="F89" s="181">
        <v>19.1673456168412</v>
      </c>
      <c r="G89" s="189">
        <v>9.7783108626906312E-2</v>
      </c>
      <c r="H89" s="182">
        <v>0.1027235879364151</v>
      </c>
    </row>
    <row r="90" spans="1:8" ht="22.05" customHeight="1">
      <c r="A90" s="165">
        <v>6</v>
      </c>
      <c r="B90" s="183">
        <v>150</v>
      </c>
      <c r="C90" s="176">
        <v>208560000</v>
      </c>
      <c r="D90" s="184">
        <v>5.0106352940962564</v>
      </c>
      <c r="E90" s="184">
        <v>19.15573732758952</v>
      </c>
      <c r="F90" s="184">
        <v>19.286336401688871</v>
      </c>
      <c r="G90" s="189">
        <v>0.13059907409935079</v>
      </c>
      <c r="H90" s="182">
        <v>0.1395108303104233</v>
      </c>
    </row>
    <row r="91" spans="1:8" ht="22.05" customHeight="1">
      <c r="A91" s="160">
        <v>7</v>
      </c>
      <c r="B91" s="180">
        <v>200</v>
      </c>
      <c r="C91" s="171">
        <v>217700000</v>
      </c>
      <c r="D91" s="181">
        <v>5.2983173665480363</v>
      </c>
      <c r="E91" s="181">
        <v>19.198628526204779</v>
      </c>
      <c r="F91" s="181">
        <v>19.474089930068011</v>
      </c>
      <c r="G91" s="191">
        <v>0.27546140386323259</v>
      </c>
      <c r="H91" s="186">
        <v>0.31713826736905321</v>
      </c>
    </row>
    <row r="92" spans="1:8" ht="22.05" customHeight="1">
      <c r="A92" s="165">
        <v>8</v>
      </c>
      <c r="B92" s="183">
        <v>250</v>
      </c>
      <c r="C92" s="176">
        <v>259480000</v>
      </c>
      <c r="D92" s="184">
        <v>5.521460917862246</v>
      </c>
      <c r="E92" s="184">
        <v>19.374190186309129</v>
      </c>
      <c r="F92" s="184">
        <v>19.61972288083631</v>
      </c>
      <c r="G92" s="191">
        <v>0.24553269452718141</v>
      </c>
      <c r="H92" s="186">
        <v>0.27830207638955429</v>
      </c>
    </row>
    <row r="93" spans="1:8" ht="22.05" customHeight="1">
      <c r="A93" s="160">
        <v>9</v>
      </c>
      <c r="B93" s="180">
        <v>300</v>
      </c>
      <c r="C93" s="171">
        <v>307880000</v>
      </c>
      <c r="D93" s="181">
        <v>5.7037824746562009</v>
      </c>
      <c r="E93" s="181">
        <v>19.545220654630391</v>
      </c>
      <c r="F93" s="181">
        <v>19.738713665683981</v>
      </c>
      <c r="G93" s="191">
        <v>0.19349301105359021</v>
      </c>
      <c r="H93" s="186">
        <v>0.21348090556884561</v>
      </c>
    </row>
    <row r="94" spans="1:8" ht="22.05" customHeight="1">
      <c r="A94" s="165">
        <v>10</v>
      </c>
      <c r="B94" s="183">
        <v>350</v>
      </c>
      <c r="C94" s="176">
        <v>361040000</v>
      </c>
      <c r="D94" s="184">
        <v>5.857933154483459</v>
      </c>
      <c r="E94" s="184">
        <v>19.704499313483019</v>
      </c>
      <c r="F94" s="184">
        <v>19.839318940781411</v>
      </c>
      <c r="G94" s="189">
        <v>0.13481962729839131</v>
      </c>
      <c r="H94" s="182">
        <v>0.14433035977666861</v>
      </c>
    </row>
    <row r="95" spans="1:8" ht="22.05" customHeight="1">
      <c r="A95" s="160">
        <v>11</v>
      </c>
      <c r="B95" s="180">
        <v>400</v>
      </c>
      <c r="C95" s="171">
        <v>433840000</v>
      </c>
      <c r="D95" s="181">
        <v>5.9914645471079817</v>
      </c>
      <c r="E95" s="181">
        <v>19.88818636049708</v>
      </c>
      <c r="F95" s="181">
        <v>19.926467194063111</v>
      </c>
      <c r="G95" s="190">
        <v>3.8280833566034289E-2</v>
      </c>
      <c r="H95" s="185">
        <v>3.9022984439677423E-2</v>
      </c>
    </row>
    <row r="96" spans="1:8" ht="22.05" customHeight="1">
      <c r="A96" s="165">
        <v>12</v>
      </c>
      <c r="B96" s="183">
        <v>450</v>
      </c>
      <c r="C96" s="176">
        <v>467200000</v>
      </c>
      <c r="D96" s="184">
        <v>6.1092475827643664</v>
      </c>
      <c r="E96" s="184">
        <v>19.962267989478288</v>
      </c>
      <c r="F96" s="184">
        <v>20.003337401299952</v>
      </c>
      <c r="G96" s="190">
        <v>4.1069411821659678E-2</v>
      </c>
      <c r="H96" s="185">
        <v>4.1924424907906259E-2</v>
      </c>
    </row>
    <row r="97" spans="1:8" ht="22.05" customHeight="1">
      <c r="A97" s="160">
        <v>13</v>
      </c>
      <c r="B97" s="180">
        <v>500</v>
      </c>
      <c r="C97" s="171">
        <v>523500000</v>
      </c>
      <c r="D97" s="181">
        <v>6.2146080984221914</v>
      </c>
      <c r="E97" s="181">
        <v>20.076047588274861</v>
      </c>
      <c r="F97" s="181">
        <v>20.07210014483142</v>
      </c>
      <c r="G97" s="190">
        <v>-3.9474434434474404E-3</v>
      </c>
      <c r="H97" s="185">
        <v>-3.9396625301844753E-3</v>
      </c>
    </row>
    <row r="98" spans="1:8" ht="22.05" customHeight="1">
      <c r="A98" s="165">
        <v>14</v>
      </c>
      <c r="B98" s="183">
        <v>600</v>
      </c>
      <c r="C98" s="176">
        <v>665600000</v>
      </c>
      <c r="D98" s="184">
        <v>6.3969296552161463</v>
      </c>
      <c r="E98" s="184">
        <v>20.31619944747127</v>
      </c>
      <c r="F98" s="184">
        <v>20.191090929679088</v>
      </c>
      <c r="G98" s="189">
        <v>-0.1251085177921851</v>
      </c>
      <c r="H98" s="182">
        <v>-0.1175988588348799</v>
      </c>
    </row>
    <row r="99" spans="1:8" ht="22.05" customHeight="1">
      <c r="A99" s="160">
        <v>15</v>
      </c>
      <c r="B99" s="180">
        <v>700</v>
      </c>
      <c r="C99" s="171">
        <v>794900000</v>
      </c>
      <c r="D99" s="181">
        <v>6.5510803350434044</v>
      </c>
      <c r="E99" s="181">
        <v>20.493726878543342</v>
      </c>
      <c r="F99" s="181">
        <v>20.291696204776521</v>
      </c>
      <c r="G99" s="189">
        <v>-0.20203067376682429</v>
      </c>
      <c r="H99" s="182">
        <v>-0.18293013505266559</v>
      </c>
    </row>
    <row r="100" spans="1:8" ht="22.05" customHeight="1">
      <c r="A100" s="165">
        <v>16</v>
      </c>
      <c r="B100" s="183">
        <v>800</v>
      </c>
      <c r="C100" s="176">
        <v>971520000</v>
      </c>
      <c r="D100" s="184">
        <v>6.6846117276679271</v>
      </c>
      <c r="E100" s="184">
        <v>20.694372413291429</v>
      </c>
      <c r="F100" s="184">
        <v>20.378844458058229</v>
      </c>
      <c r="G100" s="191">
        <v>-0.31552795523320398</v>
      </c>
      <c r="H100" s="186">
        <v>-0.27059631989466348</v>
      </c>
    </row>
    <row r="101" spans="1:8" ht="26" customHeight="1">
      <c r="A101" s="187"/>
      <c r="B101" s="304" t="s">
        <v>2968</v>
      </c>
      <c r="C101" s="282"/>
      <c r="D101" s="282"/>
      <c r="E101" s="282"/>
      <c r="F101" s="278"/>
      <c r="G101" s="188">
        <v>0.14712231764381889</v>
      </c>
      <c r="H101" s="187"/>
    </row>
  </sheetData>
  <mergeCells count="13">
    <mergeCell ref="A1:L1"/>
    <mergeCell ref="B60:F60"/>
    <mergeCell ref="A13:H13"/>
    <mergeCell ref="B101:F101"/>
    <mergeCell ref="A45:H45"/>
    <mergeCell ref="A4:L4"/>
    <mergeCell ref="A62:H62"/>
    <mergeCell ref="B43:F43"/>
    <mergeCell ref="A2:L2"/>
    <mergeCell ref="A30:H30"/>
    <mergeCell ref="A83:H83"/>
    <mergeCell ref="B81:F81"/>
    <mergeCell ref="B28:F28"/>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D473"/>
  <sheetViews>
    <sheetView rightToLeft="1" workbookViewId="0"/>
  </sheetViews>
  <sheetFormatPr defaultRowHeight="13.5"/>
  <cols>
    <col min="1" max="1" width="14" customWidth="1"/>
    <col min="2" max="2" width="24" customWidth="1"/>
    <col min="3" max="3" width="12" customWidth="1"/>
    <col min="4" max="4" width="50" customWidth="1"/>
  </cols>
  <sheetData>
    <row r="1" spans="1:4" ht="18.399999999999999">
      <c r="A1" s="158" t="s">
        <v>2969</v>
      </c>
      <c r="B1" s="158" t="s">
        <v>2970</v>
      </c>
      <c r="C1" s="158" t="s">
        <v>2971</v>
      </c>
      <c r="D1" s="158" t="s">
        <v>589</v>
      </c>
    </row>
    <row r="2" spans="1:4">
      <c r="A2" s="165" t="s">
        <v>1</v>
      </c>
      <c r="B2" s="165" t="s">
        <v>98</v>
      </c>
      <c r="C2" s="165">
        <v>1</v>
      </c>
      <c r="D2" s="168" t="s">
        <v>602</v>
      </c>
    </row>
    <row r="3" spans="1:4">
      <c r="A3" s="165" t="s">
        <v>2</v>
      </c>
      <c r="B3" s="165" t="s">
        <v>99</v>
      </c>
      <c r="C3" s="165">
        <v>2</v>
      </c>
      <c r="D3" s="168" t="s">
        <v>603</v>
      </c>
    </row>
    <row r="4" spans="1:4">
      <c r="A4" s="165" t="s">
        <v>3</v>
      </c>
      <c r="B4" s="165" t="s">
        <v>100</v>
      </c>
      <c r="C4" s="165">
        <v>3</v>
      </c>
      <c r="D4" s="168" t="s">
        <v>604</v>
      </c>
    </row>
    <row r="5" spans="1:4">
      <c r="A5" s="165" t="s">
        <v>4</v>
      </c>
      <c r="B5" s="165" t="s">
        <v>101</v>
      </c>
      <c r="C5" s="165">
        <v>4</v>
      </c>
      <c r="D5" s="168" t="s">
        <v>605</v>
      </c>
    </row>
    <row r="6" spans="1:4">
      <c r="A6" s="165" t="s">
        <v>5</v>
      </c>
      <c r="B6" s="165" t="s">
        <v>102</v>
      </c>
      <c r="C6" s="165">
        <v>5</v>
      </c>
      <c r="D6" s="168" t="s">
        <v>606</v>
      </c>
    </row>
    <row r="7" spans="1:4">
      <c r="A7" s="165" t="s">
        <v>6</v>
      </c>
      <c r="B7" s="165" t="s">
        <v>103</v>
      </c>
      <c r="C7" s="165">
        <v>6</v>
      </c>
      <c r="D7" s="168" t="s">
        <v>607</v>
      </c>
    </row>
    <row r="8" spans="1:4">
      <c r="A8" s="165" t="s">
        <v>7</v>
      </c>
      <c r="B8" s="165" t="s">
        <v>104</v>
      </c>
      <c r="C8" s="165">
        <v>7</v>
      </c>
      <c r="D8" s="168" t="s">
        <v>608</v>
      </c>
    </row>
    <row r="9" spans="1:4">
      <c r="A9" s="165" t="s">
        <v>8</v>
      </c>
      <c r="B9" s="165" t="s">
        <v>105</v>
      </c>
      <c r="C9" s="165">
        <v>8</v>
      </c>
      <c r="D9" s="168" t="s">
        <v>609</v>
      </c>
    </row>
    <row r="10" spans="1:4">
      <c r="A10" s="165" t="s">
        <v>9</v>
      </c>
      <c r="B10" s="165" t="s">
        <v>106</v>
      </c>
      <c r="C10" s="165">
        <v>9</v>
      </c>
      <c r="D10" s="168" t="s">
        <v>610</v>
      </c>
    </row>
    <row r="11" spans="1:4">
      <c r="A11" s="165" t="s">
        <v>10</v>
      </c>
      <c r="B11" s="165" t="s">
        <v>107</v>
      </c>
      <c r="C11" s="165">
        <v>10</v>
      </c>
      <c r="D11" s="168" t="s">
        <v>611</v>
      </c>
    </row>
    <row r="12" spans="1:4">
      <c r="A12" s="165" t="s">
        <v>11</v>
      </c>
      <c r="B12" s="165" t="s">
        <v>108</v>
      </c>
      <c r="C12" s="165">
        <v>11</v>
      </c>
      <c r="D12" s="168" t="s">
        <v>612</v>
      </c>
    </row>
    <row r="13" spans="1:4">
      <c r="A13" s="165" t="s">
        <v>12</v>
      </c>
      <c r="B13" s="165" t="s">
        <v>109</v>
      </c>
      <c r="C13" s="165">
        <v>12</v>
      </c>
      <c r="D13" s="168" t="s">
        <v>613</v>
      </c>
    </row>
    <row r="14" spans="1:4">
      <c r="A14" s="165" t="s">
        <v>13</v>
      </c>
      <c r="B14" s="165" t="s">
        <v>110</v>
      </c>
      <c r="C14" s="165">
        <v>13</v>
      </c>
      <c r="D14" s="168" t="s">
        <v>614</v>
      </c>
    </row>
    <row r="15" spans="1:4">
      <c r="A15" s="165" t="s">
        <v>14</v>
      </c>
      <c r="B15" s="165" t="s">
        <v>111</v>
      </c>
      <c r="C15" s="165">
        <v>14</v>
      </c>
      <c r="D15" s="168" t="s">
        <v>615</v>
      </c>
    </row>
    <row r="16" spans="1:4">
      <c r="A16" s="165" t="s">
        <v>15</v>
      </c>
      <c r="B16" s="165" t="s">
        <v>112</v>
      </c>
      <c r="C16" s="165">
        <v>15</v>
      </c>
      <c r="D16" s="168" t="s">
        <v>616</v>
      </c>
    </row>
    <row r="17" spans="1:4">
      <c r="A17" s="165" t="s">
        <v>16</v>
      </c>
      <c r="B17" s="165" t="s">
        <v>113</v>
      </c>
      <c r="C17" s="165">
        <v>16</v>
      </c>
      <c r="D17" s="168" t="s">
        <v>617</v>
      </c>
    </row>
    <row r="18" spans="1:4">
      <c r="A18" s="165" t="s">
        <v>17</v>
      </c>
      <c r="B18" s="165" t="s">
        <v>114</v>
      </c>
      <c r="C18" s="165">
        <v>17</v>
      </c>
      <c r="D18" s="168" t="s">
        <v>618</v>
      </c>
    </row>
    <row r="19" spans="1:4">
      <c r="A19" s="165" t="s">
        <v>18</v>
      </c>
      <c r="B19" s="165" t="s">
        <v>115</v>
      </c>
      <c r="C19" s="165">
        <v>18</v>
      </c>
      <c r="D19" s="168" t="s">
        <v>619</v>
      </c>
    </row>
    <row r="20" spans="1:4">
      <c r="A20" s="165" t="s">
        <v>19</v>
      </c>
      <c r="B20" s="165" t="s">
        <v>116</v>
      </c>
      <c r="C20" s="165">
        <v>19</v>
      </c>
      <c r="D20" s="168" t="s">
        <v>620</v>
      </c>
    </row>
    <row r="21" spans="1:4">
      <c r="A21" s="165" t="s">
        <v>20</v>
      </c>
      <c r="B21" s="165" t="s">
        <v>117</v>
      </c>
      <c r="C21" s="165">
        <v>20</v>
      </c>
      <c r="D21" s="168" t="s">
        <v>621</v>
      </c>
    </row>
    <row r="22" spans="1:4">
      <c r="A22" s="165" t="s">
        <v>21</v>
      </c>
      <c r="B22" s="165" t="s">
        <v>118</v>
      </c>
      <c r="C22" s="165">
        <v>21</v>
      </c>
      <c r="D22" s="168" t="s">
        <v>622</v>
      </c>
    </row>
    <row r="23" spans="1:4">
      <c r="A23" s="165" t="s">
        <v>22</v>
      </c>
      <c r="B23" s="165" t="s">
        <v>119</v>
      </c>
      <c r="C23" s="165">
        <v>22</v>
      </c>
      <c r="D23" s="168" t="s">
        <v>623</v>
      </c>
    </row>
    <row r="24" spans="1:4">
      <c r="A24" s="165" t="s">
        <v>23</v>
      </c>
      <c r="B24" s="165" t="s">
        <v>120</v>
      </c>
      <c r="C24" s="165">
        <v>23</v>
      </c>
      <c r="D24" s="168" t="s">
        <v>624</v>
      </c>
    </row>
    <row r="25" spans="1:4">
      <c r="A25" s="165" t="s">
        <v>24</v>
      </c>
      <c r="B25" s="165" t="s">
        <v>121</v>
      </c>
      <c r="C25" s="165">
        <v>24</v>
      </c>
      <c r="D25" s="168" t="s">
        <v>625</v>
      </c>
    </row>
    <row r="26" spans="1:4">
      <c r="A26" s="165" t="s">
        <v>25</v>
      </c>
      <c r="B26" s="165" t="s">
        <v>122</v>
      </c>
      <c r="C26" s="165">
        <v>25</v>
      </c>
      <c r="D26" s="168" t="s">
        <v>626</v>
      </c>
    </row>
    <row r="27" spans="1:4">
      <c r="A27" s="165" t="s">
        <v>26</v>
      </c>
      <c r="B27" s="165" t="s">
        <v>123</v>
      </c>
      <c r="C27" s="165">
        <v>26</v>
      </c>
      <c r="D27" s="168" t="s">
        <v>627</v>
      </c>
    </row>
    <row r="28" spans="1:4">
      <c r="A28" s="165" t="s">
        <v>27</v>
      </c>
      <c r="B28" s="165" t="s">
        <v>124</v>
      </c>
      <c r="C28" s="165">
        <v>27</v>
      </c>
      <c r="D28" s="168" t="s">
        <v>628</v>
      </c>
    </row>
    <row r="29" spans="1:4">
      <c r="A29" s="165" t="s">
        <v>28</v>
      </c>
      <c r="B29" s="165" t="s">
        <v>125</v>
      </c>
      <c r="C29" s="165">
        <v>28</v>
      </c>
      <c r="D29" s="168" t="s">
        <v>629</v>
      </c>
    </row>
    <row r="30" spans="1:4">
      <c r="A30" s="165" t="s">
        <v>29</v>
      </c>
      <c r="B30" s="165" t="s">
        <v>126</v>
      </c>
      <c r="C30" s="165">
        <v>29</v>
      </c>
      <c r="D30" s="168" t="s">
        <v>630</v>
      </c>
    </row>
    <row r="31" spans="1:4">
      <c r="A31" s="165" t="s">
        <v>30</v>
      </c>
      <c r="B31" s="165" t="s">
        <v>127</v>
      </c>
      <c r="C31" s="165">
        <v>30</v>
      </c>
      <c r="D31" s="168" t="s">
        <v>631</v>
      </c>
    </row>
    <row r="32" spans="1:4">
      <c r="A32" s="165" t="s">
        <v>31</v>
      </c>
      <c r="B32" s="165" t="s">
        <v>128</v>
      </c>
      <c r="C32" s="165">
        <v>31</v>
      </c>
      <c r="D32" s="168" t="s">
        <v>632</v>
      </c>
    </row>
    <row r="33" spans="1:4">
      <c r="A33" s="165" t="s">
        <v>32</v>
      </c>
      <c r="B33" s="165" t="s">
        <v>129</v>
      </c>
      <c r="C33" s="165">
        <v>32</v>
      </c>
      <c r="D33" s="168" t="s">
        <v>633</v>
      </c>
    </row>
    <row r="34" spans="1:4">
      <c r="A34" s="165" t="s">
        <v>33</v>
      </c>
      <c r="B34" s="165" t="s">
        <v>130</v>
      </c>
      <c r="C34" s="165">
        <v>33</v>
      </c>
      <c r="D34" s="168" t="s">
        <v>634</v>
      </c>
    </row>
    <row r="35" spans="1:4">
      <c r="A35" s="165" t="s">
        <v>34</v>
      </c>
      <c r="B35" s="165" t="s">
        <v>131</v>
      </c>
      <c r="C35" s="165">
        <v>34</v>
      </c>
      <c r="D35" s="168" t="s">
        <v>635</v>
      </c>
    </row>
    <row r="36" spans="1:4">
      <c r="A36" s="165" t="s">
        <v>35</v>
      </c>
      <c r="B36" s="165" t="s">
        <v>132</v>
      </c>
      <c r="C36" s="165">
        <v>35</v>
      </c>
      <c r="D36" s="168" t="s">
        <v>636</v>
      </c>
    </row>
    <row r="37" spans="1:4">
      <c r="A37" s="165" t="s">
        <v>36</v>
      </c>
      <c r="B37" s="165" t="s">
        <v>133</v>
      </c>
      <c r="C37" s="165">
        <v>36</v>
      </c>
      <c r="D37" s="168" t="s">
        <v>637</v>
      </c>
    </row>
    <row r="38" spans="1:4">
      <c r="A38" s="165" t="s">
        <v>37</v>
      </c>
      <c r="B38" s="165" t="s">
        <v>134</v>
      </c>
      <c r="C38" s="165">
        <v>37</v>
      </c>
      <c r="D38" s="168" t="s">
        <v>638</v>
      </c>
    </row>
    <row r="39" spans="1:4">
      <c r="A39" s="165" t="s">
        <v>38</v>
      </c>
      <c r="B39" s="165" t="s">
        <v>135</v>
      </c>
      <c r="C39" s="165">
        <v>38</v>
      </c>
      <c r="D39" s="168" t="s">
        <v>639</v>
      </c>
    </row>
    <row r="40" spans="1:4">
      <c r="A40" s="165" t="s">
        <v>39</v>
      </c>
      <c r="B40" s="165" t="s">
        <v>136</v>
      </c>
      <c r="C40" s="165">
        <v>39</v>
      </c>
      <c r="D40" s="168" t="s">
        <v>640</v>
      </c>
    </row>
    <row r="41" spans="1:4">
      <c r="A41" s="165" t="s">
        <v>40</v>
      </c>
      <c r="B41" s="165" t="s">
        <v>137</v>
      </c>
      <c r="C41" s="165">
        <v>40</v>
      </c>
      <c r="D41" s="168" t="s">
        <v>641</v>
      </c>
    </row>
    <row r="42" spans="1:4">
      <c r="A42" s="165" t="s">
        <v>41</v>
      </c>
      <c r="B42" s="165" t="s">
        <v>138</v>
      </c>
      <c r="C42" s="165">
        <v>41</v>
      </c>
      <c r="D42" s="168" t="s">
        <v>642</v>
      </c>
    </row>
    <row r="43" spans="1:4">
      <c r="A43" s="165" t="s">
        <v>42</v>
      </c>
      <c r="B43" s="165" t="s">
        <v>139</v>
      </c>
      <c r="C43" s="165">
        <v>42</v>
      </c>
      <c r="D43" s="168" t="s">
        <v>643</v>
      </c>
    </row>
    <row r="44" spans="1:4">
      <c r="A44" s="165" t="s">
        <v>43</v>
      </c>
      <c r="B44" s="165" t="s">
        <v>140</v>
      </c>
      <c r="C44" s="165">
        <v>43</v>
      </c>
      <c r="D44" s="168" t="s">
        <v>644</v>
      </c>
    </row>
    <row r="45" spans="1:4">
      <c r="A45" s="165" t="s">
        <v>44</v>
      </c>
      <c r="B45" s="165" t="s">
        <v>141</v>
      </c>
      <c r="C45" s="165">
        <v>44</v>
      </c>
      <c r="D45" s="168" t="s">
        <v>645</v>
      </c>
    </row>
    <row r="46" spans="1:4">
      <c r="A46" s="165" t="s">
        <v>45</v>
      </c>
      <c r="B46" s="165" t="s">
        <v>142</v>
      </c>
      <c r="C46" s="165">
        <v>45</v>
      </c>
      <c r="D46" s="168" t="s">
        <v>646</v>
      </c>
    </row>
    <row r="47" spans="1:4">
      <c r="A47" s="165" t="s">
        <v>46</v>
      </c>
      <c r="B47" s="165" t="s">
        <v>143</v>
      </c>
      <c r="C47" s="165">
        <v>46</v>
      </c>
      <c r="D47" s="168" t="s">
        <v>647</v>
      </c>
    </row>
    <row r="48" spans="1:4">
      <c r="A48" s="165" t="s">
        <v>47</v>
      </c>
      <c r="B48" s="165" t="s">
        <v>144</v>
      </c>
      <c r="C48" s="165">
        <v>47</v>
      </c>
      <c r="D48" s="168" t="s">
        <v>648</v>
      </c>
    </row>
    <row r="49" spans="1:4">
      <c r="A49" s="165" t="s">
        <v>48</v>
      </c>
      <c r="B49" s="165" t="s">
        <v>145</v>
      </c>
      <c r="C49" s="165">
        <v>48</v>
      </c>
      <c r="D49" s="168" t="s">
        <v>649</v>
      </c>
    </row>
    <row r="50" spans="1:4">
      <c r="A50" s="165" t="s">
        <v>49</v>
      </c>
      <c r="B50" s="165" t="s">
        <v>146</v>
      </c>
      <c r="C50" s="165">
        <v>49</v>
      </c>
      <c r="D50" s="168" t="s">
        <v>650</v>
      </c>
    </row>
    <row r="51" spans="1:4" ht="27">
      <c r="A51" s="165" t="s">
        <v>50</v>
      </c>
      <c r="B51" s="165" t="s">
        <v>147</v>
      </c>
      <c r="C51" s="165">
        <v>50</v>
      </c>
      <c r="D51" s="168" t="s">
        <v>651</v>
      </c>
    </row>
    <row r="52" spans="1:4">
      <c r="A52" s="165" t="s">
        <v>51</v>
      </c>
      <c r="B52" s="165" t="s">
        <v>148</v>
      </c>
      <c r="C52" s="165">
        <v>51</v>
      </c>
      <c r="D52" s="168" t="s">
        <v>652</v>
      </c>
    </row>
    <row r="53" spans="1:4">
      <c r="A53" s="165" t="s">
        <v>52</v>
      </c>
      <c r="B53" s="165" t="s">
        <v>149</v>
      </c>
      <c r="C53" s="165">
        <v>52</v>
      </c>
      <c r="D53" s="168" t="s">
        <v>653</v>
      </c>
    </row>
    <row r="54" spans="1:4">
      <c r="A54" s="165" t="s">
        <v>53</v>
      </c>
      <c r="B54" s="165" t="s">
        <v>150</v>
      </c>
      <c r="C54" s="165">
        <v>53</v>
      </c>
      <c r="D54" s="168" t="s">
        <v>654</v>
      </c>
    </row>
    <row r="55" spans="1:4">
      <c r="A55" s="165" t="s">
        <v>54</v>
      </c>
      <c r="B55" s="165" t="s">
        <v>151</v>
      </c>
      <c r="C55" s="165">
        <v>54</v>
      </c>
      <c r="D55" s="168" t="s">
        <v>655</v>
      </c>
    </row>
    <row r="56" spans="1:4">
      <c r="A56" s="165" t="s">
        <v>55</v>
      </c>
      <c r="B56" s="165" t="s">
        <v>152</v>
      </c>
      <c r="C56" s="165">
        <v>55</v>
      </c>
      <c r="D56" s="168" t="s">
        <v>656</v>
      </c>
    </row>
    <row r="57" spans="1:4">
      <c r="A57" s="165" t="s">
        <v>56</v>
      </c>
      <c r="B57" s="165" t="s">
        <v>153</v>
      </c>
      <c r="C57" s="165">
        <v>56</v>
      </c>
      <c r="D57" s="168" t="s">
        <v>657</v>
      </c>
    </row>
    <row r="58" spans="1:4">
      <c r="A58" s="165" t="s">
        <v>57</v>
      </c>
      <c r="B58" s="165" t="s">
        <v>154</v>
      </c>
      <c r="C58" s="165">
        <v>57</v>
      </c>
      <c r="D58" s="168" t="s">
        <v>658</v>
      </c>
    </row>
    <row r="59" spans="1:4">
      <c r="A59" s="165" t="s">
        <v>58</v>
      </c>
      <c r="B59" s="165" t="s">
        <v>155</v>
      </c>
      <c r="C59" s="165">
        <v>58</v>
      </c>
      <c r="D59" s="168" t="s">
        <v>659</v>
      </c>
    </row>
    <row r="60" spans="1:4">
      <c r="A60" s="165" t="s">
        <v>59</v>
      </c>
      <c r="B60" s="165" t="s">
        <v>156</v>
      </c>
      <c r="C60" s="165">
        <v>59</v>
      </c>
      <c r="D60" s="168" t="s">
        <v>660</v>
      </c>
    </row>
    <row r="61" spans="1:4">
      <c r="A61" s="165" t="s">
        <v>60</v>
      </c>
      <c r="B61" s="165" t="s">
        <v>157</v>
      </c>
      <c r="C61" s="165">
        <v>60</v>
      </c>
      <c r="D61" s="168" t="s">
        <v>661</v>
      </c>
    </row>
    <row r="62" spans="1:4">
      <c r="A62" s="165" t="s">
        <v>61</v>
      </c>
      <c r="B62" s="165" t="s">
        <v>158</v>
      </c>
      <c r="C62" s="165">
        <v>61</v>
      </c>
      <c r="D62" s="168" t="s">
        <v>662</v>
      </c>
    </row>
    <row r="63" spans="1:4">
      <c r="A63" s="165" t="s">
        <v>62</v>
      </c>
      <c r="B63" s="165" t="s">
        <v>159</v>
      </c>
      <c r="C63" s="165">
        <v>62</v>
      </c>
      <c r="D63" s="168" t="s">
        <v>663</v>
      </c>
    </row>
    <row r="64" spans="1:4">
      <c r="A64" s="165" t="s">
        <v>63</v>
      </c>
      <c r="B64" s="165" t="s">
        <v>160</v>
      </c>
      <c r="C64" s="165">
        <v>63</v>
      </c>
      <c r="D64" s="168" t="s">
        <v>664</v>
      </c>
    </row>
    <row r="65" spans="1:4">
      <c r="A65" s="165" t="s">
        <v>64</v>
      </c>
      <c r="B65" s="165" t="s">
        <v>161</v>
      </c>
      <c r="C65" s="165">
        <v>64</v>
      </c>
      <c r="D65" s="168" t="s">
        <v>665</v>
      </c>
    </row>
    <row r="66" spans="1:4">
      <c r="A66" s="165" t="s">
        <v>65</v>
      </c>
      <c r="B66" s="165" t="s">
        <v>162</v>
      </c>
      <c r="C66" s="165">
        <v>65</v>
      </c>
      <c r="D66" s="168" t="s">
        <v>666</v>
      </c>
    </row>
    <row r="67" spans="1:4">
      <c r="A67" s="165" t="s">
        <v>66</v>
      </c>
      <c r="B67" s="165" t="s">
        <v>163</v>
      </c>
      <c r="C67" s="165">
        <v>66</v>
      </c>
      <c r="D67" s="168" t="s">
        <v>667</v>
      </c>
    </row>
    <row r="68" spans="1:4">
      <c r="A68" s="165" t="s">
        <v>67</v>
      </c>
      <c r="B68" s="165" t="s">
        <v>164</v>
      </c>
      <c r="C68" s="165">
        <v>67</v>
      </c>
      <c r="D68" s="168" t="s">
        <v>668</v>
      </c>
    </row>
    <row r="69" spans="1:4">
      <c r="A69" s="165" t="s">
        <v>68</v>
      </c>
      <c r="B69" s="165" t="s">
        <v>165</v>
      </c>
      <c r="C69" s="165">
        <v>68</v>
      </c>
      <c r="D69" s="168" t="s">
        <v>669</v>
      </c>
    </row>
    <row r="70" spans="1:4">
      <c r="A70" s="165" t="s">
        <v>69</v>
      </c>
      <c r="B70" s="165" t="s">
        <v>166</v>
      </c>
      <c r="C70" s="165">
        <v>69</v>
      </c>
      <c r="D70" s="168" t="s">
        <v>670</v>
      </c>
    </row>
    <row r="71" spans="1:4">
      <c r="A71" s="165" t="s">
        <v>70</v>
      </c>
      <c r="B71" s="165" t="s">
        <v>167</v>
      </c>
      <c r="C71" s="165">
        <v>70</v>
      </c>
      <c r="D71" s="168" t="s">
        <v>671</v>
      </c>
    </row>
    <row r="72" spans="1:4">
      <c r="A72" s="165" t="s">
        <v>71</v>
      </c>
      <c r="B72" s="165" t="s">
        <v>168</v>
      </c>
      <c r="C72" s="165">
        <v>71</v>
      </c>
      <c r="D72" s="168" t="s">
        <v>672</v>
      </c>
    </row>
    <row r="73" spans="1:4">
      <c r="A73" s="165" t="s">
        <v>72</v>
      </c>
      <c r="B73" s="165" t="s">
        <v>169</v>
      </c>
      <c r="C73" s="165">
        <v>72</v>
      </c>
      <c r="D73" s="168" t="s">
        <v>673</v>
      </c>
    </row>
    <row r="74" spans="1:4">
      <c r="A74" s="165" t="s">
        <v>73</v>
      </c>
      <c r="B74" s="165" t="s">
        <v>170</v>
      </c>
      <c r="C74" s="165">
        <v>73</v>
      </c>
      <c r="D74" s="168" t="s">
        <v>674</v>
      </c>
    </row>
    <row r="75" spans="1:4">
      <c r="A75" s="165" t="s">
        <v>74</v>
      </c>
      <c r="B75" s="165" t="s">
        <v>171</v>
      </c>
      <c r="C75" s="165">
        <v>74</v>
      </c>
      <c r="D75" s="168" t="s">
        <v>675</v>
      </c>
    </row>
    <row r="76" spans="1:4">
      <c r="A76" s="165" t="s">
        <v>75</v>
      </c>
      <c r="B76" s="165" t="s">
        <v>172</v>
      </c>
      <c r="C76" s="165">
        <v>75</v>
      </c>
      <c r="D76" s="168" t="s">
        <v>676</v>
      </c>
    </row>
    <row r="77" spans="1:4">
      <c r="A77" s="165" t="s">
        <v>76</v>
      </c>
      <c r="B77" s="165" t="s">
        <v>173</v>
      </c>
      <c r="C77" s="165">
        <v>76</v>
      </c>
      <c r="D77" s="168" t="s">
        <v>677</v>
      </c>
    </row>
    <row r="78" spans="1:4">
      <c r="A78" s="165" t="s">
        <v>77</v>
      </c>
      <c r="B78" s="165" t="s">
        <v>174</v>
      </c>
      <c r="C78" s="165">
        <v>77</v>
      </c>
      <c r="D78" s="168" t="s">
        <v>678</v>
      </c>
    </row>
    <row r="79" spans="1:4">
      <c r="A79" s="165" t="s">
        <v>78</v>
      </c>
      <c r="B79" s="165" t="s">
        <v>175</v>
      </c>
      <c r="C79" s="165">
        <v>78</v>
      </c>
      <c r="D79" s="168" t="s">
        <v>679</v>
      </c>
    </row>
    <row r="80" spans="1:4">
      <c r="A80" s="165" t="s">
        <v>79</v>
      </c>
      <c r="B80" s="165" t="s">
        <v>176</v>
      </c>
      <c r="C80" s="165">
        <v>79</v>
      </c>
      <c r="D80" s="168" t="s">
        <v>680</v>
      </c>
    </row>
    <row r="81" spans="1:4" ht="27">
      <c r="A81" s="165" t="s">
        <v>80</v>
      </c>
      <c r="B81" s="165" t="s">
        <v>177</v>
      </c>
      <c r="C81" s="165">
        <v>80</v>
      </c>
      <c r="D81" s="168" t="s">
        <v>681</v>
      </c>
    </row>
    <row r="82" spans="1:4">
      <c r="A82" s="165" t="s">
        <v>81</v>
      </c>
      <c r="B82" s="165" t="s">
        <v>178</v>
      </c>
      <c r="C82" s="165">
        <v>81</v>
      </c>
      <c r="D82" s="168" t="s">
        <v>682</v>
      </c>
    </row>
    <row r="83" spans="1:4">
      <c r="A83" s="165" t="s">
        <v>82</v>
      </c>
      <c r="B83" s="165" t="s">
        <v>179</v>
      </c>
      <c r="C83" s="165">
        <v>82</v>
      </c>
      <c r="D83" s="168" t="s">
        <v>683</v>
      </c>
    </row>
    <row r="84" spans="1:4">
      <c r="A84" s="165" t="s">
        <v>83</v>
      </c>
      <c r="B84" s="165" t="s">
        <v>180</v>
      </c>
      <c r="C84" s="165">
        <v>83</v>
      </c>
      <c r="D84" s="168" t="s">
        <v>684</v>
      </c>
    </row>
    <row r="85" spans="1:4">
      <c r="A85" s="165" t="s">
        <v>84</v>
      </c>
      <c r="B85" s="165" t="s">
        <v>181</v>
      </c>
      <c r="C85" s="165">
        <v>84</v>
      </c>
      <c r="D85" s="168" t="s">
        <v>685</v>
      </c>
    </row>
    <row r="86" spans="1:4">
      <c r="A86" s="165" t="s">
        <v>85</v>
      </c>
      <c r="B86" s="165" t="s">
        <v>182</v>
      </c>
      <c r="C86" s="165">
        <v>85</v>
      </c>
      <c r="D86" s="168" t="s">
        <v>686</v>
      </c>
    </row>
    <row r="87" spans="1:4">
      <c r="A87" s="165" t="s">
        <v>86</v>
      </c>
      <c r="B87" s="165" t="s">
        <v>183</v>
      </c>
      <c r="C87" s="165">
        <v>86</v>
      </c>
      <c r="D87" s="168" t="s">
        <v>687</v>
      </c>
    </row>
    <row r="88" spans="1:4">
      <c r="A88" s="165" t="s">
        <v>87</v>
      </c>
      <c r="B88" s="165" t="s">
        <v>184</v>
      </c>
      <c r="C88" s="165">
        <v>87</v>
      </c>
      <c r="D88" s="168" t="s">
        <v>688</v>
      </c>
    </row>
    <row r="89" spans="1:4">
      <c r="A89" s="165" t="s">
        <v>88</v>
      </c>
      <c r="B89" s="165" t="s">
        <v>185</v>
      </c>
      <c r="C89" s="165">
        <v>88</v>
      </c>
      <c r="D89" s="168" t="s">
        <v>689</v>
      </c>
    </row>
    <row r="90" spans="1:4">
      <c r="A90" s="165" t="s">
        <v>89</v>
      </c>
      <c r="B90" s="165" t="s">
        <v>186</v>
      </c>
      <c r="C90" s="165">
        <v>89</v>
      </c>
      <c r="D90" s="168" t="s">
        <v>690</v>
      </c>
    </row>
    <row r="91" spans="1:4">
      <c r="A91" s="165" t="s">
        <v>90</v>
      </c>
      <c r="B91" s="165" t="s">
        <v>187</v>
      </c>
      <c r="C91" s="165">
        <v>90</v>
      </c>
      <c r="D91" s="168" t="s">
        <v>691</v>
      </c>
    </row>
    <row r="92" spans="1:4">
      <c r="A92" s="165" t="s">
        <v>91</v>
      </c>
      <c r="B92" s="165" t="s">
        <v>188</v>
      </c>
      <c r="C92" s="165">
        <v>91</v>
      </c>
      <c r="D92" s="168" t="s">
        <v>692</v>
      </c>
    </row>
    <row r="93" spans="1:4">
      <c r="A93" s="165" t="s">
        <v>92</v>
      </c>
      <c r="B93" s="165" t="s">
        <v>189</v>
      </c>
      <c r="C93" s="165">
        <v>92</v>
      </c>
      <c r="D93" s="168" t="s">
        <v>693</v>
      </c>
    </row>
    <row r="94" spans="1:4">
      <c r="A94" s="165" t="s">
        <v>93</v>
      </c>
      <c r="B94" s="165" t="s">
        <v>190</v>
      </c>
      <c r="C94" s="165">
        <v>93</v>
      </c>
      <c r="D94" s="168" t="s">
        <v>694</v>
      </c>
    </row>
    <row r="95" spans="1:4">
      <c r="A95" s="165" t="s">
        <v>94</v>
      </c>
      <c r="B95" s="165" t="s">
        <v>191</v>
      </c>
      <c r="C95" s="165">
        <v>94</v>
      </c>
      <c r="D95" s="168" t="s">
        <v>695</v>
      </c>
    </row>
    <row r="96" spans="1:4">
      <c r="A96" s="165" t="s">
        <v>95</v>
      </c>
      <c r="B96" s="165" t="s">
        <v>192</v>
      </c>
      <c r="C96" s="165">
        <v>95</v>
      </c>
      <c r="D96" s="168" t="s">
        <v>696</v>
      </c>
    </row>
    <row r="97" spans="1:4">
      <c r="A97" s="165" t="s">
        <v>96</v>
      </c>
      <c r="B97" s="165" t="s">
        <v>193</v>
      </c>
      <c r="C97" s="165">
        <v>96</v>
      </c>
      <c r="D97" s="168" t="s">
        <v>697</v>
      </c>
    </row>
    <row r="98" spans="1:4">
      <c r="A98" s="165" t="s">
        <v>97</v>
      </c>
      <c r="B98" s="165" t="s">
        <v>194</v>
      </c>
      <c r="C98" s="165">
        <v>97</v>
      </c>
      <c r="D98" s="168" t="s">
        <v>698</v>
      </c>
    </row>
    <row r="99" spans="1:4">
      <c r="B99" s="165" t="s">
        <v>195</v>
      </c>
      <c r="C99" s="165">
        <v>98</v>
      </c>
      <c r="D99" s="168" t="s">
        <v>699</v>
      </c>
    </row>
    <row r="100" spans="1:4" ht="27">
      <c r="B100" s="165" t="s">
        <v>196</v>
      </c>
      <c r="C100" s="165">
        <v>99</v>
      </c>
      <c r="D100" s="168" t="s">
        <v>700</v>
      </c>
    </row>
    <row r="101" spans="1:4">
      <c r="B101" s="165" t="s">
        <v>197</v>
      </c>
      <c r="C101" s="165">
        <v>100</v>
      </c>
      <c r="D101" s="168" t="s">
        <v>701</v>
      </c>
    </row>
    <row r="102" spans="1:4">
      <c r="B102" s="165" t="s">
        <v>198</v>
      </c>
      <c r="C102" s="165">
        <v>101</v>
      </c>
      <c r="D102" s="168" t="s">
        <v>702</v>
      </c>
    </row>
    <row r="103" spans="1:4">
      <c r="B103" s="165" t="s">
        <v>199</v>
      </c>
      <c r="C103" s="165">
        <v>102</v>
      </c>
      <c r="D103" s="168" t="s">
        <v>703</v>
      </c>
    </row>
    <row r="104" spans="1:4">
      <c r="B104" s="165" t="s">
        <v>200</v>
      </c>
      <c r="C104" s="165">
        <v>103</v>
      </c>
      <c r="D104" s="168" t="s">
        <v>704</v>
      </c>
    </row>
    <row r="105" spans="1:4">
      <c r="B105" s="165" t="s">
        <v>201</v>
      </c>
      <c r="C105" s="165">
        <v>104</v>
      </c>
      <c r="D105" s="168" t="s">
        <v>705</v>
      </c>
    </row>
    <row r="106" spans="1:4">
      <c r="B106" s="165" t="s">
        <v>202</v>
      </c>
      <c r="C106" s="165">
        <v>105</v>
      </c>
      <c r="D106" s="168" t="s">
        <v>706</v>
      </c>
    </row>
    <row r="107" spans="1:4">
      <c r="B107" s="165" t="s">
        <v>203</v>
      </c>
      <c r="C107" s="165">
        <v>106</v>
      </c>
      <c r="D107" s="168" t="s">
        <v>707</v>
      </c>
    </row>
    <row r="108" spans="1:4">
      <c r="B108" s="165" t="s">
        <v>204</v>
      </c>
      <c r="C108" s="165">
        <v>107</v>
      </c>
      <c r="D108" s="168" t="s">
        <v>708</v>
      </c>
    </row>
    <row r="109" spans="1:4">
      <c r="B109" s="165" t="s">
        <v>205</v>
      </c>
      <c r="C109" s="165">
        <v>108</v>
      </c>
      <c r="D109" s="168" t="s">
        <v>709</v>
      </c>
    </row>
    <row r="110" spans="1:4">
      <c r="B110" s="165" t="s">
        <v>206</v>
      </c>
      <c r="C110" s="165">
        <v>109</v>
      </c>
      <c r="D110" s="168" t="s">
        <v>710</v>
      </c>
    </row>
    <row r="111" spans="1:4">
      <c r="B111" s="165" t="s">
        <v>207</v>
      </c>
      <c r="C111" s="165">
        <v>110</v>
      </c>
      <c r="D111" s="168" t="s">
        <v>711</v>
      </c>
    </row>
    <row r="112" spans="1:4">
      <c r="B112" s="165" t="s">
        <v>208</v>
      </c>
      <c r="C112" s="165">
        <v>111</v>
      </c>
      <c r="D112" s="168" t="s">
        <v>712</v>
      </c>
    </row>
    <row r="113" spans="2:4">
      <c r="B113" s="165" t="s">
        <v>209</v>
      </c>
      <c r="C113" s="165">
        <v>112</v>
      </c>
      <c r="D113" s="168" t="s">
        <v>713</v>
      </c>
    </row>
    <row r="114" spans="2:4">
      <c r="B114" s="165" t="s">
        <v>210</v>
      </c>
      <c r="C114" s="165">
        <v>113</v>
      </c>
      <c r="D114" s="168" t="s">
        <v>714</v>
      </c>
    </row>
    <row r="115" spans="2:4">
      <c r="B115" s="165" t="s">
        <v>211</v>
      </c>
      <c r="C115" s="165">
        <v>114</v>
      </c>
      <c r="D115" s="168" t="s">
        <v>715</v>
      </c>
    </row>
    <row r="116" spans="2:4">
      <c r="B116" s="165" t="s">
        <v>212</v>
      </c>
      <c r="C116" s="165">
        <v>115</v>
      </c>
      <c r="D116" s="168" t="s">
        <v>716</v>
      </c>
    </row>
    <row r="117" spans="2:4">
      <c r="B117" s="165" t="s">
        <v>213</v>
      </c>
      <c r="C117" s="165">
        <v>116</v>
      </c>
      <c r="D117" s="168" t="s">
        <v>717</v>
      </c>
    </row>
    <row r="118" spans="2:4">
      <c r="B118" s="165" t="s">
        <v>214</v>
      </c>
      <c r="C118" s="165">
        <v>117</v>
      </c>
      <c r="D118" s="168" t="s">
        <v>718</v>
      </c>
    </row>
    <row r="119" spans="2:4">
      <c r="B119" s="165" t="s">
        <v>215</v>
      </c>
      <c r="C119" s="165">
        <v>118</v>
      </c>
      <c r="D119" s="168" t="s">
        <v>719</v>
      </c>
    </row>
    <row r="120" spans="2:4">
      <c r="B120" s="165" t="s">
        <v>216</v>
      </c>
      <c r="C120" s="165">
        <v>119</v>
      </c>
      <c r="D120" s="168" t="s">
        <v>720</v>
      </c>
    </row>
    <row r="121" spans="2:4">
      <c r="B121" s="165" t="s">
        <v>217</v>
      </c>
      <c r="C121" s="165">
        <v>120</v>
      </c>
      <c r="D121" s="168" t="s">
        <v>721</v>
      </c>
    </row>
    <row r="122" spans="2:4">
      <c r="B122" s="165" t="s">
        <v>218</v>
      </c>
      <c r="C122" s="165">
        <v>121</v>
      </c>
      <c r="D122" s="168" t="s">
        <v>722</v>
      </c>
    </row>
    <row r="123" spans="2:4">
      <c r="B123" s="165" t="s">
        <v>219</v>
      </c>
      <c r="C123" s="165">
        <v>122</v>
      </c>
      <c r="D123" s="168" t="s">
        <v>723</v>
      </c>
    </row>
    <row r="124" spans="2:4">
      <c r="B124" s="165" t="s">
        <v>220</v>
      </c>
      <c r="C124" s="165">
        <v>123</v>
      </c>
      <c r="D124" s="168" t="s">
        <v>724</v>
      </c>
    </row>
    <row r="125" spans="2:4">
      <c r="B125" s="165" t="s">
        <v>221</v>
      </c>
    </row>
    <row r="126" spans="2:4">
      <c r="B126" s="165" t="s">
        <v>222</v>
      </c>
    </row>
    <row r="127" spans="2:4">
      <c r="B127" s="165" t="s">
        <v>223</v>
      </c>
    </row>
    <row r="128" spans="2:4">
      <c r="B128" s="165" t="s">
        <v>224</v>
      </c>
    </row>
    <row r="129" spans="2:2">
      <c r="B129" s="165" t="s">
        <v>225</v>
      </c>
    </row>
    <row r="130" spans="2:2">
      <c r="B130" s="165" t="s">
        <v>226</v>
      </c>
    </row>
    <row r="131" spans="2:2">
      <c r="B131" s="165" t="s">
        <v>227</v>
      </c>
    </row>
    <row r="132" spans="2:2">
      <c r="B132" s="165" t="s">
        <v>228</v>
      </c>
    </row>
    <row r="133" spans="2:2">
      <c r="B133" s="165" t="s">
        <v>229</v>
      </c>
    </row>
    <row r="134" spans="2:2">
      <c r="B134" s="165" t="s">
        <v>230</v>
      </c>
    </row>
    <row r="135" spans="2:2">
      <c r="B135" s="165" t="s">
        <v>231</v>
      </c>
    </row>
    <row r="136" spans="2:2">
      <c r="B136" s="165" t="s">
        <v>232</v>
      </c>
    </row>
    <row r="137" spans="2:2">
      <c r="B137" s="165" t="s">
        <v>233</v>
      </c>
    </row>
    <row r="138" spans="2:2">
      <c r="B138" s="165" t="s">
        <v>234</v>
      </c>
    </row>
    <row r="139" spans="2:2">
      <c r="B139" s="165" t="s">
        <v>235</v>
      </c>
    </row>
    <row r="140" spans="2:2">
      <c r="B140" s="165" t="s">
        <v>236</v>
      </c>
    </row>
    <row r="141" spans="2:2">
      <c r="B141" s="165" t="s">
        <v>237</v>
      </c>
    </row>
    <row r="142" spans="2:2">
      <c r="B142" s="165" t="s">
        <v>238</v>
      </c>
    </row>
    <row r="143" spans="2:2">
      <c r="B143" s="165" t="s">
        <v>239</v>
      </c>
    </row>
    <row r="144" spans="2:2">
      <c r="B144" s="165" t="s">
        <v>240</v>
      </c>
    </row>
    <row r="145" spans="2:2">
      <c r="B145" s="165" t="s">
        <v>241</v>
      </c>
    </row>
    <row r="146" spans="2:2">
      <c r="B146" s="165" t="s">
        <v>242</v>
      </c>
    </row>
    <row r="147" spans="2:2">
      <c r="B147" s="165" t="s">
        <v>243</v>
      </c>
    </row>
    <row r="148" spans="2:2">
      <c r="B148" s="165" t="s">
        <v>244</v>
      </c>
    </row>
    <row r="149" spans="2:2">
      <c r="B149" s="165" t="s">
        <v>245</v>
      </c>
    </row>
    <row r="150" spans="2:2">
      <c r="B150" s="165" t="s">
        <v>246</v>
      </c>
    </row>
    <row r="151" spans="2:2">
      <c r="B151" s="165" t="s">
        <v>247</v>
      </c>
    </row>
    <row r="152" spans="2:2">
      <c r="B152" s="165" t="s">
        <v>248</v>
      </c>
    </row>
    <row r="153" spans="2:2">
      <c r="B153" s="165" t="s">
        <v>249</v>
      </c>
    </row>
    <row r="154" spans="2:2">
      <c r="B154" s="165" t="s">
        <v>250</v>
      </c>
    </row>
    <row r="155" spans="2:2">
      <c r="B155" s="165" t="s">
        <v>251</v>
      </c>
    </row>
    <row r="156" spans="2:2">
      <c r="B156" s="165" t="s">
        <v>252</v>
      </c>
    </row>
    <row r="157" spans="2:2">
      <c r="B157" s="165" t="s">
        <v>253</v>
      </c>
    </row>
    <row r="158" spans="2:2">
      <c r="B158" s="165" t="s">
        <v>254</v>
      </c>
    </row>
    <row r="159" spans="2:2">
      <c r="B159" s="165" t="s">
        <v>255</v>
      </c>
    </row>
    <row r="160" spans="2:2">
      <c r="B160" s="165" t="s">
        <v>256</v>
      </c>
    </row>
    <row r="161" spans="2:2">
      <c r="B161" s="165" t="s">
        <v>257</v>
      </c>
    </row>
    <row r="162" spans="2:2">
      <c r="B162" s="165" t="s">
        <v>258</v>
      </c>
    </row>
    <row r="163" spans="2:2">
      <c r="B163" s="165" t="s">
        <v>259</v>
      </c>
    </row>
    <row r="164" spans="2:2">
      <c r="B164" s="165" t="s">
        <v>260</v>
      </c>
    </row>
    <row r="165" spans="2:2">
      <c r="B165" s="165" t="s">
        <v>261</v>
      </c>
    </row>
    <row r="166" spans="2:2">
      <c r="B166" s="165" t="s">
        <v>262</v>
      </c>
    </row>
    <row r="167" spans="2:2">
      <c r="B167" s="165" t="s">
        <v>263</v>
      </c>
    </row>
    <row r="168" spans="2:2">
      <c r="B168" s="165" t="s">
        <v>264</v>
      </c>
    </row>
    <row r="169" spans="2:2">
      <c r="B169" s="165" t="s">
        <v>265</v>
      </c>
    </row>
    <row r="170" spans="2:2">
      <c r="B170" s="165" t="s">
        <v>266</v>
      </c>
    </row>
    <row r="171" spans="2:2">
      <c r="B171" s="165" t="s">
        <v>267</v>
      </c>
    </row>
    <row r="172" spans="2:2">
      <c r="B172" s="165" t="s">
        <v>268</v>
      </c>
    </row>
    <row r="173" spans="2:2">
      <c r="B173" s="165" t="s">
        <v>269</v>
      </c>
    </row>
    <row r="174" spans="2:2">
      <c r="B174" s="165" t="s">
        <v>270</v>
      </c>
    </row>
    <row r="175" spans="2:2">
      <c r="B175" s="165" t="s">
        <v>271</v>
      </c>
    </row>
    <row r="176" spans="2:2">
      <c r="B176" s="165" t="s">
        <v>272</v>
      </c>
    </row>
    <row r="177" spans="2:2">
      <c r="B177" s="165" t="s">
        <v>273</v>
      </c>
    </row>
    <row r="178" spans="2:2">
      <c r="B178" s="165" t="s">
        <v>274</v>
      </c>
    </row>
    <row r="179" spans="2:2">
      <c r="B179" s="165" t="s">
        <v>275</v>
      </c>
    </row>
    <row r="180" spans="2:2">
      <c r="B180" s="165" t="s">
        <v>276</v>
      </c>
    </row>
    <row r="181" spans="2:2">
      <c r="B181" s="165" t="s">
        <v>277</v>
      </c>
    </row>
    <row r="182" spans="2:2">
      <c r="B182" s="165" t="s">
        <v>278</v>
      </c>
    </row>
    <row r="183" spans="2:2">
      <c r="B183" s="165" t="s">
        <v>279</v>
      </c>
    </row>
    <row r="184" spans="2:2">
      <c r="B184" s="165" t="s">
        <v>280</v>
      </c>
    </row>
    <row r="185" spans="2:2">
      <c r="B185" s="165" t="s">
        <v>281</v>
      </c>
    </row>
    <row r="186" spans="2:2">
      <c r="B186" s="165" t="s">
        <v>282</v>
      </c>
    </row>
    <row r="187" spans="2:2">
      <c r="B187" s="165" t="s">
        <v>283</v>
      </c>
    </row>
    <row r="188" spans="2:2">
      <c r="B188" s="165" t="s">
        <v>284</v>
      </c>
    </row>
    <row r="189" spans="2:2">
      <c r="B189" s="165" t="s">
        <v>285</v>
      </c>
    </row>
    <row r="190" spans="2:2">
      <c r="B190" s="165" t="s">
        <v>286</v>
      </c>
    </row>
    <row r="191" spans="2:2">
      <c r="B191" s="165" t="s">
        <v>287</v>
      </c>
    </row>
    <row r="192" spans="2:2">
      <c r="B192" s="165" t="s">
        <v>288</v>
      </c>
    </row>
    <row r="193" spans="2:2">
      <c r="B193" s="165" t="s">
        <v>289</v>
      </c>
    </row>
    <row r="194" spans="2:2">
      <c r="B194" s="165" t="s">
        <v>290</v>
      </c>
    </row>
    <row r="195" spans="2:2">
      <c r="B195" s="165" t="s">
        <v>291</v>
      </c>
    </row>
    <row r="196" spans="2:2">
      <c r="B196" s="165" t="s">
        <v>292</v>
      </c>
    </row>
    <row r="197" spans="2:2">
      <c r="B197" s="165" t="s">
        <v>293</v>
      </c>
    </row>
    <row r="198" spans="2:2">
      <c r="B198" s="165" t="s">
        <v>294</v>
      </c>
    </row>
    <row r="199" spans="2:2">
      <c r="B199" s="165" t="s">
        <v>295</v>
      </c>
    </row>
    <row r="200" spans="2:2">
      <c r="B200" s="165" t="s">
        <v>296</v>
      </c>
    </row>
    <row r="201" spans="2:2">
      <c r="B201" s="165" t="s">
        <v>297</v>
      </c>
    </row>
    <row r="202" spans="2:2">
      <c r="B202" s="165" t="s">
        <v>298</v>
      </c>
    </row>
    <row r="203" spans="2:2">
      <c r="B203" s="165" t="s">
        <v>299</v>
      </c>
    </row>
    <row r="204" spans="2:2">
      <c r="B204" s="165" t="s">
        <v>300</v>
      </c>
    </row>
    <row r="205" spans="2:2">
      <c r="B205" s="165" t="s">
        <v>301</v>
      </c>
    </row>
    <row r="206" spans="2:2">
      <c r="B206" s="165" t="s">
        <v>302</v>
      </c>
    </row>
    <row r="207" spans="2:2">
      <c r="B207" s="165" t="s">
        <v>303</v>
      </c>
    </row>
    <row r="208" spans="2:2">
      <c r="B208" s="165" t="s">
        <v>304</v>
      </c>
    </row>
    <row r="209" spans="2:2">
      <c r="B209" s="165" t="s">
        <v>305</v>
      </c>
    </row>
    <row r="210" spans="2:2">
      <c r="B210" s="165" t="s">
        <v>306</v>
      </c>
    </row>
    <row r="211" spans="2:2">
      <c r="B211" s="165" t="s">
        <v>307</v>
      </c>
    </row>
    <row r="212" spans="2:2">
      <c r="B212" s="165" t="s">
        <v>308</v>
      </c>
    </row>
    <row r="213" spans="2:2">
      <c r="B213" s="165" t="s">
        <v>309</v>
      </c>
    </row>
    <row r="214" spans="2:2">
      <c r="B214" s="165" t="s">
        <v>310</v>
      </c>
    </row>
    <row r="215" spans="2:2">
      <c r="B215" s="165" t="s">
        <v>311</v>
      </c>
    </row>
    <row r="216" spans="2:2">
      <c r="B216" s="165" t="s">
        <v>312</v>
      </c>
    </row>
    <row r="217" spans="2:2">
      <c r="B217" s="165" t="s">
        <v>313</v>
      </c>
    </row>
    <row r="218" spans="2:2">
      <c r="B218" s="165" t="s">
        <v>314</v>
      </c>
    </row>
    <row r="219" spans="2:2">
      <c r="B219" s="165" t="s">
        <v>315</v>
      </c>
    </row>
    <row r="220" spans="2:2">
      <c r="B220" s="165" t="s">
        <v>316</v>
      </c>
    </row>
    <row r="221" spans="2:2">
      <c r="B221" s="165" t="s">
        <v>317</v>
      </c>
    </row>
    <row r="222" spans="2:2">
      <c r="B222" s="165" t="s">
        <v>318</v>
      </c>
    </row>
    <row r="223" spans="2:2">
      <c r="B223" s="165" t="s">
        <v>319</v>
      </c>
    </row>
    <row r="224" spans="2:2">
      <c r="B224" s="165" t="s">
        <v>320</v>
      </c>
    </row>
    <row r="225" spans="2:2">
      <c r="B225" s="165" t="s">
        <v>321</v>
      </c>
    </row>
    <row r="226" spans="2:2">
      <c r="B226" s="165" t="s">
        <v>322</v>
      </c>
    </row>
    <row r="227" spans="2:2">
      <c r="B227" s="165" t="s">
        <v>323</v>
      </c>
    </row>
    <row r="228" spans="2:2">
      <c r="B228" s="165" t="s">
        <v>324</v>
      </c>
    </row>
    <row r="229" spans="2:2">
      <c r="B229" s="165" t="s">
        <v>325</v>
      </c>
    </row>
    <row r="230" spans="2:2">
      <c r="B230" s="165" t="s">
        <v>326</v>
      </c>
    </row>
    <row r="231" spans="2:2">
      <c r="B231" s="165" t="s">
        <v>327</v>
      </c>
    </row>
    <row r="232" spans="2:2">
      <c r="B232" s="165" t="s">
        <v>328</v>
      </c>
    </row>
    <row r="233" spans="2:2">
      <c r="B233" s="165" t="s">
        <v>329</v>
      </c>
    </row>
    <row r="234" spans="2:2">
      <c r="B234" s="165" t="s">
        <v>330</v>
      </c>
    </row>
    <row r="235" spans="2:2">
      <c r="B235" s="165" t="s">
        <v>331</v>
      </c>
    </row>
    <row r="236" spans="2:2">
      <c r="B236" s="165" t="s">
        <v>332</v>
      </c>
    </row>
    <row r="237" spans="2:2">
      <c r="B237" s="165" t="s">
        <v>333</v>
      </c>
    </row>
    <row r="238" spans="2:2">
      <c r="B238" s="165" t="s">
        <v>334</v>
      </c>
    </row>
    <row r="239" spans="2:2">
      <c r="B239" s="165" t="s">
        <v>335</v>
      </c>
    </row>
    <row r="240" spans="2:2">
      <c r="B240" s="165" t="s">
        <v>336</v>
      </c>
    </row>
    <row r="241" spans="2:2">
      <c r="B241" s="165" t="s">
        <v>337</v>
      </c>
    </row>
    <row r="242" spans="2:2">
      <c r="B242" s="165" t="s">
        <v>338</v>
      </c>
    </row>
    <row r="243" spans="2:2">
      <c r="B243" s="165" t="s">
        <v>339</v>
      </c>
    </row>
    <row r="244" spans="2:2">
      <c r="B244" s="165" t="s">
        <v>340</v>
      </c>
    </row>
    <row r="245" spans="2:2">
      <c r="B245" s="165" t="s">
        <v>341</v>
      </c>
    </row>
    <row r="246" spans="2:2">
      <c r="B246" s="165" t="s">
        <v>342</v>
      </c>
    </row>
    <row r="247" spans="2:2">
      <c r="B247" s="165" t="s">
        <v>343</v>
      </c>
    </row>
    <row r="248" spans="2:2">
      <c r="B248" s="165" t="s">
        <v>344</v>
      </c>
    </row>
    <row r="249" spans="2:2">
      <c r="B249" s="165" t="s">
        <v>345</v>
      </c>
    </row>
    <row r="250" spans="2:2">
      <c r="B250" s="165" t="s">
        <v>346</v>
      </c>
    </row>
    <row r="251" spans="2:2">
      <c r="B251" s="165" t="s">
        <v>347</v>
      </c>
    </row>
    <row r="252" spans="2:2">
      <c r="B252" s="165" t="s">
        <v>348</v>
      </c>
    </row>
    <row r="253" spans="2:2">
      <c r="B253" s="165" t="s">
        <v>349</v>
      </c>
    </row>
    <row r="254" spans="2:2">
      <c r="B254" s="165" t="s">
        <v>350</v>
      </c>
    </row>
    <row r="255" spans="2:2">
      <c r="B255" s="165" t="s">
        <v>351</v>
      </c>
    </row>
    <row r="256" spans="2:2">
      <c r="B256" s="165" t="s">
        <v>352</v>
      </c>
    </row>
    <row r="257" spans="2:2">
      <c r="B257" s="165" t="s">
        <v>353</v>
      </c>
    </row>
    <row r="258" spans="2:2">
      <c r="B258" s="165" t="s">
        <v>354</v>
      </c>
    </row>
    <row r="259" spans="2:2">
      <c r="B259" s="165" t="s">
        <v>355</v>
      </c>
    </row>
    <row r="260" spans="2:2">
      <c r="B260" s="165" t="s">
        <v>356</v>
      </c>
    </row>
    <row r="261" spans="2:2">
      <c r="B261" s="165" t="s">
        <v>357</v>
      </c>
    </row>
    <row r="262" spans="2:2">
      <c r="B262" s="165" t="s">
        <v>358</v>
      </c>
    </row>
    <row r="263" spans="2:2">
      <c r="B263" s="165" t="s">
        <v>359</v>
      </c>
    </row>
    <row r="264" spans="2:2">
      <c r="B264" s="165" t="s">
        <v>360</v>
      </c>
    </row>
    <row r="265" spans="2:2">
      <c r="B265" s="165" t="s">
        <v>361</v>
      </c>
    </row>
    <row r="266" spans="2:2">
      <c r="B266" s="165" t="s">
        <v>362</v>
      </c>
    </row>
    <row r="267" spans="2:2">
      <c r="B267" s="165" t="s">
        <v>363</v>
      </c>
    </row>
    <row r="268" spans="2:2">
      <c r="B268" s="165" t="s">
        <v>364</v>
      </c>
    </row>
    <row r="269" spans="2:2">
      <c r="B269" s="165" t="s">
        <v>365</v>
      </c>
    </row>
    <row r="270" spans="2:2">
      <c r="B270" s="165" t="s">
        <v>366</v>
      </c>
    </row>
    <row r="271" spans="2:2">
      <c r="B271" s="165" t="s">
        <v>367</v>
      </c>
    </row>
    <row r="272" spans="2:2">
      <c r="B272" s="165" t="s">
        <v>368</v>
      </c>
    </row>
    <row r="273" spans="2:2">
      <c r="B273" s="165" t="s">
        <v>369</v>
      </c>
    </row>
    <row r="274" spans="2:2">
      <c r="B274" s="165" t="s">
        <v>370</v>
      </c>
    </row>
    <row r="275" spans="2:2">
      <c r="B275" s="165" t="s">
        <v>371</v>
      </c>
    </row>
    <row r="276" spans="2:2">
      <c r="B276" s="165" t="s">
        <v>372</v>
      </c>
    </row>
    <row r="277" spans="2:2">
      <c r="B277" s="165" t="s">
        <v>373</v>
      </c>
    </row>
    <row r="278" spans="2:2">
      <c r="B278" s="165" t="s">
        <v>374</v>
      </c>
    </row>
    <row r="279" spans="2:2">
      <c r="B279" s="165" t="s">
        <v>375</v>
      </c>
    </row>
    <row r="280" spans="2:2">
      <c r="B280" s="165" t="s">
        <v>376</v>
      </c>
    </row>
    <row r="281" spans="2:2">
      <c r="B281" s="165" t="s">
        <v>377</v>
      </c>
    </row>
    <row r="282" spans="2:2">
      <c r="B282" s="165" t="s">
        <v>378</v>
      </c>
    </row>
    <row r="283" spans="2:2">
      <c r="B283" s="165" t="s">
        <v>379</v>
      </c>
    </row>
    <row r="284" spans="2:2">
      <c r="B284" s="165" t="s">
        <v>380</v>
      </c>
    </row>
    <row r="285" spans="2:2">
      <c r="B285" s="165" t="s">
        <v>381</v>
      </c>
    </row>
    <row r="286" spans="2:2">
      <c r="B286" s="165" t="s">
        <v>382</v>
      </c>
    </row>
    <row r="287" spans="2:2">
      <c r="B287" s="165" t="s">
        <v>383</v>
      </c>
    </row>
    <row r="288" spans="2:2">
      <c r="B288" s="165" t="s">
        <v>384</v>
      </c>
    </row>
    <row r="289" spans="2:2">
      <c r="B289" s="165" t="s">
        <v>385</v>
      </c>
    </row>
    <row r="290" spans="2:2">
      <c r="B290" s="165" t="s">
        <v>386</v>
      </c>
    </row>
    <row r="291" spans="2:2">
      <c r="B291" s="165" t="s">
        <v>387</v>
      </c>
    </row>
    <row r="292" spans="2:2">
      <c r="B292" s="165" t="s">
        <v>388</v>
      </c>
    </row>
    <row r="293" spans="2:2">
      <c r="B293" s="165" t="s">
        <v>389</v>
      </c>
    </row>
    <row r="294" spans="2:2">
      <c r="B294" s="165" t="s">
        <v>390</v>
      </c>
    </row>
    <row r="295" spans="2:2">
      <c r="B295" s="165" t="s">
        <v>391</v>
      </c>
    </row>
    <row r="296" spans="2:2">
      <c r="B296" s="165" t="s">
        <v>392</v>
      </c>
    </row>
    <row r="297" spans="2:2">
      <c r="B297" s="165" t="s">
        <v>393</v>
      </c>
    </row>
    <row r="298" spans="2:2">
      <c r="B298" s="165" t="s">
        <v>394</v>
      </c>
    </row>
    <row r="299" spans="2:2">
      <c r="B299" s="165" t="s">
        <v>395</v>
      </c>
    </row>
    <row r="300" spans="2:2">
      <c r="B300" s="165" t="s">
        <v>396</v>
      </c>
    </row>
    <row r="301" spans="2:2">
      <c r="B301" s="165" t="s">
        <v>397</v>
      </c>
    </row>
    <row r="302" spans="2:2">
      <c r="B302" s="165" t="s">
        <v>398</v>
      </c>
    </row>
    <row r="303" spans="2:2">
      <c r="B303" s="165" t="s">
        <v>399</v>
      </c>
    </row>
    <row r="304" spans="2:2">
      <c r="B304" s="165" t="s">
        <v>400</v>
      </c>
    </row>
    <row r="305" spans="2:2">
      <c r="B305" s="165" t="s">
        <v>401</v>
      </c>
    </row>
    <row r="306" spans="2:2">
      <c r="B306" s="165" t="s">
        <v>402</v>
      </c>
    </row>
    <row r="307" spans="2:2">
      <c r="B307" s="165" t="s">
        <v>403</v>
      </c>
    </row>
    <row r="308" spans="2:2">
      <c r="B308" s="165" t="s">
        <v>404</v>
      </c>
    </row>
    <row r="309" spans="2:2">
      <c r="B309" s="165" t="s">
        <v>405</v>
      </c>
    </row>
    <row r="310" spans="2:2">
      <c r="B310" s="165" t="s">
        <v>406</v>
      </c>
    </row>
    <row r="311" spans="2:2">
      <c r="B311" s="165" t="s">
        <v>407</v>
      </c>
    </row>
    <row r="312" spans="2:2">
      <c r="B312" s="165" t="s">
        <v>408</v>
      </c>
    </row>
    <row r="313" spans="2:2">
      <c r="B313" s="165" t="s">
        <v>409</v>
      </c>
    </row>
    <row r="314" spans="2:2">
      <c r="B314" s="165" t="s">
        <v>410</v>
      </c>
    </row>
    <row r="315" spans="2:2">
      <c r="B315" s="165" t="s">
        <v>411</v>
      </c>
    </row>
    <row r="316" spans="2:2">
      <c r="B316" s="165" t="s">
        <v>412</v>
      </c>
    </row>
    <row r="317" spans="2:2">
      <c r="B317" s="165" t="s">
        <v>413</v>
      </c>
    </row>
    <row r="318" spans="2:2">
      <c r="B318" s="165" t="s">
        <v>414</v>
      </c>
    </row>
    <row r="319" spans="2:2">
      <c r="B319" s="165" t="s">
        <v>415</v>
      </c>
    </row>
    <row r="320" spans="2:2">
      <c r="B320" s="165" t="s">
        <v>416</v>
      </c>
    </row>
    <row r="321" spans="2:2">
      <c r="B321" s="165" t="s">
        <v>417</v>
      </c>
    </row>
    <row r="322" spans="2:2">
      <c r="B322" s="165" t="s">
        <v>418</v>
      </c>
    </row>
    <row r="323" spans="2:2">
      <c r="B323" s="165" t="s">
        <v>419</v>
      </c>
    </row>
    <row r="324" spans="2:2">
      <c r="B324" s="165" t="s">
        <v>420</v>
      </c>
    </row>
    <row r="325" spans="2:2">
      <c r="B325" s="165" t="s">
        <v>421</v>
      </c>
    </row>
    <row r="326" spans="2:2">
      <c r="B326" s="165" t="s">
        <v>422</v>
      </c>
    </row>
    <row r="327" spans="2:2">
      <c r="B327" s="165" t="s">
        <v>423</v>
      </c>
    </row>
    <row r="328" spans="2:2">
      <c r="B328" s="165" t="s">
        <v>424</v>
      </c>
    </row>
    <row r="329" spans="2:2">
      <c r="B329" s="165" t="s">
        <v>425</v>
      </c>
    </row>
    <row r="330" spans="2:2">
      <c r="B330" s="165" t="s">
        <v>426</v>
      </c>
    </row>
    <row r="331" spans="2:2">
      <c r="B331" s="165" t="s">
        <v>427</v>
      </c>
    </row>
    <row r="332" spans="2:2">
      <c r="B332" s="165" t="s">
        <v>428</v>
      </c>
    </row>
    <row r="333" spans="2:2">
      <c r="B333" s="165" t="s">
        <v>429</v>
      </c>
    </row>
    <row r="334" spans="2:2">
      <c r="B334" s="165" t="s">
        <v>430</v>
      </c>
    </row>
    <row r="335" spans="2:2">
      <c r="B335" s="165" t="s">
        <v>431</v>
      </c>
    </row>
    <row r="336" spans="2:2">
      <c r="B336" s="165" t="s">
        <v>432</v>
      </c>
    </row>
    <row r="337" spans="2:2">
      <c r="B337" s="165" t="s">
        <v>433</v>
      </c>
    </row>
    <row r="338" spans="2:2">
      <c r="B338" s="165" t="s">
        <v>434</v>
      </c>
    </row>
    <row r="339" spans="2:2">
      <c r="B339" s="165" t="s">
        <v>435</v>
      </c>
    </row>
    <row r="340" spans="2:2">
      <c r="B340" s="165" t="s">
        <v>436</v>
      </c>
    </row>
    <row r="341" spans="2:2">
      <c r="B341" s="165" t="s">
        <v>437</v>
      </c>
    </row>
    <row r="342" spans="2:2">
      <c r="B342" s="165" t="s">
        <v>438</v>
      </c>
    </row>
    <row r="343" spans="2:2">
      <c r="B343" s="165" t="s">
        <v>439</v>
      </c>
    </row>
    <row r="344" spans="2:2">
      <c r="B344" s="165" t="s">
        <v>440</v>
      </c>
    </row>
    <row r="345" spans="2:2">
      <c r="B345" s="165" t="s">
        <v>441</v>
      </c>
    </row>
    <row r="346" spans="2:2">
      <c r="B346" s="165" t="s">
        <v>442</v>
      </c>
    </row>
    <row r="347" spans="2:2">
      <c r="B347" s="165" t="s">
        <v>443</v>
      </c>
    </row>
    <row r="348" spans="2:2">
      <c r="B348" s="165" t="s">
        <v>444</v>
      </c>
    </row>
    <row r="349" spans="2:2">
      <c r="B349" s="165" t="s">
        <v>445</v>
      </c>
    </row>
    <row r="350" spans="2:2">
      <c r="B350" s="165" t="s">
        <v>446</v>
      </c>
    </row>
    <row r="351" spans="2:2">
      <c r="B351" s="165" t="s">
        <v>447</v>
      </c>
    </row>
    <row r="352" spans="2:2">
      <c r="B352" s="165" t="s">
        <v>448</v>
      </c>
    </row>
    <row r="353" spans="2:2">
      <c r="B353" s="165" t="s">
        <v>449</v>
      </c>
    </row>
    <row r="354" spans="2:2">
      <c r="B354" s="165" t="s">
        <v>450</v>
      </c>
    </row>
    <row r="355" spans="2:2">
      <c r="B355" s="165" t="s">
        <v>451</v>
      </c>
    </row>
    <row r="356" spans="2:2">
      <c r="B356" s="165" t="s">
        <v>452</v>
      </c>
    </row>
    <row r="357" spans="2:2">
      <c r="B357" s="165" t="s">
        <v>453</v>
      </c>
    </row>
    <row r="358" spans="2:2">
      <c r="B358" s="165" t="s">
        <v>454</v>
      </c>
    </row>
    <row r="359" spans="2:2">
      <c r="B359" s="165" t="s">
        <v>455</v>
      </c>
    </row>
    <row r="360" spans="2:2">
      <c r="B360" s="165" t="s">
        <v>456</v>
      </c>
    </row>
    <row r="361" spans="2:2">
      <c r="B361" s="165" t="s">
        <v>457</v>
      </c>
    </row>
    <row r="362" spans="2:2">
      <c r="B362" s="165" t="s">
        <v>458</v>
      </c>
    </row>
    <row r="363" spans="2:2">
      <c r="B363" s="165" t="s">
        <v>459</v>
      </c>
    </row>
    <row r="364" spans="2:2">
      <c r="B364" s="165" t="s">
        <v>460</v>
      </c>
    </row>
    <row r="365" spans="2:2">
      <c r="B365" s="165" t="s">
        <v>461</v>
      </c>
    </row>
    <row r="366" spans="2:2">
      <c r="B366" s="165" t="s">
        <v>462</v>
      </c>
    </row>
    <row r="367" spans="2:2">
      <c r="B367" s="165" t="s">
        <v>463</v>
      </c>
    </row>
    <row r="368" spans="2:2">
      <c r="B368" s="165" t="s">
        <v>464</v>
      </c>
    </row>
    <row r="369" spans="2:2">
      <c r="B369" s="165" t="s">
        <v>465</v>
      </c>
    </row>
    <row r="370" spans="2:2">
      <c r="B370" s="165" t="s">
        <v>466</v>
      </c>
    </row>
    <row r="371" spans="2:2">
      <c r="B371" s="165" t="s">
        <v>467</v>
      </c>
    </row>
    <row r="372" spans="2:2">
      <c r="B372" s="165" t="s">
        <v>468</v>
      </c>
    </row>
    <row r="373" spans="2:2">
      <c r="B373" s="165" t="s">
        <v>469</v>
      </c>
    </row>
    <row r="374" spans="2:2">
      <c r="B374" s="165" t="s">
        <v>470</v>
      </c>
    </row>
    <row r="375" spans="2:2">
      <c r="B375" s="165" t="s">
        <v>471</v>
      </c>
    </row>
    <row r="376" spans="2:2">
      <c r="B376" s="165" t="s">
        <v>472</v>
      </c>
    </row>
    <row r="377" spans="2:2">
      <c r="B377" s="165" t="s">
        <v>473</v>
      </c>
    </row>
    <row r="378" spans="2:2">
      <c r="B378" s="165" t="s">
        <v>474</v>
      </c>
    </row>
    <row r="379" spans="2:2">
      <c r="B379" s="165" t="s">
        <v>475</v>
      </c>
    </row>
    <row r="380" spans="2:2">
      <c r="B380" s="165" t="s">
        <v>476</v>
      </c>
    </row>
    <row r="381" spans="2:2">
      <c r="B381" s="165" t="s">
        <v>477</v>
      </c>
    </row>
    <row r="382" spans="2:2">
      <c r="B382" s="165" t="s">
        <v>478</v>
      </c>
    </row>
    <row r="383" spans="2:2">
      <c r="B383" s="165" t="s">
        <v>479</v>
      </c>
    </row>
    <row r="384" spans="2:2">
      <c r="B384" s="165" t="s">
        <v>480</v>
      </c>
    </row>
    <row r="385" spans="2:2">
      <c r="B385" s="165" t="s">
        <v>481</v>
      </c>
    </row>
    <row r="386" spans="2:2">
      <c r="B386" s="165" t="s">
        <v>482</v>
      </c>
    </row>
    <row r="387" spans="2:2">
      <c r="B387" s="165" t="s">
        <v>483</v>
      </c>
    </row>
    <row r="388" spans="2:2">
      <c r="B388" s="165" t="s">
        <v>484</v>
      </c>
    </row>
    <row r="389" spans="2:2">
      <c r="B389" s="165" t="s">
        <v>485</v>
      </c>
    </row>
    <row r="390" spans="2:2">
      <c r="B390" s="165" t="s">
        <v>486</v>
      </c>
    </row>
    <row r="391" spans="2:2">
      <c r="B391" s="165" t="s">
        <v>487</v>
      </c>
    </row>
    <row r="392" spans="2:2">
      <c r="B392" s="165" t="s">
        <v>488</v>
      </c>
    </row>
    <row r="393" spans="2:2">
      <c r="B393" s="165" t="s">
        <v>489</v>
      </c>
    </row>
    <row r="394" spans="2:2">
      <c r="B394" s="165" t="s">
        <v>490</v>
      </c>
    </row>
    <row r="395" spans="2:2">
      <c r="B395" s="165" t="s">
        <v>491</v>
      </c>
    </row>
    <row r="396" spans="2:2">
      <c r="B396" s="165" t="s">
        <v>492</v>
      </c>
    </row>
    <row r="397" spans="2:2">
      <c r="B397" s="165" t="s">
        <v>493</v>
      </c>
    </row>
    <row r="398" spans="2:2">
      <c r="B398" s="165" t="s">
        <v>494</v>
      </c>
    </row>
    <row r="399" spans="2:2">
      <c r="B399" s="165" t="s">
        <v>495</v>
      </c>
    </row>
    <row r="400" spans="2:2">
      <c r="B400" s="165" t="s">
        <v>496</v>
      </c>
    </row>
    <row r="401" spans="2:2">
      <c r="B401" s="165" t="s">
        <v>497</v>
      </c>
    </row>
    <row r="402" spans="2:2">
      <c r="B402" s="165" t="s">
        <v>498</v>
      </c>
    </row>
    <row r="403" spans="2:2">
      <c r="B403" s="165" t="s">
        <v>499</v>
      </c>
    </row>
    <row r="404" spans="2:2">
      <c r="B404" s="165" t="s">
        <v>500</v>
      </c>
    </row>
    <row r="405" spans="2:2">
      <c r="B405" s="165" t="s">
        <v>501</v>
      </c>
    </row>
    <row r="406" spans="2:2">
      <c r="B406" s="165" t="s">
        <v>502</v>
      </c>
    </row>
    <row r="407" spans="2:2">
      <c r="B407" s="165" t="s">
        <v>503</v>
      </c>
    </row>
    <row r="408" spans="2:2">
      <c r="B408" s="165" t="s">
        <v>504</v>
      </c>
    </row>
    <row r="409" spans="2:2">
      <c r="B409" s="165" t="s">
        <v>505</v>
      </c>
    </row>
    <row r="410" spans="2:2">
      <c r="B410" s="165" t="s">
        <v>506</v>
      </c>
    </row>
    <row r="411" spans="2:2">
      <c r="B411" s="165" t="s">
        <v>507</v>
      </c>
    </row>
    <row r="412" spans="2:2">
      <c r="B412" s="165" t="s">
        <v>508</v>
      </c>
    </row>
    <row r="413" spans="2:2">
      <c r="B413" s="165" t="s">
        <v>509</v>
      </c>
    </row>
    <row r="414" spans="2:2">
      <c r="B414" s="165" t="s">
        <v>510</v>
      </c>
    </row>
    <row r="415" spans="2:2">
      <c r="B415" s="165" t="s">
        <v>511</v>
      </c>
    </row>
    <row r="416" spans="2:2">
      <c r="B416" s="165" t="s">
        <v>512</v>
      </c>
    </row>
    <row r="417" spans="2:2">
      <c r="B417" s="165" t="s">
        <v>513</v>
      </c>
    </row>
    <row r="418" spans="2:2">
      <c r="B418" s="165" t="s">
        <v>514</v>
      </c>
    </row>
    <row r="419" spans="2:2">
      <c r="B419" s="165" t="s">
        <v>515</v>
      </c>
    </row>
    <row r="420" spans="2:2">
      <c r="B420" s="165" t="s">
        <v>516</v>
      </c>
    </row>
    <row r="421" spans="2:2">
      <c r="B421" s="165" t="s">
        <v>517</v>
      </c>
    </row>
    <row r="422" spans="2:2">
      <c r="B422" s="165" t="s">
        <v>518</v>
      </c>
    </row>
    <row r="423" spans="2:2">
      <c r="B423" s="165" t="s">
        <v>519</v>
      </c>
    </row>
    <row r="424" spans="2:2">
      <c r="B424" s="165" t="s">
        <v>520</v>
      </c>
    </row>
    <row r="425" spans="2:2">
      <c r="B425" s="165" t="s">
        <v>521</v>
      </c>
    </row>
    <row r="426" spans="2:2">
      <c r="B426" s="165" t="s">
        <v>522</v>
      </c>
    </row>
    <row r="427" spans="2:2">
      <c r="B427" s="165" t="s">
        <v>523</v>
      </c>
    </row>
    <row r="428" spans="2:2">
      <c r="B428" s="165" t="s">
        <v>524</v>
      </c>
    </row>
    <row r="429" spans="2:2">
      <c r="B429" s="165" t="s">
        <v>525</v>
      </c>
    </row>
    <row r="430" spans="2:2">
      <c r="B430" s="165" t="s">
        <v>526</v>
      </c>
    </row>
    <row r="431" spans="2:2">
      <c r="B431" s="165" t="s">
        <v>527</v>
      </c>
    </row>
    <row r="432" spans="2:2">
      <c r="B432" s="165" t="s">
        <v>528</v>
      </c>
    </row>
    <row r="433" spans="2:2">
      <c r="B433" s="165" t="s">
        <v>529</v>
      </c>
    </row>
    <row r="434" spans="2:2">
      <c r="B434" s="165" t="s">
        <v>530</v>
      </c>
    </row>
    <row r="435" spans="2:2">
      <c r="B435" s="165" t="s">
        <v>531</v>
      </c>
    </row>
    <row r="436" spans="2:2">
      <c r="B436" s="165" t="s">
        <v>532</v>
      </c>
    </row>
    <row r="437" spans="2:2">
      <c r="B437" s="165" t="s">
        <v>533</v>
      </c>
    </row>
    <row r="438" spans="2:2">
      <c r="B438" s="165" t="s">
        <v>534</v>
      </c>
    </row>
    <row r="439" spans="2:2">
      <c r="B439" s="165" t="s">
        <v>535</v>
      </c>
    </row>
    <row r="440" spans="2:2">
      <c r="B440" s="165" t="s">
        <v>536</v>
      </c>
    </row>
    <row r="441" spans="2:2">
      <c r="B441" s="165" t="s">
        <v>537</v>
      </c>
    </row>
    <row r="442" spans="2:2">
      <c r="B442" s="165" t="s">
        <v>538</v>
      </c>
    </row>
    <row r="443" spans="2:2">
      <c r="B443" s="165" t="s">
        <v>539</v>
      </c>
    </row>
    <row r="444" spans="2:2">
      <c r="B444" s="165" t="s">
        <v>540</v>
      </c>
    </row>
    <row r="445" spans="2:2">
      <c r="B445" s="165" t="s">
        <v>541</v>
      </c>
    </row>
    <row r="446" spans="2:2">
      <c r="B446" s="165" t="s">
        <v>542</v>
      </c>
    </row>
    <row r="447" spans="2:2">
      <c r="B447" s="165" t="s">
        <v>543</v>
      </c>
    </row>
    <row r="448" spans="2:2">
      <c r="B448" s="165" t="s">
        <v>544</v>
      </c>
    </row>
    <row r="449" spans="2:2">
      <c r="B449" s="165" t="s">
        <v>545</v>
      </c>
    </row>
    <row r="450" spans="2:2">
      <c r="B450" s="165" t="s">
        <v>546</v>
      </c>
    </row>
    <row r="451" spans="2:2">
      <c r="B451" s="165" t="s">
        <v>547</v>
      </c>
    </row>
    <row r="452" spans="2:2">
      <c r="B452" s="165" t="s">
        <v>548</v>
      </c>
    </row>
    <row r="453" spans="2:2">
      <c r="B453" s="165" t="s">
        <v>549</v>
      </c>
    </row>
    <row r="454" spans="2:2">
      <c r="B454" s="165" t="s">
        <v>550</v>
      </c>
    </row>
    <row r="455" spans="2:2">
      <c r="B455" s="165" t="s">
        <v>551</v>
      </c>
    </row>
    <row r="456" spans="2:2">
      <c r="B456" s="165" t="s">
        <v>552</v>
      </c>
    </row>
    <row r="457" spans="2:2">
      <c r="B457" s="165" t="s">
        <v>553</v>
      </c>
    </row>
    <row r="458" spans="2:2">
      <c r="B458" s="165" t="s">
        <v>554</v>
      </c>
    </row>
    <row r="459" spans="2:2">
      <c r="B459" s="165" t="s">
        <v>555</v>
      </c>
    </row>
    <row r="460" spans="2:2">
      <c r="B460" s="165" t="s">
        <v>556</v>
      </c>
    </row>
    <row r="461" spans="2:2">
      <c r="B461" s="165" t="s">
        <v>557</v>
      </c>
    </row>
    <row r="462" spans="2:2">
      <c r="B462" s="165" t="s">
        <v>558</v>
      </c>
    </row>
    <row r="463" spans="2:2">
      <c r="B463" s="165" t="s">
        <v>559</v>
      </c>
    </row>
    <row r="464" spans="2:2">
      <c r="B464" s="165" t="s">
        <v>560</v>
      </c>
    </row>
    <row r="465" spans="2:2">
      <c r="B465" s="165" t="s">
        <v>561</v>
      </c>
    </row>
    <row r="466" spans="2:2">
      <c r="B466" s="165" t="s">
        <v>562</v>
      </c>
    </row>
    <row r="467" spans="2:2">
      <c r="B467" s="165" t="s">
        <v>563</v>
      </c>
    </row>
    <row r="468" spans="2:2">
      <c r="B468" s="165" t="s">
        <v>564</v>
      </c>
    </row>
    <row r="469" spans="2:2">
      <c r="B469" s="165" t="s">
        <v>565</v>
      </c>
    </row>
    <row r="470" spans="2:2">
      <c r="B470" s="165" t="s">
        <v>566</v>
      </c>
    </row>
    <row r="471" spans="2:2">
      <c r="B471" s="165" t="s">
        <v>567</v>
      </c>
    </row>
    <row r="472" spans="2:2">
      <c r="B472" s="165" t="s">
        <v>568</v>
      </c>
    </row>
    <row r="473" spans="2:2">
      <c r="B473" s="165" t="s">
        <v>569</v>
      </c>
    </row>
  </sheetData>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L172"/>
  <sheetViews>
    <sheetView rightToLeft="1" workbookViewId="0">
      <pane ySplit="5" topLeftCell="A6" activePane="bottomLeft" state="frozen"/>
      <selection pane="bottomLeft" sqref="A1:L1"/>
    </sheetView>
  </sheetViews>
  <sheetFormatPr defaultRowHeight="13.5"/>
  <cols>
    <col min="1" max="1" width="6" customWidth="1"/>
    <col min="2" max="2" width="18" customWidth="1"/>
    <col min="3" max="3" width="24" customWidth="1"/>
    <col min="4" max="4" width="14" customWidth="1"/>
    <col min="5" max="5" width="6" customWidth="1"/>
    <col min="6" max="6" width="10" customWidth="1"/>
    <col min="7" max="7" width="18" customWidth="1"/>
    <col min="8" max="11" width="10" customWidth="1"/>
    <col min="12" max="12" width="18" customWidth="1"/>
  </cols>
  <sheetData>
    <row r="1" spans="1:12" ht="42" customHeight="1">
      <c r="A1" s="285" t="s">
        <v>2972</v>
      </c>
      <c r="B1" s="282"/>
      <c r="C1" s="282"/>
      <c r="D1" s="282"/>
      <c r="E1" s="282"/>
      <c r="F1" s="282"/>
      <c r="G1" s="282"/>
      <c r="H1" s="282"/>
      <c r="I1" s="282"/>
      <c r="J1" s="282"/>
      <c r="K1" s="282"/>
      <c r="L1" s="278"/>
    </row>
    <row r="2" spans="1:12" ht="28.05" customHeight="1">
      <c r="A2" s="306" t="s">
        <v>2973</v>
      </c>
      <c r="B2" s="282"/>
      <c r="C2" s="282"/>
      <c r="D2" s="282"/>
      <c r="E2" s="282"/>
      <c r="F2" s="282"/>
      <c r="G2" s="282"/>
      <c r="H2" s="282"/>
      <c r="I2" s="282"/>
      <c r="J2" s="282"/>
      <c r="K2" s="282"/>
      <c r="L2" s="278"/>
    </row>
    <row r="4" spans="1:12" ht="32" customHeight="1">
      <c r="A4" s="281" t="s">
        <v>2974</v>
      </c>
      <c r="B4" s="282"/>
      <c r="C4" s="282"/>
      <c r="D4" s="282"/>
      <c r="E4" s="282"/>
      <c r="F4" s="282"/>
      <c r="G4" s="282"/>
      <c r="H4" s="282"/>
      <c r="I4" s="282"/>
      <c r="J4" s="282"/>
      <c r="K4" s="282"/>
      <c r="L4" s="278"/>
    </row>
    <row r="5" spans="1:12" ht="30" customHeight="1">
      <c r="A5" s="159" t="s">
        <v>2920</v>
      </c>
      <c r="B5" s="159" t="s">
        <v>2975</v>
      </c>
      <c r="C5" s="159" t="s">
        <v>2976</v>
      </c>
      <c r="D5" s="159" t="s">
        <v>2922</v>
      </c>
      <c r="E5" s="159" t="s">
        <v>2977</v>
      </c>
      <c r="F5" s="159" t="s">
        <v>2978</v>
      </c>
      <c r="G5" s="159" t="s">
        <v>2979</v>
      </c>
      <c r="H5" s="159" t="s">
        <v>2980</v>
      </c>
      <c r="I5" s="159" t="s">
        <v>2981</v>
      </c>
      <c r="J5" s="159" t="s">
        <v>2926</v>
      </c>
      <c r="K5" s="159" t="s">
        <v>2982</v>
      </c>
      <c r="L5" s="159" t="s">
        <v>2927</v>
      </c>
    </row>
    <row r="6" spans="1:12" ht="24" customHeight="1">
      <c r="A6" s="160">
        <v>1</v>
      </c>
      <c r="B6" s="163" t="s">
        <v>516</v>
      </c>
      <c r="C6" s="161" t="s">
        <v>2983</v>
      </c>
      <c r="D6" s="160" t="s">
        <v>2984</v>
      </c>
      <c r="E6" s="160">
        <v>14</v>
      </c>
      <c r="F6" s="181">
        <v>-11.102169387377369</v>
      </c>
      <c r="G6" s="172">
        <v>1.5163889164866979</v>
      </c>
      <c r="H6" s="181">
        <v>8.9775938894056009E-2</v>
      </c>
      <c r="I6" s="174">
        <v>16.890816572535979</v>
      </c>
      <c r="J6" s="202">
        <v>0.9596366877391308</v>
      </c>
      <c r="K6" s="203">
        <v>7.6823477670856883E-3</v>
      </c>
      <c r="L6" s="164" t="s">
        <v>2985</v>
      </c>
    </row>
    <row r="7" spans="1:12" ht="24" customHeight="1">
      <c r="A7" s="165">
        <v>2</v>
      </c>
      <c r="B7" s="167" t="s">
        <v>140</v>
      </c>
      <c r="C7" s="161" t="s">
        <v>2986</v>
      </c>
      <c r="D7" s="165" t="s">
        <v>2987</v>
      </c>
      <c r="E7" s="165">
        <v>14</v>
      </c>
      <c r="F7" s="184">
        <v>-9.128327723120945</v>
      </c>
      <c r="G7" s="172">
        <v>1.386919397355058</v>
      </c>
      <c r="H7" s="184">
        <v>0.1247688806802796</v>
      </c>
      <c r="I7" s="174">
        <v>11.11590798757778</v>
      </c>
      <c r="J7" s="202">
        <v>0.91148053913931992</v>
      </c>
      <c r="K7" s="204">
        <v>1.4838384122698519E-2</v>
      </c>
      <c r="L7" s="168" t="s">
        <v>2985</v>
      </c>
    </row>
    <row r="8" spans="1:12" ht="24" customHeight="1">
      <c r="A8" s="160">
        <v>3</v>
      </c>
      <c r="B8" s="163" t="s">
        <v>533</v>
      </c>
      <c r="C8" s="161" t="s">
        <v>2988</v>
      </c>
      <c r="D8" s="160" t="s">
        <v>2989</v>
      </c>
      <c r="E8" s="160">
        <v>14</v>
      </c>
      <c r="F8" s="181">
        <v>-8.6732318381521605</v>
      </c>
      <c r="G8" s="172">
        <v>1.349017679424344</v>
      </c>
      <c r="H8" s="181">
        <v>0.14666259913115279</v>
      </c>
      <c r="I8" s="174">
        <v>9.1981029070539471</v>
      </c>
      <c r="J8" s="202">
        <v>0.87578295181482946</v>
      </c>
      <c r="K8" s="203">
        <v>2.0502782566605818E-2</v>
      </c>
      <c r="L8" s="164" t="s">
        <v>2985</v>
      </c>
    </row>
    <row r="9" spans="1:12" ht="24" customHeight="1">
      <c r="A9" s="165">
        <v>4</v>
      </c>
      <c r="B9" s="167" t="s">
        <v>512</v>
      </c>
      <c r="C9" s="161" t="s">
        <v>2990</v>
      </c>
      <c r="D9" s="165" t="s">
        <v>2991</v>
      </c>
      <c r="E9" s="165">
        <v>14</v>
      </c>
      <c r="F9" s="184">
        <v>-7.839896171400448</v>
      </c>
      <c r="G9" s="172">
        <v>1.3069689477569131</v>
      </c>
      <c r="H9" s="184">
        <v>9.7642944876821056E-2</v>
      </c>
      <c r="I9" s="174">
        <v>13.385185682444201</v>
      </c>
      <c r="J9" s="202">
        <v>0.93722641038351195</v>
      </c>
      <c r="K9" s="204">
        <v>9.0877378316991213E-3</v>
      </c>
      <c r="L9" s="168" t="s">
        <v>2985</v>
      </c>
    </row>
    <row r="10" spans="1:12" ht="24" customHeight="1">
      <c r="A10" s="160">
        <v>5</v>
      </c>
      <c r="B10" s="163" t="s">
        <v>522</v>
      </c>
      <c r="C10" s="161" t="s">
        <v>2992</v>
      </c>
      <c r="D10" s="160" t="s">
        <v>2993</v>
      </c>
      <c r="E10" s="160">
        <v>14</v>
      </c>
      <c r="F10" s="181">
        <v>-7.8532911371049856</v>
      </c>
      <c r="G10" s="172">
        <v>1.2853121152855549</v>
      </c>
      <c r="H10" s="181">
        <v>0.10870805159484979</v>
      </c>
      <c r="I10" s="174">
        <v>11.82352269614635</v>
      </c>
      <c r="J10" s="202">
        <v>0.92094637151216663</v>
      </c>
      <c r="K10" s="203">
        <v>1.1264125361532699E-2</v>
      </c>
      <c r="L10" s="164" t="s">
        <v>2985</v>
      </c>
    </row>
    <row r="11" spans="1:12" ht="24" customHeight="1">
      <c r="A11" s="165">
        <v>6</v>
      </c>
      <c r="B11" s="167" t="s">
        <v>528</v>
      </c>
      <c r="C11" s="161" t="s">
        <v>2994</v>
      </c>
      <c r="D11" s="165" t="s">
        <v>2995</v>
      </c>
      <c r="E11" s="165">
        <v>14</v>
      </c>
      <c r="F11" s="184">
        <v>-7.8936800563084093</v>
      </c>
      <c r="G11" s="172">
        <v>1.2767563306553791</v>
      </c>
      <c r="H11" s="184">
        <v>8.5740058046507445E-2</v>
      </c>
      <c r="I11" s="174">
        <v>14.89101313604006</v>
      </c>
      <c r="J11" s="202">
        <v>0.94866140434864643</v>
      </c>
      <c r="K11" s="204">
        <v>7.0071529611639601E-3</v>
      </c>
      <c r="L11" s="168" t="s">
        <v>2985</v>
      </c>
    </row>
    <row r="12" spans="1:12" ht="24" customHeight="1">
      <c r="A12" s="160">
        <v>7</v>
      </c>
      <c r="B12" s="163" t="s">
        <v>535</v>
      </c>
      <c r="C12" s="161" t="s">
        <v>2996</v>
      </c>
      <c r="D12" s="160" t="s">
        <v>2997</v>
      </c>
      <c r="E12" s="160">
        <v>14</v>
      </c>
      <c r="F12" s="181">
        <v>-7.1899332521610519</v>
      </c>
      <c r="G12" s="172">
        <v>1.214497242190536</v>
      </c>
      <c r="H12" s="181">
        <v>0.1185834321186307</v>
      </c>
      <c r="I12" s="174">
        <v>10.241711008798889</v>
      </c>
      <c r="J12" s="202">
        <v>0.89734170132895541</v>
      </c>
      <c r="K12" s="203">
        <v>1.340361926991304E-2</v>
      </c>
      <c r="L12" s="164" t="s">
        <v>2985</v>
      </c>
    </row>
    <row r="13" spans="1:12" ht="24" customHeight="1">
      <c r="A13" s="165">
        <v>8</v>
      </c>
      <c r="B13" s="167" t="s">
        <v>531</v>
      </c>
      <c r="C13" s="161" t="s">
        <v>2998</v>
      </c>
      <c r="D13" s="165" t="s">
        <v>2999</v>
      </c>
      <c r="E13" s="165">
        <v>14</v>
      </c>
      <c r="F13" s="184">
        <v>-5.5719525443480453</v>
      </c>
      <c r="G13" s="172">
        <v>1.1387372966937299</v>
      </c>
      <c r="H13" s="184">
        <v>9.6614945655092613E-2</v>
      </c>
      <c r="I13" s="174">
        <v>11.78634722581047</v>
      </c>
      <c r="J13" s="202">
        <v>0.92048661182531433</v>
      </c>
      <c r="K13" s="204">
        <v>8.8973910642718545E-3</v>
      </c>
      <c r="L13" s="168" t="s">
        <v>2985</v>
      </c>
    </row>
    <row r="14" spans="1:12" ht="24" customHeight="1">
      <c r="A14" s="160">
        <v>9</v>
      </c>
      <c r="B14" s="163" t="s">
        <v>517</v>
      </c>
      <c r="C14" s="161" t="s">
        <v>3000</v>
      </c>
      <c r="D14" s="160" t="s">
        <v>3001</v>
      </c>
      <c r="E14" s="160">
        <v>14</v>
      </c>
      <c r="F14" s="181">
        <v>-5.6300920547423319</v>
      </c>
      <c r="G14" s="172">
        <v>1.129355432878272</v>
      </c>
      <c r="H14" s="181">
        <v>0.109493061523634</v>
      </c>
      <c r="I14" s="174">
        <v>10.31440181837003</v>
      </c>
      <c r="J14" s="202">
        <v>0.8986374207488681</v>
      </c>
      <c r="K14" s="203">
        <v>1.142739527516529E-2</v>
      </c>
      <c r="L14" s="164" t="s">
        <v>2985</v>
      </c>
    </row>
    <row r="15" spans="1:12" ht="24" customHeight="1">
      <c r="A15" s="165">
        <v>10</v>
      </c>
      <c r="B15" s="167" t="s">
        <v>539</v>
      </c>
      <c r="C15" s="161" t="s">
        <v>3002</v>
      </c>
      <c r="D15" s="165" t="s">
        <v>2943</v>
      </c>
      <c r="E15" s="165">
        <v>14</v>
      </c>
      <c r="F15" s="184">
        <v>-4.8727867767423492</v>
      </c>
      <c r="G15" s="172">
        <v>1.0960037668051239</v>
      </c>
      <c r="H15" s="184">
        <v>8.356461584267999E-2</v>
      </c>
      <c r="I15" s="174">
        <v>13.115644172510491</v>
      </c>
      <c r="J15" s="202">
        <v>0.93478974002582449</v>
      </c>
      <c r="K15" s="204">
        <v>6.6560855240904004E-3</v>
      </c>
      <c r="L15" s="168" t="s">
        <v>2985</v>
      </c>
    </row>
    <row r="16" spans="1:12" ht="24" customHeight="1">
      <c r="A16" s="160">
        <v>11</v>
      </c>
      <c r="B16" s="163" t="s">
        <v>534</v>
      </c>
      <c r="C16" s="161" t="s">
        <v>3003</v>
      </c>
      <c r="D16" s="160" t="s">
        <v>2952</v>
      </c>
      <c r="E16" s="160">
        <v>14</v>
      </c>
      <c r="F16" s="181">
        <v>-3.578285908414681</v>
      </c>
      <c r="G16" s="172">
        <v>1.0039015651811369</v>
      </c>
      <c r="H16" s="181">
        <v>6.932400722234118E-2</v>
      </c>
      <c r="I16" s="174">
        <v>14.48129739473006</v>
      </c>
      <c r="J16" s="202">
        <v>0.94587474789106119</v>
      </c>
      <c r="K16" s="203">
        <v>4.5808004065050522E-3</v>
      </c>
      <c r="L16" s="164" t="s">
        <v>2985</v>
      </c>
    </row>
    <row r="17" spans="1:12" ht="24" customHeight="1">
      <c r="A17" s="165">
        <v>12</v>
      </c>
      <c r="B17" s="167" t="s">
        <v>540</v>
      </c>
      <c r="C17" s="161" t="s">
        <v>3004</v>
      </c>
      <c r="D17" s="165" t="s">
        <v>3005</v>
      </c>
      <c r="E17" s="165">
        <v>14</v>
      </c>
      <c r="F17" s="184">
        <v>-3.89513851852641</v>
      </c>
      <c r="G17" s="172">
        <v>0.99482850617564111</v>
      </c>
      <c r="H17" s="184">
        <v>0.1184067185926799</v>
      </c>
      <c r="I17" s="174">
        <v>8.4017910301007426</v>
      </c>
      <c r="J17" s="202">
        <v>0.85470412207075341</v>
      </c>
      <c r="K17" s="204">
        <v>1.336370077657916E-2</v>
      </c>
      <c r="L17" s="168" t="s">
        <v>2985</v>
      </c>
    </row>
    <row r="18" spans="1:12" ht="24" customHeight="1">
      <c r="A18" s="160">
        <v>13</v>
      </c>
      <c r="B18" s="163" t="s">
        <v>123</v>
      </c>
      <c r="C18" s="161" t="s">
        <v>3006</v>
      </c>
      <c r="D18" s="160" t="s">
        <v>3007</v>
      </c>
      <c r="E18" s="160">
        <v>14</v>
      </c>
      <c r="F18" s="181">
        <v>-3.783605529407033</v>
      </c>
      <c r="G18" s="172">
        <v>0.97378572509779748</v>
      </c>
      <c r="H18" s="181">
        <v>4.990481647743987E-2</v>
      </c>
      <c r="I18" s="174">
        <v>19.512860558018691</v>
      </c>
      <c r="J18" s="202">
        <v>0.9694463469661081</v>
      </c>
      <c r="K18" s="203">
        <v>2.3738811789633459E-3</v>
      </c>
      <c r="L18" s="164" t="s">
        <v>2985</v>
      </c>
    </row>
    <row r="19" spans="1:12" ht="24" customHeight="1">
      <c r="A19" s="165">
        <v>14</v>
      </c>
      <c r="B19" s="167" t="s">
        <v>514</v>
      </c>
      <c r="C19" s="161" t="s">
        <v>3008</v>
      </c>
      <c r="D19" s="165" t="s">
        <v>3009</v>
      </c>
      <c r="E19" s="165">
        <v>14</v>
      </c>
      <c r="F19" s="184">
        <v>-4.1934495831615406</v>
      </c>
      <c r="G19" s="172">
        <v>0.93266443337822125</v>
      </c>
      <c r="H19" s="184">
        <v>0.1083068695210152</v>
      </c>
      <c r="I19" s="174">
        <v>8.6113137375580138</v>
      </c>
      <c r="J19" s="202">
        <v>0.86071570538510533</v>
      </c>
      <c r="K19" s="204">
        <v>1.118113929767558E-2</v>
      </c>
      <c r="L19" s="168" t="s">
        <v>2985</v>
      </c>
    </row>
    <row r="20" spans="1:12" ht="24" customHeight="1">
      <c r="A20" s="160">
        <v>15</v>
      </c>
      <c r="B20" s="163" t="s">
        <v>142</v>
      </c>
      <c r="C20" s="161" t="s">
        <v>3010</v>
      </c>
      <c r="D20" s="160" t="s">
        <v>3011</v>
      </c>
      <c r="E20" s="160">
        <v>14</v>
      </c>
      <c r="F20" s="181">
        <v>-3.4218989670270248</v>
      </c>
      <c r="G20" s="172">
        <v>0.92930941481612916</v>
      </c>
      <c r="H20" s="181">
        <v>6.0832202394268529E-2</v>
      </c>
      <c r="I20" s="174">
        <v>15.27660315161771</v>
      </c>
      <c r="J20" s="202">
        <v>0.95109518339866372</v>
      </c>
      <c r="K20" s="203">
        <v>3.5272897130288082E-3</v>
      </c>
      <c r="L20" s="164" t="s">
        <v>2985</v>
      </c>
    </row>
    <row r="21" spans="1:12" ht="24" customHeight="1">
      <c r="A21" s="165">
        <v>16</v>
      </c>
      <c r="B21" s="167" t="s">
        <v>525</v>
      </c>
      <c r="C21" s="161" t="s">
        <v>3012</v>
      </c>
      <c r="D21" s="165" t="s">
        <v>2933</v>
      </c>
      <c r="E21" s="165">
        <v>14</v>
      </c>
      <c r="F21" s="184">
        <v>-3.2976311735482211</v>
      </c>
      <c r="G21" s="172">
        <v>0.91847969563827669</v>
      </c>
      <c r="H21" s="184">
        <v>0.1074657714886041</v>
      </c>
      <c r="I21" s="174">
        <v>8.5467184845518371</v>
      </c>
      <c r="J21" s="202">
        <v>0.85890054789057502</v>
      </c>
      <c r="K21" s="204">
        <v>1.1008150872176331E-2</v>
      </c>
      <c r="L21" s="168" t="s">
        <v>2985</v>
      </c>
    </row>
    <row r="22" spans="1:12" ht="24" customHeight="1">
      <c r="A22" s="160">
        <v>17</v>
      </c>
      <c r="B22" s="163" t="s">
        <v>510</v>
      </c>
      <c r="C22" s="161" t="s">
        <v>3013</v>
      </c>
      <c r="D22" s="160" t="s">
        <v>3014</v>
      </c>
      <c r="E22" s="160">
        <v>14</v>
      </c>
      <c r="F22" s="181">
        <v>-2.7834303526887192</v>
      </c>
      <c r="G22" s="172">
        <v>0.89746465973639611</v>
      </c>
      <c r="H22" s="181">
        <v>5.8199582528574878E-2</v>
      </c>
      <c r="I22" s="174">
        <v>15.420465590036811</v>
      </c>
      <c r="J22" s="202">
        <v>0.95195979207795867</v>
      </c>
      <c r="K22" s="203">
        <v>3.228596639509133E-3</v>
      </c>
      <c r="L22" s="164" t="s">
        <v>2985</v>
      </c>
    </row>
    <row r="23" spans="1:12" ht="24" customHeight="1">
      <c r="A23" s="165">
        <v>18</v>
      </c>
      <c r="B23" s="167" t="s">
        <v>511</v>
      </c>
      <c r="C23" s="161" t="s">
        <v>3015</v>
      </c>
      <c r="D23" s="165" t="s">
        <v>2947</v>
      </c>
      <c r="E23" s="165">
        <v>14</v>
      </c>
      <c r="F23" s="184">
        <v>-2.0649500735844382</v>
      </c>
      <c r="G23" s="172">
        <v>0.86187162989694466</v>
      </c>
      <c r="H23" s="184">
        <v>0.12080281571976841</v>
      </c>
      <c r="I23" s="174">
        <v>7.1345326246059191</v>
      </c>
      <c r="J23" s="202">
        <v>0.80922570431189211</v>
      </c>
      <c r="K23" s="204">
        <v>1.391003317488116E-2</v>
      </c>
      <c r="L23" s="168" t="s">
        <v>2985</v>
      </c>
    </row>
    <row r="24" spans="1:12" ht="24" customHeight="1">
      <c r="A24" s="160">
        <v>19</v>
      </c>
      <c r="B24" s="163" t="s">
        <v>523</v>
      </c>
      <c r="C24" s="161" t="s">
        <v>3016</v>
      </c>
      <c r="D24" s="160" t="s">
        <v>3017</v>
      </c>
      <c r="E24" s="160">
        <v>14</v>
      </c>
      <c r="F24" s="181">
        <v>-1.6510371942155599</v>
      </c>
      <c r="G24" s="172">
        <v>0.7361681132521497</v>
      </c>
      <c r="H24" s="181">
        <v>5.3095988164131087E-2</v>
      </c>
      <c r="I24" s="174">
        <v>13.864853799810559</v>
      </c>
      <c r="J24" s="202">
        <v>0.94124391649191552</v>
      </c>
      <c r="K24" s="203">
        <v>2.6871843850108479E-3</v>
      </c>
      <c r="L24" s="164" t="s">
        <v>3018</v>
      </c>
    </row>
    <row r="25" spans="1:12" ht="24" customHeight="1">
      <c r="A25" s="165">
        <v>20</v>
      </c>
      <c r="B25" s="167" t="s">
        <v>122</v>
      </c>
      <c r="C25" s="161" t="s">
        <v>3019</v>
      </c>
      <c r="D25" s="165" t="s">
        <v>3020</v>
      </c>
      <c r="E25" s="165">
        <v>14</v>
      </c>
      <c r="F25" s="184">
        <v>5.3014473559955944</v>
      </c>
      <c r="G25" s="177">
        <v>4.538940687138894E-2</v>
      </c>
      <c r="H25" s="184">
        <v>4.3995971536570748E-3</v>
      </c>
      <c r="I25" s="174">
        <v>10.3167188463289</v>
      </c>
      <c r="J25" s="202">
        <v>0.89867833294939203</v>
      </c>
      <c r="K25" s="204">
        <v>1.8450148939161109E-5</v>
      </c>
      <c r="L25" s="168" t="s">
        <v>3021</v>
      </c>
    </row>
    <row r="26" spans="1:12" ht="24" customHeight="1">
      <c r="A26" s="160">
        <v>21</v>
      </c>
      <c r="B26" s="163" t="s">
        <v>538</v>
      </c>
      <c r="C26" s="161" t="s">
        <v>3022</v>
      </c>
      <c r="D26" s="160" t="s">
        <v>3023</v>
      </c>
      <c r="E26" s="160">
        <v>14</v>
      </c>
      <c r="F26" s="181">
        <v>5.5642506278334531</v>
      </c>
      <c r="G26" s="173">
        <v>3.823816660046693E-2</v>
      </c>
      <c r="H26" s="181">
        <v>3.7012806673666849E-3</v>
      </c>
      <c r="I26" s="174">
        <v>10.33106376871222</v>
      </c>
      <c r="J26" s="202">
        <v>0.8989310940667683</v>
      </c>
      <c r="K26" s="203">
        <v>1.3058042842540601E-5</v>
      </c>
      <c r="L26" s="164" t="s">
        <v>3021</v>
      </c>
    </row>
    <row r="29" spans="1:12" ht="32" customHeight="1">
      <c r="A29" s="281" t="s">
        <v>3024</v>
      </c>
      <c r="B29" s="282"/>
      <c r="C29" s="282"/>
      <c r="D29" s="282"/>
      <c r="E29" s="282"/>
      <c r="F29" s="282"/>
      <c r="G29" s="282"/>
      <c r="H29" s="282"/>
      <c r="I29" s="282"/>
      <c r="J29" s="282"/>
      <c r="K29" s="282"/>
      <c r="L29" s="278"/>
    </row>
    <row r="30" spans="1:12" ht="28.05" customHeight="1">
      <c r="A30" s="303" t="s">
        <v>3025</v>
      </c>
      <c r="B30" s="282"/>
      <c r="C30" s="282"/>
      <c r="D30" s="282"/>
      <c r="E30" s="282"/>
      <c r="F30" s="282"/>
      <c r="G30" s="282"/>
      <c r="H30" s="282"/>
      <c r="I30" s="282"/>
      <c r="J30" s="278"/>
    </row>
    <row r="31" spans="1:12" ht="24" customHeight="1">
      <c r="A31" s="159" t="s">
        <v>2920</v>
      </c>
      <c r="B31" s="159" t="s">
        <v>3026</v>
      </c>
      <c r="C31" s="159" t="s">
        <v>3027</v>
      </c>
      <c r="D31" s="159" t="s">
        <v>3028</v>
      </c>
      <c r="E31" s="159" t="s">
        <v>3029</v>
      </c>
      <c r="F31" s="159" t="s">
        <v>3030</v>
      </c>
      <c r="G31" s="159" t="s">
        <v>3031</v>
      </c>
      <c r="H31" s="159" t="s">
        <v>3032</v>
      </c>
      <c r="I31" s="159" t="s">
        <v>3033</v>
      </c>
      <c r="J31" s="159" t="s">
        <v>3034</v>
      </c>
    </row>
    <row r="32" spans="1:12" ht="20" customHeight="1">
      <c r="A32" s="160">
        <v>1</v>
      </c>
      <c r="B32" s="163" t="s">
        <v>78</v>
      </c>
      <c r="C32" s="181">
        <v>12.480160230247421</v>
      </c>
      <c r="D32" s="181">
        <v>7.7225447055241858</v>
      </c>
      <c r="E32" s="181">
        <v>7.8226072617478959</v>
      </c>
      <c r="F32" s="205">
        <v>-0.1000625562237101</v>
      </c>
      <c r="G32" s="203">
        <v>0.1000625562237101</v>
      </c>
      <c r="H32" s="206">
        <v>2258.6999999999989</v>
      </c>
      <c r="I32" s="206">
        <v>2496.405713487281</v>
      </c>
      <c r="J32" s="186">
        <v>0.10524005555730399</v>
      </c>
    </row>
    <row r="33" spans="1:10" ht="20" customHeight="1">
      <c r="A33" s="165">
        <v>2</v>
      </c>
      <c r="B33" s="167" t="s">
        <v>79</v>
      </c>
      <c r="C33" s="184">
        <v>12.49405967147891</v>
      </c>
      <c r="D33" s="184">
        <v>7.7690405718195628</v>
      </c>
      <c r="E33" s="184">
        <v>7.843684220376689</v>
      </c>
      <c r="F33" s="207">
        <v>-7.4643648557126241E-2</v>
      </c>
      <c r="G33" s="204">
        <v>7.4643648557126241E-2</v>
      </c>
      <c r="H33" s="208">
        <v>2366.2000000000012</v>
      </c>
      <c r="I33" s="208">
        <v>2549.5807691372011</v>
      </c>
      <c r="J33" s="182">
        <v>7.7500113742371854E-2</v>
      </c>
    </row>
    <row r="34" spans="1:10" ht="20" customHeight="1">
      <c r="A34" s="160">
        <v>3</v>
      </c>
      <c r="B34" s="163" t="s">
        <v>80</v>
      </c>
      <c r="C34" s="181">
        <v>12.506788162439269</v>
      </c>
      <c r="D34" s="181">
        <v>7.8204395152621808</v>
      </c>
      <c r="E34" s="181">
        <v>7.8629855629925753</v>
      </c>
      <c r="F34" s="209">
        <v>-4.2546047730394498E-2</v>
      </c>
      <c r="G34" s="203">
        <v>4.2546047730394498E-2</v>
      </c>
      <c r="H34" s="206">
        <v>2491.0000000000009</v>
      </c>
      <c r="I34" s="206">
        <v>2599.2690841131471</v>
      </c>
      <c r="J34" s="185">
        <v>4.3464104421174682E-2</v>
      </c>
    </row>
    <row r="35" spans="1:10" ht="20" customHeight="1">
      <c r="A35" s="165">
        <v>4</v>
      </c>
      <c r="B35" s="167" t="s">
        <v>81</v>
      </c>
      <c r="C35" s="184">
        <v>12.522210970891731</v>
      </c>
      <c r="D35" s="184">
        <v>7.8555059174745647</v>
      </c>
      <c r="E35" s="184">
        <v>7.8863725387909849</v>
      </c>
      <c r="F35" s="209">
        <v>-3.0866621316420151E-2</v>
      </c>
      <c r="G35" s="204">
        <v>3.0866621316420151E-2</v>
      </c>
      <c r="H35" s="208">
        <v>2579.900000000001</v>
      </c>
      <c r="I35" s="208">
        <v>2660.7745372032932</v>
      </c>
      <c r="J35" s="185">
        <v>3.134793488247304E-2</v>
      </c>
    </row>
    <row r="36" spans="1:10" ht="20" customHeight="1">
      <c r="A36" s="160">
        <v>5</v>
      </c>
      <c r="B36" s="163" t="s">
        <v>82</v>
      </c>
      <c r="C36" s="181">
        <v>12.486152141495451</v>
      </c>
      <c r="D36" s="181">
        <v>7.9327210274819482</v>
      </c>
      <c r="E36" s="181">
        <v>7.8316933295529854</v>
      </c>
      <c r="F36" s="205">
        <v>0.1010276979289628</v>
      </c>
      <c r="G36" s="203">
        <v>0.1010276979289628</v>
      </c>
      <c r="H36" s="206">
        <v>2787</v>
      </c>
      <c r="I36" s="206">
        <v>2519.1915852969901</v>
      </c>
      <c r="J36" s="186">
        <v>-9.6092003840333673E-2</v>
      </c>
    </row>
    <row r="37" spans="1:10" ht="20" customHeight="1">
      <c r="A37" s="165">
        <v>6</v>
      </c>
      <c r="B37" s="167" t="s">
        <v>83</v>
      </c>
      <c r="C37" s="184">
        <v>12.502384870852829</v>
      </c>
      <c r="D37" s="184">
        <v>7.9371603874865464</v>
      </c>
      <c r="E37" s="184">
        <v>7.8563084604348479</v>
      </c>
      <c r="F37" s="207">
        <v>8.0851927051697636E-2</v>
      </c>
      <c r="G37" s="204">
        <v>8.0851927051697636E-2</v>
      </c>
      <c r="H37" s="208">
        <v>2799.4</v>
      </c>
      <c r="I37" s="208">
        <v>2581.971311630346</v>
      </c>
      <c r="J37" s="182">
        <v>-7.7669746506270815E-2</v>
      </c>
    </row>
    <row r="38" spans="1:10" ht="20" customHeight="1">
      <c r="A38" s="160">
        <v>7</v>
      </c>
      <c r="B38" s="163" t="s">
        <v>84</v>
      </c>
      <c r="C38" s="181">
        <v>12.546533346214821</v>
      </c>
      <c r="D38" s="181">
        <v>7.9621369927368324</v>
      </c>
      <c r="E38" s="181">
        <v>7.9232547191535563</v>
      </c>
      <c r="F38" s="209">
        <v>3.8882273583275229E-2</v>
      </c>
      <c r="G38" s="203">
        <v>3.8882273583275229E-2</v>
      </c>
      <c r="H38" s="206">
        <v>2870.2</v>
      </c>
      <c r="I38" s="206">
        <v>2760.7418785102482</v>
      </c>
      <c r="J38" s="185">
        <v>-3.8136060723905137E-2</v>
      </c>
    </row>
    <row r="39" spans="1:10" ht="20" customHeight="1">
      <c r="A39" s="165">
        <v>8</v>
      </c>
      <c r="B39" s="167" t="s">
        <v>88</v>
      </c>
      <c r="C39" s="184">
        <v>12.93187334930216</v>
      </c>
      <c r="D39" s="184">
        <v>8.4047409219446543</v>
      </c>
      <c r="E39" s="184">
        <v>8.507580028914143</v>
      </c>
      <c r="F39" s="205">
        <v>-0.1028391069694887</v>
      </c>
      <c r="G39" s="204">
        <v>0.1028391069694887</v>
      </c>
      <c r="H39" s="208">
        <v>4468.1999999999971</v>
      </c>
      <c r="I39" s="208">
        <v>4952.1644811817378</v>
      </c>
      <c r="J39" s="186">
        <v>0.1083130748806546</v>
      </c>
    </row>
    <row r="40" spans="1:10" ht="20" customHeight="1">
      <c r="A40" s="160">
        <v>9</v>
      </c>
      <c r="B40" s="163" t="s">
        <v>89</v>
      </c>
      <c r="C40" s="181">
        <v>12.9237246161649</v>
      </c>
      <c r="D40" s="181">
        <v>8.4897192144154818</v>
      </c>
      <c r="E40" s="181">
        <v>8.4952233803013879</v>
      </c>
      <c r="F40" s="209">
        <v>-5.504165885906076E-3</v>
      </c>
      <c r="G40" s="203">
        <v>5.504165885906076E-3</v>
      </c>
      <c r="H40" s="206">
        <v>4864.4999999999973</v>
      </c>
      <c r="I40" s="206">
        <v>4891.3488373954442</v>
      </c>
      <c r="J40" s="185">
        <v>5.5193416374646831E-3</v>
      </c>
    </row>
    <row r="41" spans="1:10" ht="20" customHeight="1">
      <c r="A41" s="165">
        <v>10</v>
      </c>
      <c r="B41" s="167" t="s">
        <v>90</v>
      </c>
      <c r="C41" s="184">
        <v>12.91339143282819</v>
      </c>
      <c r="D41" s="184">
        <v>8.4965209861466988</v>
      </c>
      <c r="E41" s="184">
        <v>8.4795542556175878</v>
      </c>
      <c r="F41" s="209">
        <v>1.6966730529111022E-2</v>
      </c>
      <c r="G41" s="204">
        <v>1.6966730529111022E-2</v>
      </c>
      <c r="H41" s="208">
        <v>4897.7</v>
      </c>
      <c r="I41" s="208">
        <v>4815.3030241552824</v>
      </c>
      <c r="J41" s="185">
        <v>-1.6823606150788619E-2</v>
      </c>
    </row>
    <row r="42" spans="1:10" ht="20" customHeight="1">
      <c r="A42" s="160">
        <v>11</v>
      </c>
      <c r="B42" s="163" t="s">
        <v>91</v>
      </c>
      <c r="C42" s="181">
        <v>12.975022789505619</v>
      </c>
      <c r="D42" s="181">
        <v>8.624611588183507</v>
      </c>
      <c r="E42" s="181">
        <v>8.5730113617912753</v>
      </c>
      <c r="F42" s="207">
        <v>5.1600226392231718E-2</v>
      </c>
      <c r="G42" s="203">
        <v>5.1600226392231718E-2</v>
      </c>
      <c r="H42" s="206">
        <v>5566.9999999999955</v>
      </c>
      <c r="I42" s="206">
        <v>5287.0269931425546</v>
      </c>
      <c r="J42" s="182">
        <v>-5.0291540660578601E-2</v>
      </c>
    </row>
    <row r="43" spans="1:10" ht="20" customHeight="1">
      <c r="A43" s="165">
        <v>12</v>
      </c>
      <c r="B43" s="167" t="s">
        <v>92</v>
      </c>
      <c r="C43" s="184">
        <v>13.011116683248829</v>
      </c>
      <c r="D43" s="184">
        <v>8.7849429281600671</v>
      </c>
      <c r="E43" s="184">
        <v>8.6277437422163334</v>
      </c>
      <c r="F43" s="205">
        <v>0.15719918594373361</v>
      </c>
      <c r="G43" s="204">
        <v>0.15719918594373361</v>
      </c>
      <c r="H43" s="208">
        <v>6535.1000000000049</v>
      </c>
      <c r="I43" s="208">
        <v>5584.4640372506783</v>
      </c>
      <c r="J43" s="186">
        <v>-0.14546616926280029</v>
      </c>
    </row>
    <row r="44" spans="1:10" ht="20" customHeight="1">
      <c r="A44" s="160">
        <v>13</v>
      </c>
      <c r="B44" s="163" t="s">
        <v>93</v>
      </c>
      <c r="C44" s="181">
        <v>13.094494626221611</v>
      </c>
      <c r="D44" s="181">
        <v>8.7905734791571586</v>
      </c>
      <c r="E44" s="181">
        <v>8.7541771308197145</v>
      </c>
      <c r="F44" s="209">
        <v>3.6396348337444102E-2</v>
      </c>
      <c r="G44" s="203">
        <v>3.6396348337444102E-2</v>
      </c>
      <c r="H44" s="206">
        <v>6571.9999999999991</v>
      </c>
      <c r="I44" s="206">
        <v>6337.1038103916862</v>
      </c>
      <c r="J44" s="185">
        <v>-3.5741964334801112E-2</v>
      </c>
    </row>
    <row r="45" spans="1:10" ht="20" customHeight="1">
      <c r="A45" s="165">
        <v>14</v>
      </c>
      <c r="B45" s="167" t="s">
        <v>94</v>
      </c>
      <c r="C45" s="184">
        <v>13.20235500685032</v>
      </c>
      <c r="D45" s="184">
        <v>8.7912731734497331</v>
      </c>
      <c r="E45" s="184">
        <v>8.9177354165331213</v>
      </c>
      <c r="F45" s="205">
        <v>-0.12646224308338819</v>
      </c>
      <c r="G45" s="204">
        <v>0.12646224308338819</v>
      </c>
      <c r="H45" s="208">
        <v>6576.6000000000031</v>
      </c>
      <c r="I45" s="208">
        <v>7463.1691090310869</v>
      </c>
      <c r="J45" s="186">
        <v>0.13480660356887811</v>
      </c>
    </row>
    <row r="46" spans="1:10" ht="24" customHeight="1">
      <c r="A46" s="304" t="s">
        <v>3035</v>
      </c>
      <c r="B46" s="282"/>
      <c r="C46" s="282"/>
      <c r="D46" s="282"/>
      <c r="E46" s="278"/>
      <c r="F46" s="210">
        <v>6.8989198538063581E-2</v>
      </c>
    </row>
    <row r="48" spans="1:10" ht="28.05" customHeight="1">
      <c r="A48" s="303" t="s">
        <v>3036</v>
      </c>
      <c r="B48" s="282"/>
      <c r="C48" s="282"/>
      <c r="D48" s="282"/>
      <c r="E48" s="282"/>
      <c r="F48" s="282"/>
      <c r="G48" s="282"/>
      <c r="H48" s="282"/>
      <c r="I48" s="282"/>
      <c r="J48" s="278"/>
    </row>
    <row r="49" spans="1:10" ht="24" customHeight="1">
      <c r="A49" s="159" t="s">
        <v>2920</v>
      </c>
      <c r="B49" s="159" t="s">
        <v>3026</v>
      </c>
      <c r="C49" s="159" t="s">
        <v>3027</v>
      </c>
      <c r="D49" s="159" t="s">
        <v>3028</v>
      </c>
      <c r="E49" s="159" t="s">
        <v>3029</v>
      </c>
      <c r="F49" s="159" t="s">
        <v>3030</v>
      </c>
      <c r="G49" s="159" t="s">
        <v>3031</v>
      </c>
      <c r="H49" s="159" t="s">
        <v>3032</v>
      </c>
      <c r="I49" s="159" t="s">
        <v>3033</v>
      </c>
      <c r="J49" s="159" t="s">
        <v>3034</v>
      </c>
    </row>
    <row r="50" spans="1:10" ht="20" customHeight="1">
      <c r="A50" s="160">
        <v>1</v>
      </c>
      <c r="B50" s="163" t="s">
        <v>78</v>
      </c>
      <c r="C50" s="181">
        <v>12.480160230247421</v>
      </c>
      <c r="D50" s="181">
        <v>7.9980329308601892</v>
      </c>
      <c r="E50" s="181">
        <v>8.1806485823083666</v>
      </c>
      <c r="F50" s="205">
        <v>-0.1826156514481774</v>
      </c>
      <c r="G50" s="203">
        <v>0.1826156514481774</v>
      </c>
      <c r="H50" s="206">
        <v>2975.1</v>
      </c>
      <c r="I50" s="206">
        <v>3571.1701076148829</v>
      </c>
      <c r="J50" s="186">
        <v>0.20035296548515441</v>
      </c>
    </row>
    <row r="51" spans="1:10" ht="20" customHeight="1">
      <c r="A51" s="165">
        <v>2</v>
      </c>
      <c r="B51" s="167" t="s">
        <v>79</v>
      </c>
      <c r="C51" s="184">
        <v>12.49405967147891</v>
      </c>
      <c r="D51" s="184">
        <v>8.088285439181524</v>
      </c>
      <c r="E51" s="184">
        <v>8.1999259869647201</v>
      </c>
      <c r="F51" s="205">
        <v>-0.1116405477831961</v>
      </c>
      <c r="G51" s="204">
        <v>0.1116405477831961</v>
      </c>
      <c r="H51" s="208">
        <v>3256.1000000000022</v>
      </c>
      <c r="I51" s="208">
        <v>3640.6808395209941</v>
      </c>
      <c r="J51" s="186">
        <v>0.1181108809683338</v>
      </c>
    </row>
    <row r="52" spans="1:10" ht="20" customHeight="1">
      <c r="A52" s="160">
        <v>3</v>
      </c>
      <c r="B52" s="163" t="s">
        <v>80</v>
      </c>
      <c r="C52" s="181">
        <v>12.506788162439269</v>
      </c>
      <c r="D52" s="181">
        <v>8.1204995016951589</v>
      </c>
      <c r="E52" s="181">
        <v>8.2175793779766995</v>
      </c>
      <c r="F52" s="207">
        <v>-9.7079876281540578E-2</v>
      </c>
      <c r="G52" s="203">
        <v>9.7079876281540578E-2</v>
      </c>
      <c r="H52" s="206">
        <v>3362.699999999998</v>
      </c>
      <c r="I52" s="206">
        <v>3705.5218498611971</v>
      </c>
      <c r="J52" s="182">
        <v>0.10194838964558189</v>
      </c>
    </row>
    <row r="53" spans="1:10" ht="20" customHeight="1">
      <c r="A53" s="165">
        <v>4</v>
      </c>
      <c r="B53" s="167" t="s">
        <v>81</v>
      </c>
      <c r="C53" s="184">
        <v>12.522210970891731</v>
      </c>
      <c r="D53" s="184">
        <v>8.151708123484223</v>
      </c>
      <c r="E53" s="184">
        <v>8.2389695701811103</v>
      </c>
      <c r="F53" s="207">
        <v>-8.726144669688729E-2</v>
      </c>
      <c r="G53" s="204">
        <v>8.726144669688729E-2</v>
      </c>
      <c r="H53" s="208">
        <v>3469.2999999999979</v>
      </c>
      <c r="I53" s="208">
        <v>3785.6374639860242</v>
      </c>
      <c r="J53" s="182">
        <v>9.1181928338865334E-2</v>
      </c>
    </row>
    <row r="54" spans="1:10" ht="20" customHeight="1">
      <c r="A54" s="160">
        <v>5</v>
      </c>
      <c r="B54" s="163" t="s">
        <v>82</v>
      </c>
      <c r="C54" s="181">
        <v>12.486152141495451</v>
      </c>
      <c r="D54" s="181">
        <v>8.3179614601483411</v>
      </c>
      <c r="E54" s="181">
        <v>8.1889588802454956</v>
      </c>
      <c r="F54" s="205">
        <v>0.12900257990284561</v>
      </c>
      <c r="G54" s="203">
        <v>0.12900257990284561</v>
      </c>
      <c r="H54" s="206">
        <v>4096.800000000002</v>
      </c>
      <c r="I54" s="206">
        <v>3600.9712518791839</v>
      </c>
      <c r="J54" s="186">
        <v>-0.1210283021189264</v>
      </c>
    </row>
    <row r="55" spans="1:10" ht="20" customHeight="1">
      <c r="A55" s="165">
        <v>6</v>
      </c>
      <c r="B55" s="167" t="s">
        <v>83</v>
      </c>
      <c r="C55" s="184">
        <v>12.502384870852829</v>
      </c>
      <c r="D55" s="184">
        <v>8.3666493325163707</v>
      </c>
      <c r="E55" s="184">
        <v>8.2114723674632639</v>
      </c>
      <c r="F55" s="205">
        <v>0.15517696505310671</v>
      </c>
      <c r="G55" s="204">
        <v>0.15517696505310671</v>
      </c>
      <c r="H55" s="208">
        <v>4301.1999999999971</v>
      </c>
      <c r="I55" s="208">
        <v>3682.9611483049489</v>
      </c>
      <c r="J55" s="186">
        <v>-0.1437363646645235</v>
      </c>
    </row>
    <row r="56" spans="1:10" ht="20" customHeight="1">
      <c r="A56" s="160">
        <v>7</v>
      </c>
      <c r="B56" s="163" t="s">
        <v>84</v>
      </c>
      <c r="C56" s="181">
        <v>12.546533346214821</v>
      </c>
      <c r="D56" s="181">
        <v>8.4759961265658994</v>
      </c>
      <c r="E56" s="181">
        <v>8.2727027443064589</v>
      </c>
      <c r="F56" s="205">
        <v>0.20329338225944049</v>
      </c>
      <c r="G56" s="203">
        <v>0.20329338225944049</v>
      </c>
      <c r="H56" s="206">
        <v>4798.2000000000007</v>
      </c>
      <c r="I56" s="206">
        <v>3915.5173461555319</v>
      </c>
      <c r="J56" s="186">
        <v>-0.18396120500280699</v>
      </c>
    </row>
    <row r="57" spans="1:10" ht="20" customHeight="1">
      <c r="A57" s="165">
        <v>8</v>
      </c>
      <c r="B57" s="167" t="s">
        <v>88</v>
      </c>
      <c r="C57" s="184">
        <v>12.93187334930216</v>
      </c>
      <c r="D57" s="184">
        <v>8.7206563479635673</v>
      </c>
      <c r="E57" s="184">
        <v>8.8071382691651454</v>
      </c>
      <c r="F57" s="207">
        <v>-8.648192120157816E-2</v>
      </c>
      <c r="G57" s="204">
        <v>8.648192120157816E-2</v>
      </c>
      <c r="H57" s="208">
        <v>6128.1999999999989</v>
      </c>
      <c r="I57" s="208">
        <v>6681.7704521750366</v>
      </c>
      <c r="J57" s="182">
        <v>9.0331655653379084E-2</v>
      </c>
    </row>
    <row r="58" spans="1:10" ht="20" customHeight="1">
      <c r="A58" s="160">
        <v>9</v>
      </c>
      <c r="B58" s="163" t="s">
        <v>89</v>
      </c>
      <c r="C58" s="181">
        <v>12.9237246161649</v>
      </c>
      <c r="D58" s="181">
        <v>8.7585380886596536</v>
      </c>
      <c r="E58" s="181">
        <v>8.7958366331132058</v>
      </c>
      <c r="F58" s="209">
        <v>-3.7298544453552303E-2</v>
      </c>
      <c r="G58" s="203">
        <v>3.7298544453552303E-2</v>
      </c>
      <c r="H58" s="206">
        <v>6364.8000000000029</v>
      </c>
      <c r="I58" s="206">
        <v>6606.6806324964982</v>
      </c>
      <c r="J58" s="185">
        <v>3.8002864582782681E-2</v>
      </c>
    </row>
    <row r="59" spans="1:10" ht="20" customHeight="1">
      <c r="A59" s="165">
        <v>10</v>
      </c>
      <c r="B59" s="167" t="s">
        <v>90</v>
      </c>
      <c r="C59" s="184">
        <v>12.91339143282819</v>
      </c>
      <c r="D59" s="184">
        <v>8.8342787142372607</v>
      </c>
      <c r="E59" s="184">
        <v>8.7815053407071044</v>
      </c>
      <c r="F59" s="207">
        <v>5.277337353015632E-2</v>
      </c>
      <c r="G59" s="204">
        <v>5.277337353015632E-2</v>
      </c>
      <c r="H59" s="208">
        <v>6865.6000000000031</v>
      </c>
      <c r="I59" s="208">
        <v>6512.6735906921904</v>
      </c>
      <c r="J59" s="182">
        <v>-5.140503514737424E-2</v>
      </c>
    </row>
    <row r="60" spans="1:10" ht="20" customHeight="1">
      <c r="A60" s="160">
        <v>11</v>
      </c>
      <c r="B60" s="163" t="s">
        <v>91</v>
      </c>
      <c r="C60" s="181">
        <v>12.975022789505619</v>
      </c>
      <c r="D60" s="181">
        <v>8.846799051191601</v>
      </c>
      <c r="E60" s="181">
        <v>8.8669830647683359</v>
      </c>
      <c r="F60" s="209">
        <v>-2.0184013576734831E-2</v>
      </c>
      <c r="G60" s="203">
        <v>2.0184013576734831E-2</v>
      </c>
      <c r="H60" s="206">
        <v>6952.0999999999958</v>
      </c>
      <c r="I60" s="206">
        <v>7093.8469800606181</v>
      </c>
      <c r="J60" s="185">
        <v>2.0389088197900251E-2</v>
      </c>
    </row>
    <row r="61" spans="1:10" ht="20" customHeight="1">
      <c r="A61" s="165">
        <v>12</v>
      </c>
      <c r="B61" s="167" t="s">
        <v>92</v>
      </c>
      <c r="C61" s="184">
        <v>13.011116683248829</v>
      </c>
      <c r="D61" s="184">
        <v>9.0270543502353977</v>
      </c>
      <c r="E61" s="184">
        <v>8.9170423861268713</v>
      </c>
      <c r="F61" s="205">
        <v>0.1100119641085264</v>
      </c>
      <c r="G61" s="204">
        <v>0.1100119641085264</v>
      </c>
      <c r="H61" s="208">
        <v>8325.2999999999956</v>
      </c>
      <c r="I61" s="208">
        <v>7457.9986977446006</v>
      </c>
      <c r="J61" s="186">
        <v>-0.1041765824961737</v>
      </c>
    </row>
    <row r="62" spans="1:10" ht="20" customHeight="1">
      <c r="A62" s="160">
        <v>13</v>
      </c>
      <c r="B62" s="163" t="s">
        <v>93</v>
      </c>
      <c r="C62" s="181">
        <v>13.094494626221611</v>
      </c>
      <c r="D62" s="181">
        <v>9.0844482967489206</v>
      </c>
      <c r="E62" s="181">
        <v>9.0326808725473828</v>
      </c>
      <c r="F62" s="207">
        <v>5.1767424201537793E-2</v>
      </c>
      <c r="G62" s="203">
        <v>5.1767424201537793E-2</v>
      </c>
      <c r="H62" s="206">
        <v>8817.0999999999985</v>
      </c>
      <c r="I62" s="206">
        <v>8372.2745138535447</v>
      </c>
      <c r="J62" s="182">
        <v>-5.0450316560598597E-2</v>
      </c>
    </row>
    <row r="63" spans="1:10" ht="20" customHeight="1">
      <c r="A63" s="165">
        <v>14</v>
      </c>
      <c r="B63" s="167" t="s">
        <v>94</v>
      </c>
      <c r="C63" s="184">
        <v>13.20235500685032</v>
      </c>
      <c r="D63" s="184">
        <v>9.1028108390335163</v>
      </c>
      <c r="E63" s="184">
        <v>9.1822745266474346</v>
      </c>
      <c r="F63" s="207">
        <v>-7.946368761391831E-2</v>
      </c>
      <c r="G63" s="204">
        <v>7.946368761391831E-2</v>
      </c>
      <c r="H63" s="208">
        <v>8980.4999999999982</v>
      </c>
      <c r="I63" s="208">
        <v>9723.2434167746487</v>
      </c>
      <c r="J63" s="182">
        <v>8.2706243168492927E-2</v>
      </c>
    </row>
    <row r="64" spans="1:10" ht="24" customHeight="1">
      <c r="A64" s="304" t="s">
        <v>3037</v>
      </c>
      <c r="B64" s="282"/>
      <c r="C64" s="282"/>
      <c r="D64" s="282"/>
      <c r="E64" s="278"/>
      <c r="F64" s="210">
        <v>0.1002893841507999</v>
      </c>
    </row>
    <row r="66" spans="1:10" ht="28.05" customHeight="1">
      <c r="A66" s="303" t="s">
        <v>3038</v>
      </c>
      <c r="B66" s="282"/>
      <c r="C66" s="282"/>
      <c r="D66" s="282"/>
      <c r="E66" s="282"/>
      <c r="F66" s="282"/>
      <c r="G66" s="282"/>
      <c r="H66" s="282"/>
      <c r="I66" s="282"/>
      <c r="J66" s="278"/>
    </row>
    <row r="67" spans="1:10" ht="24" customHeight="1">
      <c r="A67" s="159" t="s">
        <v>2920</v>
      </c>
      <c r="B67" s="159" t="s">
        <v>3026</v>
      </c>
      <c r="C67" s="159" t="s">
        <v>3027</v>
      </c>
      <c r="D67" s="159" t="s">
        <v>3028</v>
      </c>
      <c r="E67" s="159" t="s">
        <v>3029</v>
      </c>
      <c r="F67" s="159" t="s">
        <v>3030</v>
      </c>
      <c r="G67" s="159" t="s">
        <v>3031</v>
      </c>
      <c r="H67" s="159" t="s">
        <v>3032</v>
      </c>
      <c r="I67" s="159" t="s">
        <v>3033</v>
      </c>
      <c r="J67" s="159" t="s">
        <v>3034</v>
      </c>
    </row>
    <row r="68" spans="1:10" ht="20" customHeight="1">
      <c r="A68" s="160">
        <v>1</v>
      </c>
      <c r="B68" s="163" t="s">
        <v>78</v>
      </c>
      <c r="C68" s="181">
        <v>12.480160230247421</v>
      </c>
      <c r="D68" s="181">
        <v>7.954969004564246</v>
      </c>
      <c r="E68" s="181">
        <v>8.1627249545001934</v>
      </c>
      <c r="F68" s="205">
        <v>-0.2077559499359474</v>
      </c>
      <c r="G68" s="203">
        <v>0.2077559499359474</v>
      </c>
      <c r="H68" s="206">
        <v>2849.6999999999989</v>
      </c>
      <c r="I68" s="206">
        <v>3507.7320025739809</v>
      </c>
      <c r="J68" s="186">
        <v>0.23091272855878939</v>
      </c>
    </row>
    <row r="69" spans="1:10" ht="20" customHeight="1">
      <c r="A69" s="165">
        <v>2</v>
      </c>
      <c r="B69" s="167" t="s">
        <v>79</v>
      </c>
      <c r="C69" s="184">
        <v>12.49405967147891</v>
      </c>
      <c r="D69" s="184">
        <v>8.0172745364889213</v>
      </c>
      <c r="E69" s="184">
        <v>8.1814755464555962</v>
      </c>
      <c r="F69" s="205">
        <v>-0.16420100996667489</v>
      </c>
      <c r="G69" s="204">
        <v>0.16420100996667489</v>
      </c>
      <c r="H69" s="208">
        <v>3032.900000000001</v>
      </c>
      <c r="I69" s="208">
        <v>3574.1245587017288</v>
      </c>
      <c r="J69" s="186">
        <v>0.17845117171740829</v>
      </c>
    </row>
    <row r="70" spans="1:10" ht="20" customHeight="1">
      <c r="A70" s="160">
        <v>3</v>
      </c>
      <c r="B70" s="163" t="s">
        <v>80</v>
      </c>
      <c r="C70" s="181">
        <v>12.506788162439269</v>
      </c>
      <c r="D70" s="181">
        <v>8.0649194545998615</v>
      </c>
      <c r="E70" s="181">
        <v>8.1986465057935138</v>
      </c>
      <c r="F70" s="205">
        <v>-0.13372705119365241</v>
      </c>
      <c r="G70" s="203">
        <v>0.13372705119365241</v>
      </c>
      <c r="H70" s="206">
        <v>3180.8999999999978</v>
      </c>
      <c r="I70" s="206">
        <v>3636.0256356943528</v>
      </c>
      <c r="J70" s="186">
        <v>0.14308077452744691</v>
      </c>
    </row>
    <row r="71" spans="1:10" ht="20" customHeight="1">
      <c r="A71" s="165">
        <v>4</v>
      </c>
      <c r="B71" s="167" t="s">
        <v>81</v>
      </c>
      <c r="C71" s="184">
        <v>12.522210970891731</v>
      </c>
      <c r="D71" s="184">
        <v>8.0906780783597654</v>
      </c>
      <c r="E71" s="184">
        <v>8.2194521470622579</v>
      </c>
      <c r="F71" s="205">
        <v>-0.1287740687024925</v>
      </c>
      <c r="G71" s="204">
        <v>0.1287740687024925</v>
      </c>
      <c r="H71" s="208">
        <v>3263.9</v>
      </c>
      <c r="I71" s="208">
        <v>3712.4679388076529</v>
      </c>
      <c r="J71" s="186">
        <v>0.13743311339429909</v>
      </c>
    </row>
    <row r="72" spans="1:10" ht="20" customHeight="1">
      <c r="A72" s="160">
        <v>5</v>
      </c>
      <c r="B72" s="163" t="s">
        <v>82</v>
      </c>
      <c r="C72" s="181">
        <v>12.486152141495451</v>
      </c>
      <c r="D72" s="181">
        <v>8.3164469375440664</v>
      </c>
      <c r="E72" s="181">
        <v>8.1708081487073354</v>
      </c>
      <c r="F72" s="205">
        <v>0.14563878883673101</v>
      </c>
      <c r="G72" s="203">
        <v>0.14563878883673101</v>
      </c>
      <c r="H72" s="206">
        <v>4090.6000000000022</v>
      </c>
      <c r="I72" s="206">
        <v>3536.2005851115341</v>
      </c>
      <c r="J72" s="186">
        <v>-0.13553009702451169</v>
      </c>
    </row>
    <row r="73" spans="1:10" ht="20" customHeight="1">
      <c r="A73" s="165">
        <v>6</v>
      </c>
      <c r="B73" s="167" t="s">
        <v>83</v>
      </c>
      <c r="C73" s="184">
        <v>12.502384870852829</v>
      </c>
      <c r="D73" s="184">
        <v>8.3927631130380611</v>
      </c>
      <c r="E73" s="184">
        <v>8.192706387595754</v>
      </c>
      <c r="F73" s="205">
        <v>0.2000567254423071</v>
      </c>
      <c r="G73" s="204">
        <v>0.2000567254423071</v>
      </c>
      <c r="H73" s="208">
        <v>4415.0000000000027</v>
      </c>
      <c r="I73" s="208">
        <v>3614.4912354098269</v>
      </c>
      <c r="J73" s="186">
        <v>-0.18131568846889581</v>
      </c>
    </row>
    <row r="74" spans="1:10" ht="20" customHeight="1">
      <c r="A74" s="160">
        <v>7</v>
      </c>
      <c r="B74" s="163" t="s">
        <v>84</v>
      </c>
      <c r="C74" s="181">
        <v>12.546533346214821</v>
      </c>
      <c r="D74" s="181">
        <v>8.4775371835359525</v>
      </c>
      <c r="E74" s="181">
        <v>8.2522634613787087</v>
      </c>
      <c r="F74" s="205">
        <v>0.22527372215724381</v>
      </c>
      <c r="G74" s="203">
        <v>0.22527372215724381</v>
      </c>
      <c r="H74" s="206">
        <v>4805.600000000004</v>
      </c>
      <c r="I74" s="206">
        <v>3836.2993170169671</v>
      </c>
      <c r="J74" s="186">
        <v>-0.20170232291140269</v>
      </c>
    </row>
    <row r="75" spans="1:10" ht="20" customHeight="1">
      <c r="A75" s="165">
        <v>8</v>
      </c>
      <c r="B75" s="167" t="s">
        <v>88</v>
      </c>
      <c r="C75" s="184">
        <v>12.93187334930216</v>
      </c>
      <c r="D75" s="184">
        <v>8.8058847541611929</v>
      </c>
      <c r="E75" s="184">
        <v>8.7720939381329561</v>
      </c>
      <c r="F75" s="209">
        <v>3.3790816028236748E-2</v>
      </c>
      <c r="G75" s="204">
        <v>3.3790816028236748E-2</v>
      </c>
      <c r="H75" s="208">
        <v>6673.4000000000051</v>
      </c>
      <c r="I75" s="208">
        <v>6451.6677233808323</v>
      </c>
      <c r="J75" s="185">
        <v>-3.3226282947099332E-2</v>
      </c>
    </row>
    <row r="76" spans="1:10" ht="20" customHeight="1">
      <c r="A76" s="160">
        <v>9</v>
      </c>
      <c r="B76" s="163" t="s">
        <v>89</v>
      </c>
      <c r="C76" s="181">
        <v>12.9237246161649</v>
      </c>
      <c r="D76" s="181">
        <v>8.8135277231471569</v>
      </c>
      <c r="E76" s="181">
        <v>8.7611011530658782</v>
      </c>
      <c r="F76" s="207">
        <v>5.2426570081278712E-2</v>
      </c>
      <c r="G76" s="203">
        <v>5.2426570081278712E-2</v>
      </c>
      <c r="H76" s="206">
        <v>6724.5999999999949</v>
      </c>
      <c r="I76" s="206">
        <v>6381.1343163430683</v>
      </c>
      <c r="J76" s="182">
        <v>-5.1076002090373683E-2</v>
      </c>
    </row>
    <row r="77" spans="1:10" ht="20" customHeight="1">
      <c r="A77" s="165">
        <v>10</v>
      </c>
      <c r="B77" s="167" t="s">
        <v>90</v>
      </c>
      <c r="C77" s="184">
        <v>12.91339143282819</v>
      </c>
      <c r="D77" s="184">
        <v>8.8365047363254785</v>
      </c>
      <c r="E77" s="184">
        <v>8.7471615060599301</v>
      </c>
      <c r="F77" s="207">
        <v>8.9343230265548357E-2</v>
      </c>
      <c r="G77" s="204">
        <v>8.9343230265548357E-2</v>
      </c>
      <c r="H77" s="208">
        <v>6880.9</v>
      </c>
      <c r="I77" s="208">
        <v>6292.8006568575074</v>
      </c>
      <c r="J77" s="182">
        <v>-8.5468375233253249E-2</v>
      </c>
    </row>
    <row r="78" spans="1:10" ht="20" customHeight="1">
      <c r="A78" s="160">
        <v>11</v>
      </c>
      <c r="B78" s="163" t="s">
        <v>91</v>
      </c>
      <c r="C78" s="181">
        <v>12.975022789505619</v>
      </c>
      <c r="D78" s="181">
        <v>8.8623986111116722</v>
      </c>
      <c r="E78" s="181">
        <v>8.8303032958246863</v>
      </c>
      <c r="F78" s="209">
        <v>3.2095315286985837E-2</v>
      </c>
      <c r="G78" s="203">
        <v>3.2095315286985837E-2</v>
      </c>
      <c r="H78" s="206">
        <v>7061.4000000000042</v>
      </c>
      <c r="I78" s="206">
        <v>6838.3605473317148</v>
      </c>
      <c r="J78" s="185">
        <v>-3.1585727004317742E-2</v>
      </c>
    </row>
    <row r="79" spans="1:10" ht="20" customHeight="1">
      <c r="A79" s="165">
        <v>12</v>
      </c>
      <c r="B79" s="167" t="s">
        <v>92</v>
      </c>
      <c r="C79" s="184">
        <v>13.011116683248829</v>
      </c>
      <c r="D79" s="184">
        <v>8.909113650174131</v>
      </c>
      <c r="E79" s="184">
        <v>8.8789945966035493</v>
      </c>
      <c r="F79" s="209">
        <v>3.0119053570581759E-2</v>
      </c>
      <c r="G79" s="204">
        <v>3.0119053570581759E-2</v>
      </c>
      <c r="H79" s="208">
        <v>7399.1000000000049</v>
      </c>
      <c r="I79" s="208">
        <v>7179.5687431019333</v>
      </c>
      <c r="J79" s="185">
        <v>-2.9669994580161309E-2</v>
      </c>
    </row>
    <row r="80" spans="1:10" ht="20" customHeight="1">
      <c r="A80" s="160">
        <v>13</v>
      </c>
      <c r="B80" s="163" t="s">
        <v>93</v>
      </c>
      <c r="C80" s="181">
        <v>13.094494626221611</v>
      </c>
      <c r="D80" s="181">
        <v>8.919560171946161</v>
      </c>
      <c r="E80" s="181">
        <v>8.9914729157478579</v>
      </c>
      <c r="F80" s="207">
        <v>-7.1912743801696877E-2</v>
      </c>
      <c r="G80" s="203">
        <v>7.1912743801696877E-2</v>
      </c>
      <c r="H80" s="206">
        <v>7476.7999999999947</v>
      </c>
      <c r="I80" s="206">
        <v>8034.282005006492</v>
      </c>
      <c r="J80" s="182">
        <v>7.4561577814907132E-2</v>
      </c>
    </row>
    <row r="81" spans="1:10" ht="20" customHeight="1">
      <c r="A81" s="165">
        <v>14</v>
      </c>
      <c r="B81" s="167" t="s">
        <v>94</v>
      </c>
      <c r="C81" s="184">
        <v>13.20235500685032</v>
      </c>
      <c r="D81" s="184">
        <v>9.0346050780569644</v>
      </c>
      <c r="E81" s="184">
        <v>9.1369784761254227</v>
      </c>
      <c r="F81" s="205">
        <v>-0.1023733980684582</v>
      </c>
      <c r="G81" s="204">
        <v>0.1023733980684582</v>
      </c>
      <c r="H81" s="208">
        <v>8388.4000000000015</v>
      </c>
      <c r="I81" s="208">
        <v>9292.6447220946338</v>
      </c>
      <c r="J81" s="186">
        <v>0.1077970437860179</v>
      </c>
    </row>
    <row r="82" spans="1:10" ht="24" customHeight="1">
      <c r="A82" s="304" t="s">
        <v>3039</v>
      </c>
      <c r="B82" s="282"/>
      <c r="C82" s="282"/>
      <c r="D82" s="282"/>
      <c r="E82" s="278"/>
      <c r="F82" s="210">
        <v>0.1155348888098454</v>
      </c>
    </row>
    <row r="84" spans="1:10" ht="28.05" customHeight="1">
      <c r="A84" s="303" t="s">
        <v>3040</v>
      </c>
      <c r="B84" s="282"/>
      <c r="C84" s="282"/>
      <c r="D84" s="282"/>
      <c r="E84" s="282"/>
      <c r="F84" s="282"/>
      <c r="G84" s="282"/>
      <c r="H84" s="282"/>
      <c r="I84" s="282"/>
      <c r="J84" s="278"/>
    </row>
    <row r="85" spans="1:10" ht="24" customHeight="1">
      <c r="A85" s="159" t="s">
        <v>2920</v>
      </c>
      <c r="B85" s="159" t="s">
        <v>3026</v>
      </c>
      <c r="C85" s="159" t="s">
        <v>3027</v>
      </c>
      <c r="D85" s="159" t="s">
        <v>3028</v>
      </c>
      <c r="E85" s="159" t="s">
        <v>3029</v>
      </c>
      <c r="F85" s="159" t="s">
        <v>3030</v>
      </c>
      <c r="G85" s="159" t="s">
        <v>3031</v>
      </c>
      <c r="H85" s="159" t="s">
        <v>3032</v>
      </c>
      <c r="I85" s="159" t="s">
        <v>3033</v>
      </c>
      <c r="J85" s="159" t="s">
        <v>3034</v>
      </c>
    </row>
    <row r="86" spans="1:10" ht="20" customHeight="1">
      <c r="A86" s="160">
        <v>1</v>
      </c>
      <c r="B86" s="163" t="s">
        <v>78</v>
      </c>
      <c r="C86" s="181">
        <v>12.480160230247421</v>
      </c>
      <c r="D86" s="181">
        <v>8.3514455257433156</v>
      </c>
      <c r="E86" s="181">
        <v>8.4712857125636951</v>
      </c>
      <c r="F86" s="205">
        <v>-0.1198401868203796</v>
      </c>
      <c r="G86" s="203">
        <v>0.1198401868203796</v>
      </c>
      <c r="H86" s="206">
        <v>4236.2999999999984</v>
      </c>
      <c r="I86" s="206">
        <v>4775.651639283551</v>
      </c>
      <c r="J86" s="186">
        <v>0.1273166771200229</v>
      </c>
    </row>
    <row r="87" spans="1:10" ht="20" customHeight="1">
      <c r="A87" s="165">
        <v>2</v>
      </c>
      <c r="B87" s="167" t="s">
        <v>79</v>
      </c>
      <c r="C87" s="184">
        <v>12.49405967147891</v>
      </c>
      <c r="D87" s="184">
        <v>8.3635290598718317</v>
      </c>
      <c r="E87" s="184">
        <v>8.4894518506444285</v>
      </c>
      <c r="F87" s="205">
        <v>-0.1259227907725968</v>
      </c>
      <c r="G87" s="204">
        <v>0.1259227907725968</v>
      </c>
      <c r="H87" s="208">
        <v>4287.8000000000029</v>
      </c>
      <c r="I87" s="208">
        <v>4863.1995827856808</v>
      </c>
      <c r="J87" s="186">
        <v>0.13419459461394601</v>
      </c>
    </row>
    <row r="88" spans="1:10" ht="20" customHeight="1">
      <c r="A88" s="160">
        <v>3</v>
      </c>
      <c r="B88" s="163" t="s">
        <v>80</v>
      </c>
      <c r="C88" s="181">
        <v>12.506788162439269</v>
      </c>
      <c r="D88" s="181">
        <v>8.4125213274722679</v>
      </c>
      <c r="E88" s="181">
        <v>8.5060875930814177</v>
      </c>
      <c r="F88" s="207">
        <v>-9.3566265609149823E-2</v>
      </c>
      <c r="G88" s="203">
        <v>9.3566265609149823E-2</v>
      </c>
      <c r="H88" s="206">
        <v>4503.0999999999995</v>
      </c>
      <c r="I88" s="206">
        <v>4944.7792058560462</v>
      </c>
      <c r="J88" s="182">
        <v>9.8083366093590377E-2</v>
      </c>
    </row>
    <row r="89" spans="1:10" ht="20" customHeight="1">
      <c r="A89" s="165">
        <v>4</v>
      </c>
      <c r="B89" s="167" t="s">
        <v>81</v>
      </c>
      <c r="C89" s="184">
        <v>12.522210970891731</v>
      </c>
      <c r="D89" s="184">
        <v>8.4631381922934938</v>
      </c>
      <c r="E89" s="184">
        <v>8.5262447248159887</v>
      </c>
      <c r="F89" s="207">
        <v>-6.3106532522494874E-2</v>
      </c>
      <c r="G89" s="204">
        <v>6.3106532522494874E-2</v>
      </c>
      <c r="H89" s="208">
        <v>4736.9000000000033</v>
      </c>
      <c r="I89" s="208">
        <v>5045.4631120373406</v>
      </c>
      <c r="J89" s="182">
        <v>6.514030527081785E-2</v>
      </c>
    </row>
    <row r="90" spans="1:10" ht="20" customHeight="1">
      <c r="A90" s="160">
        <v>5</v>
      </c>
      <c r="B90" s="163" t="s">
        <v>82</v>
      </c>
      <c r="C90" s="181">
        <v>12.486152141495451</v>
      </c>
      <c r="D90" s="181">
        <v>8.6038478381185168</v>
      </c>
      <c r="E90" s="181">
        <v>8.4791169545025902</v>
      </c>
      <c r="F90" s="205">
        <v>0.1247308836159267</v>
      </c>
      <c r="G90" s="203">
        <v>0.1247308836159267</v>
      </c>
      <c r="H90" s="206">
        <v>5452.5999999999995</v>
      </c>
      <c r="I90" s="206">
        <v>4813.1977471273131</v>
      </c>
      <c r="J90" s="186">
        <v>-0.11726557108034449</v>
      </c>
    </row>
    <row r="91" spans="1:10" ht="20" customHeight="1">
      <c r="A91" s="165">
        <v>6</v>
      </c>
      <c r="B91" s="167" t="s">
        <v>83</v>
      </c>
      <c r="C91" s="184">
        <v>12.502384870852829</v>
      </c>
      <c r="D91" s="184">
        <v>8.6173642651825144</v>
      </c>
      <c r="E91" s="184">
        <v>8.50033262771003</v>
      </c>
      <c r="F91" s="205">
        <v>0.1170316374724845</v>
      </c>
      <c r="G91" s="204">
        <v>0.1170316374724845</v>
      </c>
      <c r="H91" s="208">
        <v>5526.8</v>
      </c>
      <c r="I91" s="208">
        <v>4916.4039005219029</v>
      </c>
      <c r="J91" s="186">
        <v>-0.1104429506184587</v>
      </c>
    </row>
    <row r="92" spans="1:10" ht="20" customHeight="1">
      <c r="A92" s="160">
        <v>7</v>
      </c>
      <c r="B92" s="163" t="s">
        <v>84</v>
      </c>
      <c r="C92" s="181">
        <v>12.546533346214821</v>
      </c>
      <c r="D92" s="181">
        <v>8.7157653227959493</v>
      </c>
      <c r="E92" s="181">
        <v>8.5580333140989637</v>
      </c>
      <c r="F92" s="205">
        <v>0.15773200869698559</v>
      </c>
      <c r="G92" s="203">
        <v>0.15773200869698559</v>
      </c>
      <c r="H92" s="206">
        <v>6098.3000000000011</v>
      </c>
      <c r="I92" s="206">
        <v>5208.4277517020173</v>
      </c>
      <c r="J92" s="186">
        <v>-0.14592136305166739</v>
      </c>
    </row>
    <row r="93" spans="1:10" ht="20" customHeight="1">
      <c r="A93" s="165">
        <v>8</v>
      </c>
      <c r="B93" s="167" t="s">
        <v>88</v>
      </c>
      <c r="C93" s="184">
        <v>12.93187334930216</v>
      </c>
      <c r="D93" s="184">
        <v>9.0242155920891935</v>
      </c>
      <c r="E93" s="184">
        <v>9.0616607324626628</v>
      </c>
      <c r="F93" s="209">
        <v>-3.7445140373469243E-2</v>
      </c>
      <c r="G93" s="204">
        <v>3.7445140373469243E-2</v>
      </c>
      <c r="H93" s="208">
        <v>8301.7000000000025</v>
      </c>
      <c r="I93" s="208">
        <v>8618.4517181624669</v>
      </c>
      <c r="J93" s="185">
        <v>3.8155042721667157E-2</v>
      </c>
    </row>
    <row r="94" spans="1:10" ht="20" customHeight="1">
      <c r="A94" s="160">
        <v>9</v>
      </c>
      <c r="B94" s="163" t="s">
        <v>89</v>
      </c>
      <c r="C94" s="181">
        <v>12.9237246161649</v>
      </c>
      <c r="D94" s="181">
        <v>9.0278107935472285</v>
      </c>
      <c r="E94" s="181">
        <v>9.0510105912887049</v>
      </c>
      <c r="F94" s="209">
        <v>-2.3199797741476399E-2</v>
      </c>
      <c r="G94" s="203">
        <v>2.3199797741476399E-2</v>
      </c>
      <c r="H94" s="206">
        <v>8331.600000000004</v>
      </c>
      <c r="I94" s="206">
        <v>8527.1510362229437</v>
      </c>
      <c r="J94" s="185">
        <v>2.3471006316066498E-2</v>
      </c>
    </row>
    <row r="95" spans="1:10" ht="20" customHeight="1">
      <c r="A95" s="165">
        <v>10</v>
      </c>
      <c r="B95" s="167" t="s">
        <v>90</v>
      </c>
      <c r="C95" s="184">
        <v>12.91339143282819</v>
      </c>
      <c r="D95" s="184">
        <v>9.0963874919001508</v>
      </c>
      <c r="E95" s="184">
        <v>9.0375054415361546</v>
      </c>
      <c r="F95" s="207">
        <v>5.8882050363996193E-2</v>
      </c>
      <c r="G95" s="204">
        <v>5.8882050363996193E-2</v>
      </c>
      <c r="H95" s="208">
        <v>8922.9999999999945</v>
      </c>
      <c r="I95" s="208">
        <v>8412.7647252085389</v>
      </c>
      <c r="J95" s="182">
        <v>-5.7182032364838722E-2</v>
      </c>
    </row>
    <row r="96" spans="1:10" ht="20" customHeight="1">
      <c r="A96" s="160">
        <v>11</v>
      </c>
      <c r="B96" s="163" t="s">
        <v>91</v>
      </c>
      <c r="C96" s="181">
        <v>12.975022789505619</v>
      </c>
      <c r="D96" s="181">
        <v>9.1166997976046904</v>
      </c>
      <c r="E96" s="181">
        <v>9.1180557109216807</v>
      </c>
      <c r="F96" s="209">
        <v>-1.355913316990254E-3</v>
      </c>
      <c r="G96" s="203">
        <v>1.355913316990254E-3</v>
      </c>
      <c r="H96" s="206">
        <v>9106.1000000000076</v>
      </c>
      <c r="I96" s="206">
        <v>9118.4554568271178</v>
      </c>
      <c r="J96" s="185">
        <v>1.3568329830674121E-3</v>
      </c>
    </row>
    <row r="97" spans="1:10" ht="20" customHeight="1">
      <c r="A97" s="165">
        <v>12</v>
      </c>
      <c r="B97" s="167" t="s">
        <v>92</v>
      </c>
      <c r="C97" s="184">
        <v>13.011116683248829</v>
      </c>
      <c r="D97" s="184">
        <v>9.2328843364110771</v>
      </c>
      <c r="E97" s="184">
        <v>9.1652293092476995</v>
      </c>
      <c r="F97" s="207">
        <v>6.7655027163377568E-2</v>
      </c>
      <c r="G97" s="204">
        <v>6.7655027163377568E-2</v>
      </c>
      <c r="H97" s="208">
        <v>10228</v>
      </c>
      <c r="I97" s="208">
        <v>9558.9131204020705</v>
      </c>
      <c r="J97" s="182">
        <v>-6.5417176339257699E-2</v>
      </c>
    </row>
    <row r="98" spans="1:10" ht="20" customHeight="1">
      <c r="A98" s="160">
        <v>13</v>
      </c>
      <c r="B98" s="163" t="s">
        <v>93</v>
      </c>
      <c r="C98" s="181">
        <v>13.094494626221611</v>
      </c>
      <c r="D98" s="181">
        <v>9.2370601966755643</v>
      </c>
      <c r="E98" s="181">
        <v>9.2742016916409682</v>
      </c>
      <c r="F98" s="209">
        <v>-3.7141494965403872E-2</v>
      </c>
      <c r="G98" s="203">
        <v>3.7141494965403872E-2</v>
      </c>
      <c r="H98" s="206">
        <v>10270.799999999999</v>
      </c>
      <c r="I98" s="206">
        <v>10659.445629614709</v>
      </c>
      <c r="J98" s="185">
        <v>3.7839859564465797E-2</v>
      </c>
    </row>
    <row r="99" spans="1:10" ht="20" customHeight="1">
      <c r="A99" s="165">
        <v>14</v>
      </c>
      <c r="B99" s="167" t="s">
        <v>94</v>
      </c>
      <c r="C99" s="184">
        <v>13.20235500685032</v>
      </c>
      <c r="D99" s="184">
        <v>9.3907183746251164</v>
      </c>
      <c r="E99" s="184">
        <v>9.4151718598159277</v>
      </c>
      <c r="F99" s="209">
        <v>-2.445348519081136E-2</v>
      </c>
      <c r="G99" s="204">
        <v>2.445348519081136E-2</v>
      </c>
      <c r="H99" s="208">
        <v>11976.69999999999</v>
      </c>
      <c r="I99" s="208">
        <v>12273.18229490349</v>
      </c>
      <c r="J99" s="185">
        <v>2.4754923718845669E-2</v>
      </c>
    </row>
    <row r="100" spans="1:10" ht="24" customHeight="1">
      <c r="A100" s="304" t="s">
        <v>3041</v>
      </c>
      <c r="B100" s="282"/>
      <c r="C100" s="282"/>
      <c r="D100" s="282"/>
      <c r="E100" s="278"/>
      <c r="F100" s="210">
        <v>7.5147372473253052E-2</v>
      </c>
    </row>
    <row r="102" spans="1:10" ht="28.05" customHeight="1">
      <c r="A102" s="303" t="s">
        <v>3042</v>
      </c>
      <c r="B102" s="282"/>
      <c r="C102" s="282"/>
      <c r="D102" s="282"/>
      <c r="E102" s="282"/>
      <c r="F102" s="282"/>
      <c r="G102" s="282"/>
      <c r="H102" s="282"/>
      <c r="I102" s="282"/>
      <c r="J102" s="278"/>
    </row>
    <row r="103" spans="1:10" ht="24" customHeight="1">
      <c r="A103" s="159" t="s">
        <v>2920</v>
      </c>
      <c r="B103" s="159" t="s">
        <v>3026</v>
      </c>
      <c r="C103" s="159" t="s">
        <v>3027</v>
      </c>
      <c r="D103" s="159" t="s">
        <v>3028</v>
      </c>
      <c r="E103" s="159" t="s">
        <v>3029</v>
      </c>
      <c r="F103" s="159" t="s">
        <v>3030</v>
      </c>
      <c r="G103" s="159" t="s">
        <v>3031</v>
      </c>
      <c r="H103" s="159" t="s">
        <v>3032</v>
      </c>
      <c r="I103" s="159" t="s">
        <v>3033</v>
      </c>
      <c r="J103" s="159" t="s">
        <v>3034</v>
      </c>
    </row>
    <row r="104" spans="1:10" ht="20" customHeight="1">
      <c r="A104" s="160">
        <v>1</v>
      </c>
      <c r="B104" s="163" t="s">
        <v>78</v>
      </c>
      <c r="C104" s="181">
        <v>12.480160230247421</v>
      </c>
      <c r="D104" s="181">
        <v>7.9929783305312307</v>
      </c>
      <c r="E104" s="181">
        <v>8.1876100075369784</v>
      </c>
      <c r="F104" s="205">
        <v>-0.19463167700574771</v>
      </c>
      <c r="G104" s="203">
        <v>0.19463167700574771</v>
      </c>
      <c r="H104" s="206">
        <v>2960.1</v>
      </c>
      <c r="I104" s="206">
        <v>3596.1172744681649</v>
      </c>
      <c r="J104" s="186">
        <v>0.21486344193377421</v>
      </c>
    </row>
    <row r="105" spans="1:10" ht="20" customHeight="1">
      <c r="A105" s="165">
        <v>2</v>
      </c>
      <c r="B105" s="167" t="s">
        <v>79</v>
      </c>
      <c r="C105" s="184">
        <v>12.49405967147891</v>
      </c>
      <c r="D105" s="184">
        <v>8.0824949280377982</v>
      </c>
      <c r="E105" s="184">
        <v>8.2054751277475155</v>
      </c>
      <c r="F105" s="205">
        <v>-0.1229801997097173</v>
      </c>
      <c r="G105" s="204">
        <v>0.1229801997097173</v>
      </c>
      <c r="H105" s="208">
        <v>3237.300000000002</v>
      </c>
      <c r="I105" s="208">
        <v>3660.9396475479371</v>
      </c>
      <c r="J105" s="186">
        <v>0.13086202932935931</v>
      </c>
    </row>
    <row r="106" spans="1:10" ht="20" customHeight="1">
      <c r="A106" s="160">
        <v>3</v>
      </c>
      <c r="B106" s="163" t="s">
        <v>80</v>
      </c>
      <c r="C106" s="181">
        <v>12.506788162439269</v>
      </c>
      <c r="D106" s="181">
        <v>8.1753224088332264</v>
      </c>
      <c r="E106" s="181">
        <v>8.2218352113881643</v>
      </c>
      <c r="F106" s="209">
        <v>-4.6512802554937949E-2</v>
      </c>
      <c r="G106" s="203">
        <v>4.6512802554937949E-2</v>
      </c>
      <c r="H106" s="206">
        <v>3552.2</v>
      </c>
      <c r="I106" s="206">
        <v>3721.3255386369251</v>
      </c>
      <c r="J106" s="185">
        <v>4.7611491086347851E-2</v>
      </c>
    </row>
    <row r="107" spans="1:10" ht="20" customHeight="1">
      <c r="A107" s="165">
        <v>4</v>
      </c>
      <c r="B107" s="167" t="s">
        <v>81</v>
      </c>
      <c r="C107" s="184">
        <v>12.522210970891731</v>
      </c>
      <c r="D107" s="184">
        <v>8.1760540818643204</v>
      </c>
      <c r="E107" s="184">
        <v>8.2416583339438425</v>
      </c>
      <c r="F107" s="207">
        <v>-6.5604252079522141E-2</v>
      </c>
      <c r="G107" s="204">
        <v>6.5604252079522141E-2</v>
      </c>
      <c r="H107" s="208">
        <v>3554.8000000000011</v>
      </c>
      <c r="I107" s="208">
        <v>3795.8298451301271</v>
      </c>
      <c r="J107" s="182">
        <v>6.7804052303962511E-2</v>
      </c>
    </row>
    <row r="108" spans="1:10" ht="20" customHeight="1">
      <c r="A108" s="160">
        <v>5</v>
      </c>
      <c r="B108" s="163" t="s">
        <v>82</v>
      </c>
      <c r="C108" s="181">
        <v>12.486152141495451</v>
      </c>
      <c r="D108" s="181">
        <v>8.3422920352257659</v>
      </c>
      <c r="E108" s="181">
        <v>8.1953114836577932</v>
      </c>
      <c r="F108" s="205">
        <v>0.14698055156797271</v>
      </c>
      <c r="G108" s="203">
        <v>0.14698055156797271</v>
      </c>
      <c r="H108" s="206">
        <v>4197.699999999998</v>
      </c>
      <c r="I108" s="206">
        <v>3623.9196078692949</v>
      </c>
      <c r="J108" s="186">
        <v>-0.13668923270617331</v>
      </c>
    </row>
    <row r="109" spans="1:10" ht="20" customHeight="1">
      <c r="A109" s="165">
        <v>6</v>
      </c>
      <c r="B109" s="167" t="s">
        <v>83</v>
      </c>
      <c r="C109" s="184">
        <v>12.502384870852829</v>
      </c>
      <c r="D109" s="184">
        <v>8.379676726069464</v>
      </c>
      <c r="E109" s="184">
        <v>8.2161756073649883</v>
      </c>
      <c r="F109" s="205">
        <v>0.1635011187044757</v>
      </c>
      <c r="G109" s="204">
        <v>0.1635011187044757</v>
      </c>
      <c r="H109" s="208">
        <v>4357.5999999999967</v>
      </c>
      <c r="I109" s="208">
        <v>3700.323796478192</v>
      </c>
      <c r="J109" s="186">
        <v>-0.15083445096424769</v>
      </c>
    </row>
    <row r="110" spans="1:10" ht="20" customHeight="1">
      <c r="A110" s="160">
        <v>7</v>
      </c>
      <c r="B110" s="163" t="s">
        <v>84</v>
      </c>
      <c r="C110" s="181">
        <v>12.546533346214821</v>
      </c>
      <c r="D110" s="181">
        <v>8.3999175270252824</v>
      </c>
      <c r="E110" s="181">
        <v>8.2729201776191381</v>
      </c>
      <c r="F110" s="205">
        <v>0.12699734940614429</v>
      </c>
      <c r="G110" s="203">
        <v>0.12699734940614429</v>
      </c>
      <c r="H110" s="206">
        <v>4446.7</v>
      </c>
      <c r="I110" s="206">
        <v>3916.3688026271061</v>
      </c>
      <c r="J110" s="186">
        <v>-0.119263992932488</v>
      </c>
    </row>
    <row r="111" spans="1:10" ht="20" customHeight="1">
      <c r="A111" s="165">
        <v>8</v>
      </c>
      <c r="B111" s="167" t="s">
        <v>88</v>
      </c>
      <c r="C111" s="184">
        <v>12.93187334930216</v>
      </c>
      <c r="D111" s="184">
        <v>8.7415999445549719</v>
      </c>
      <c r="E111" s="184">
        <v>8.768202352091464</v>
      </c>
      <c r="F111" s="209">
        <v>-2.660240753649212E-2</v>
      </c>
      <c r="G111" s="204">
        <v>2.660240753649212E-2</v>
      </c>
      <c r="H111" s="208">
        <v>6257.8999999999978</v>
      </c>
      <c r="I111" s="208">
        <v>6426.6092934668704</v>
      </c>
      <c r="J111" s="185">
        <v>2.6959410260130681E-2</v>
      </c>
    </row>
    <row r="112" spans="1:10" ht="20" customHeight="1">
      <c r="A112" s="160">
        <v>9</v>
      </c>
      <c r="B112" s="163" t="s">
        <v>89</v>
      </c>
      <c r="C112" s="181">
        <v>12.9237246161649</v>
      </c>
      <c r="D112" s="181">
        <v>8.7439302782405779</v>
      </c>
      <c r="E112" s="181">
        <v>8.7577286866659101</v>
      </c>
      <c r="F112" s="209">
        <v>-1.37984084253322E-2</v>
      </c>
      <c r="G112" s="203">
        <v>1.37984084253322E-2</v>
      </c>
      <c r="H112" s="206">
        <v>6272.5000000000036</v>
      </c>
      <c r="I112" s="206">
        <v>6359.6504025185977</v>
      </c>
      <c r="J112" s="185">
        <v>1.38940458379584E-2</v>
      </c>
    </row>
    <row r="113" spans="1:10" ht="20" customHeight="1">
      <c r="A113" s="165">
        <v>10</v>
      </c>
      <c r="B113" s="167" t="s">
        <v>90</v>
      </c>
      <c r="C113" s="184">
        <v>12.91339143282819</v>
      </c>
      <c r="D113" s="184">
        <v>8.7455869363125753</v>
      </c>
      <c r="E113" s="184">
        <v>8.7444473209337801</v>
      </c>
      <c r="F113" s="209">
        <v>1.1396153787952561E-3</v>
      </c>
      <c r="G113" s="204">
        <v>1.1396153787952561E-3</v>
      </c>
      <c r="H113" s="208">
        <v>6282.9000000000005</v>
      </c>
      <c r="I113" s="208">
        <v>6275.7439888612143</v>
      </c>
      <c r="J113" s="185">
        <v>-1.1389662637933289E-3</v>
      </c>
    </row>
    <row r="114" spans="1:10" ht="20" customHeight="1">
      <c r="A114" s="160">
        <v>11</v>
      </c>
      <c r="B114" s="163" t="s">
        <v>91</v>
      </c>
      <c r="C114" s="181">
        <v>12.975022789505619</v>
      </c>
      <c r="D114" s="181">
        <v>8.7976391462033909</v>
      </c>
      <c r="E114" s="181">
        <v>8.8236628503527612</v>
      </c>
      <c r="F114" s="209">
        <v>-2.6023704149370271E-2</v>
      </c>
      <c r="G114" s="203">
        <v>2.6023704149370271E-2</v>
      </c>
      <c r="H114" s="206">
        <v>6618.5999999999995</v>
      </c>
      <c r="I114" s="206">
        <v>6793.1012243439709</v>
      </c>
      <c r="J114" s="185">
        <v>2.636527730093546E-2</v>
      </c>
    </row>
    <row r="115" spans="1:10" ht="20" customHeight="1">
      <c r="A115" s="165">
        <v>12</v>
      </c>
      <c r="B115" s="167" t="s">
        <v>92</v>
      </c>
      <c r="C115" s="184">
        <v>13.011116683248829</v>
      </c>
      <c r="D115" s="184">
        <v>8.9532263010908189</v>
      </c>
      <c r="E115" s="184">
        <v>8.8700547692687444</v>
      </c>
      <c r="F115" s="207">
        <v>8.3171531822074485E-2</v>
      </c>
      <c r="G115" s="204">
        <v>8.3171531822074485E-2</v>
      </c>
      <c r="H115" s="208">
        <v>7732.7999999999938</v>
      </c>
      <c r="I115" s="208">
        <v>7115.6706825775454</v>
      </c>
      <c r="J115" s="182">
        <v>-7.9806708750058158E-2</v>
      </c>
    </row>
    <row r="116" spans="1:10" ht="20" customHeight="1">
      <c r="A116" s="160">
        <v>13</v>
      </c>
      <c r="B116" s="163" t="s">
        <v>93</v>
      </c>
      <c r="C116" s="181">
        <v>13.094494626221611</v>
      </c>
      <c r="D116" s="181">
        <v>8.9991130396723076</v>
      </c>
      <c r="E116" s="181">
        <v>8.9772214495192451</v>
      </c>
      <c r="F116" s="209">
        <v>2.189159015306252E-2</v>
      </c>
      <c r="G116" s="203">
        <v>2.189159015306252E-2</v>
      </c>
      <c r="H116" s="206">
        <v>8095.900000000006</v>
      </c>
      <c r="I116" s="206">
        <v>7920.5937427639255</v>
      </c>
      <c r="J116" s="185">
        <v>-2.1653708325952679E-2</v>
      </c>
    </row>
    <row r="117" spans="1:10" ht="20" customHeight="1">
      <c r="A117" s="165">
        <v>14</v>
      </c>
      <c r="B117" s="167" t="s">
        <v>94</v>
      </c>
      <c r="C117" s="184">
        <v>13.20235500685032</v>
      </c>
      <c r="D117" s="184">
        <v>9.0683273979292114</v>
      </c>
      <c r="E117" s="184">
        <v>9.1158557035006318</v>
      </c>
      <c r="F117" s="209">
        <v>-4.7528305571420397E-2</v>
      </c>
      <c r="G117" s="204">
        <v>4.7528305571420397E-2</v>
      </c>
      <c r="H117" s="208">
        <v>8676.1000000000022</v>
      </c>
      <c r="I117" s="208">
        <v>9098.4168377911847</v>
      </c>
      <c r="J117" s="185">
        <v>4.8675884071320327E-2</v>
      </c>
    </row>
    <row r="118" spans="1:10" ht="24" customHeight="1">
      <c r="A118" s="304" t="s">
        <v>3043</v>
      </c>
      <c r="B118" s="282"/>
      <c r="C118" s="282"/>
      <c r="D118" s="282"/>
      <c r="E118" s="278"/>
      <c r="F118" s="210">
        <v>7.7668822433218931E-2</v>
      </c>
    </row>
    <row r="120" spans="1:10" ht="28.05" customHeight="1">
      <c r="A120" s="303" t="s">
        <v>3044</v>
      </c>
      <c r="B120" s="282"/>
      <c r="C120" s="282"/>
      <c r="D120" s="282"/>
      <c r="E120" s="282"/>
      <c r="F120" s="282"/>
      <c r="G120" s="282"/>
      <c r="H120" s="282"/>
      <c r="I120" s="282"/>
      <c r="J120" s="278"/>
    </row>
    <row r="121" spans="1:10" ht="24" customHeight="1">
      <c r="A121" s="159" t="s">
        <v>2920</v>
      </c>
      <c r="B121" s="159" t="s">
        <v>3026</v>
      </c>
      <c r="C121" s="159" t="s">
        <v>3027</v>
      </c>
      <c r="D121" s="159" t="s">
        <v>3028</v>
      </c>
      <c r="E121" s="159" t="s">
        <v>3029</v>
      </c>
      <c r="F121" s="159" t="s">
        <v>3030</v>
      </c>
      <c r="G121" s="159" t="s">
        <v>3031</v>
      </c>
      <c r="H121" s="159" t="s">
        <v>3032</v>
      </c>
      <c r="I121" s="159" t="s">
        <v>3033</v>
      </c>
      <c r="J121" s="159" t="s">
        <v>3034</v>
      </c>
    </row>
    <row r="122" spans="1:10" ht="20" customHeight="1">
      <c r="A122" s="160">
        <v>1</v>
      </c>
      <c r="B122" s="163" t="s">
        <v>78</v>
      </c>
      <c r="C122" s="181">
        <v>12.480160230247421</v>
      </c>
      <c r="D122" s="181">
        <v>7.9437826924586252</v>
      </c>
      <c r="E122" s="181">
        <v>8.0404435252534761</v>
      </c>
      <c r="F122" s="207">
        <v>-9.6660832794850826E-2</v>
      </c>
      <c r="G122" s="203">
        <v>9.6660832794850826E-2</v>
      </c>
      <c r="H122" s="206">
        <v>2817.9999999999991</v>
      </c>
      <c r="I122" s="206">
        <v>3103.9895828394178</v>
      </c>
      <c r="J122" s="182">
        <v>0.1014867220863802</v>
      </c>
    </row>
    <row r="123" spans="1:10" ht="20" customHeight="1">
      <c r="A123" s="165">
        <v>2</v>
      </c>
      <c r="B123" s="167" t="s">
        <v>79</v>
      </c>
      <c r="C123" s="184">
        <v>12.49405967147891</v>
      </c>
      <c r="D123" s="184">
        <v>7.9506081747240058</v>
      </c>
      <c r="E123" s="184">
        <v>8.0581897248383569</v>
      </c>
      <c r="F123" s="205">
        <v>-0.1075815501143511</v>
      </c>
      <c r="G123" s="204">
        <v>0.1075815501143511</v>
      </c>
      <c r="H123" s="208">
        <v>2837.3000000000011</v>
      </c>
      <c r="I123" s="208">
        <v>3159.565271599412</v>
      </c>
      <c r="J123" s="186">
        <v>0.1135816697562511</v>
      </c>
    </row>
    <row r="124" spans="1:10" ht="20" customHeight="1">
      <c r="A124" s="160">
        <v>3</v>
      </c>
      <c r="B124" s="163" t="s">
        <v>80</v>
      </c>
      <c r="C124" s="181">
        <v>12.506788162439269</v>
      </c>
      <c r="D124" s="181">
        <v>8.0019243779528715</v>
      </c>
      <c r="E124" s="181">
        <v>8.0744409062516844</v>
      </c>
      <c r="F124" s="207">
        <v>-7.2516528298812943E-2</v>
      </c>
      <c r="G124" s="203">
        <v>7.2516528298812943E-2</v>
      </c>
      <c r="H124" s="206">
        <v>2986.6999999999989</v>
      </c>
      <c r="I124" s="206">
        <v>3211.3314313563092</v>
      </c>
      <c r="J124" s="182">
        <v>7.521057734499946E-2</v>
      </c>
    </row>
    <row r="125" spans="1:10" ht="20" customHeight="1">
      <c r="A125" s="165">
        <v>4</v>
      </c>
      <c r="B125" s="167" t="s">
        <v>81</v>
      </c>
      <c r="C125" s="184">
        <v>12.522210970891731</v>
      </c>
      <c r="D125" s="184">
        <v>8.0039312689498967</v>
      </c>
      <c r="E125" s="184">
        <v>8.09413207457985</v>
      </c>
      <c r="F125" s="207">
        <v>-9.0200805629953251E-2</v>
      </c>
      <c r="G125" s="204">
        <v>9.0200805629953251E-2</v>
      </c>
      <c r="H125" s="208">
        <v>2992.6999999999989</v>
      </c>
      <c r="I125" s="208">
        <v>3275.1929900079381</v>
      </c>
      <c r="J125" s="182">
        <v>9.4394022123145765E-2</v>
      </c>
    </row>
    <row r="126" spans="1:10" ht="20" customHeight="1">
      <c r="A126" s="160">
        <v>5</v>
      </c>
      <c r="B126" s="163" t="s">
        <v>82</v>
      </c>
      <c r="C126" s="181">
        <v>12.486152141495451</v>
      </c>
      <c r="D126" s="181">
        <v>8.1709493679661911</v>
      </c>
      <c r="E126" s="181">
        <v>8.0480937358721292</v>
      </c>
      <c r="F126" s="205">
        <v>0.1228556320940619</v>
      </c>
      <c r="G126" s="203">
        <v>0.1228556320940619</v>
      </c>
      <c r="H126" s="206">
        <v>3536.699999999998</v>
      </c>
      <c r="I126" s="206">
        <v>3127.826820593421</v>
      </c>
      <c r="J126" s="186">
        <v>-0.1156086689305221</v>
      </c>
    </row>
    <row r="127" spans="1:10" ht="20" customHeight="1">
      <c r="A127" s="165">
        <v>6</v>
      </c>
      <c r="B127" s="167" t="s">
        <v>83</v>
      </c>
      <c r="C127" s="184">
        <v>12.502384870852829</v>
      </c>
      <c r="D127" s="184">
        <v>8.1739138388620471</v>
      </c>
      <c r="E127" s="184">
        <v>8.0688189758429836</v>
      </c>
      <c r="F127" s="205">
        <v>0.10509486301906359</v>
      </c>
      <c r="G127" s="204">
        <v>0.10509486301906359</v>
      </c>
      <c r="H127" s="208">
        <v>3547.2</v>
      </c>
      <c r="I127" s="208">
        <v>3193.328203394944</v>
      </c>
      <c r="J127" s="186">
        <v>-9.9760880865205168E-2</v>
      </c>
    </row>
    <row r="128" spans="1:10" ht="20" customHeight="1">
      <c r="A128" s="160">
        <v>7</v>
      </c>
      <c r="B128" s="163" t="s">
        <v>84</v>
      </c>
      <c r="C128" s="181">
        <v>12.546533346214821</v>
      </c>
      <c r="D128" s="181">
        <v>8.2586555959029244</v>
      </c>
      <c r="E128" s="181">
        <v>8.125185821250188</v>
      </c>
      <c r="F128" s="205">
        <v>0.13346977465273649</v>
      </c>
      <c r="G128" s="203">
        <v>0.13346977465273649</v>
      </c>
      <c r="H128" s="206">
        <v>3860.8999999999978</v>
      </c>
      <c r="I128" s="206">
        <v>3378.4956696372892</v>
      </c>
      <c r="J128" s="186">
        <v>-0.1249460826135641</v>
      </c>
    </row>
    <row r="129" spans="1:10" ht="20" customHeight="1">
      <c r="A129" s="165">
        <v>8</v>
      </c>
      <c r="B129" s="167" t="s">
        <v>88</v>
      </c>
      <c r="C129" s="184">
        <v>12.93187334930216</v>
      </c>
      <c r="D129" s="184">
        <v>8.590257762273243</v>
      </c>
      <c r="E129" s="184">
        <v>8.6171711096467085</v>
      </c>
      <c r="F129" s="209">
        <v>-2.6913347373465509E-2</v>
      </c>
      <c r="G129" s="204">
        <v>2.6913347373465509E-2</v>
      </c>
      <c r="H129" s="208">
        <v>5379.0000000000027</v>
      </c>
      <c r="I129" s="208">
        <v>5525.7325710779287</v>
      </c>
      <c r="J129" s="185">
        <v>2.727878250193826E-2</v>
      </c>
    </row>
    <row r="130" spans="1:10" ht="20" customHeight="1">
      <c r="A130" s="160">
        <v>9</v>
      </c>
      <c r="B130" s="163" t="s">
        <v>89</v>
      </c>
      <c r="C130" s="181">
        <v>12.9237246161649</v>
      </c>
      <c r="D130" s="181">
        <v>8.6309146567179358</v>
      </c>
      <c r="E130" s="181">
        <v>8.606767163026884</v>
      </c>
      <c r="F130" s="209">
        <v>2.4147493691051739E-2</v>
      </c>
      <c r="G130" s="203">
        <v>2.4147493691051739E-2</v>
      </c>
      <c r="H130" s="206">
        <v>5602.2000000000025</v>
      </c>
      <c r="I130" s="206">
        <v>5468.5411683988568</v>
      </c>
      <c r="J130" s="185">
        <v>-2.3858275606216589E-2</v>
      </c>
    </row>
    <row r="131" spans="1:10" ht="20" customHeight="1">
      <c r="A131" s="165">
        <v>10</v>
      </c>
      <c r="B131" s="167" t="s">
        <v>90</v>
      </c>
      <c r="C131" s="184">
        <v>12.91339143282819</v>
      </c>
      <c r="D131" s="184">
        <v>8.6334995818128881</v>
      </c>
      <c r="E131" s="184">
        <v>8.5935742057859272</v>
      </c>
      <c r="F131" s="209">
        <v>3.992537602696089E-2</v>
      </c>
      <c r="G131" s="204">
        <v>3.992537602696089E-2</v>
      </c>
      <c r="H131" s="208">
        <v>5616.6999999999971</v>
      </c>
      <c r="I131" s="208">
        <v>5396.8687636494669</v>
      </c>
      <c r="J131" s="185">
        <v>-3.9138860247214607E-2</v>
      </c>
    </row>
    <row r="132" spans="1:10" ht="20" customHeight="1">
      <c r="A132" s="160">
        <v>11</v>
      </c>
      <c r="B132" s="163" t="s">
        <v>91</v>
      </c>
      <c r="C132" s="181">
        <v>12.975022789505619</v>
      </c>
      <c r="D132" s="181">
        <v>8.6365749484363175</v>
      </c>
      <c r="E132" s="181">
        <v>8.6722624305907097</v>
      </c>
      <c r="F132" s="209">
        <v>-3.5687482154392207E-2</v>
      </c>
      <c r="G132" s="203">
        <v>3.5687482154392207E-2</v>
      </c>
      <c r="H132" s="206">
        <v>5633.9999999999973</v>
      </c>
      <c r="I132" s="206">
        <v>5838.694057886978</v>
      </c>
      <c r="J132" s="185">
        <v>3.6331923657611093E-2</v>
      </c>
    </row>
    <row r="133" spans="1:10" ht="20" customHeight="1">
      <c r="A133" s="165">
        <v>12</v>
      </c>
      <c r="B133" s="167" t="s">
        <v>92</v>
      </c>
      <c r="C133" s="184">
        <v>13.011116683248829</v>
      </c>
      <c r="D133" s="184">
        <v>8.7440418702602702</v>
      </c>
      <c r="E133" s="184">
        <v>8.7183455379253623</v>
      </c>
      <c r="F133" s="209">
        <v>2.5696332334907979E-2</v>
      </c>
      <c r="G133" s="204">
        <v>2.5696332334907979E-2</v>
      </c>
      <c r="H133" s="208">
        <v>6273.2000000000044</v>
      </c>
      <c r="I133" s="208">
        <v>6114.0552431411706</v>
      </c>
      <c r="J133" s="185">
        <v>-2.5368991401331639E-2</v>
      </c>
    </row>
    <row r="134" spans="1:10" ht="20" customHeight="1">
      <c r="A134" s="160">
        <v>13</v>
      </c>
      <c r="B134" s="163" t="s">
        <v>93</v>
      </c>
      <c r="C134" s="181">
        <v>13.094494626221611</v>
      </c>
      <c r="D134" s="181">
        <v>8.8333752533379197</v>
      </c>
      <c r="E134" s="181">
        <v>8.8247988544528795</v>
      </c>
      <c r="F134" s="209">
        <v>8.5763988850402484E-3</v>
      </c>
      <c r="G134" s="203">
        <v>8.5763988850402484E-3</v>
      </c>
      <c r="H134" s="206">
        <v>6859.4000000000005</v>
      </c>
      <c r="I134" s="206">
        <v>6800.8226001142384</v>
      </c>
      <c r="J134" s="185">
        <v>-8.5397264900373398E-3</v>
      </c>
    </row>
    <row r="135" spans="1:10" ht="20" customHeight="1">
      <c r="A135" s="165">
        <v>14</v>
      </c>
      <c r="B135" s="167" t="s">
        <v>94</v>
      </c>
      <c r="C135" s="184">
        <v>13.20235500685032</v>
      </c>
      <c r="D135" s="184">
        <v>8.9323049539095027</v>
      </c>
      <c r="E135" s="184">
        <v>8.9625102782474784</v>
      </c>
      <c r="F135" s="209">
        <v>-3.0205324337975629E-2</v>
      </c>
      <c r="G135" s="204">
        <v>3.0205324337975629E-2</v>
      </c>
      <c r="H135" s="208">
        <v>7572.7000000000053</v>
      </c>
      <c r="I135" s="208">
        <v>7804.9254259067347</v>
      </c>
      <c r="J135" s="185">
        <v>3.0666133070995721E-2</v>
      </c>
    </row>
    <row r="136" spans="1:10" ht="24" customHeight="1">
      <c r="A136" s="304" t="s">
        <v>3045</v>
      </c>
      <c r="B136" s="282"/>
      <c r="C136" s="282"/>
      <c r="D136" s="282"/>
      <c r="E136" s="278"/>
      <c r="F136" s="210">
        <v>6.5680838671973163E-2</v>
      </c>
    </row>
    <row r="138" spans="1:10" ht="28.05" customHeight="1">
      <c r="A138" s="303" t="s">
        <v>3046</v>
      </c>
      <c r="B138" s="282"/>
      <c r="C138" s="282"/>
      <c r="D138" s="282"/>
      <c r="E138" s="282"/>
      <c r="F138" s="282"/>
      <c r="G138" s="282"/>
      <c r="H138" s="282"/>
      <c r="I138" s="282"/>
      <c r="J138" s="278"/>
    </row>
    <row r="139" spans="1:10" ht="24" customHeight="1">
      <c r="A139" s="159" t="s">
        <v>2920</v>
      </c>
      <c r="B139" s="159" t="s">
        <v>3026</v>
      </c>
      <c r="C139" s="159" t="s">
        <v>3027</v>
      </c>
      <c r="D139" s="159" t="s">
        <v>3028</v>
      </c>
      <c r="E139" s="159" t="s">
        <v>3029</v>
      </c>
      <c r="F139" s="159" t="s">
        <v>3030</v>
      </c>
      <c r="G139" s="159" t="s">
        <v>3031</v>
      </c>
      <c r="H139" s="159" t="s">
        <v>3032</v>
      </c>
      <c r="I139" s="159" t="s">
        <v>3033</v>
      </c>
      <c r="J139" s="159" t="s">
        <v>3034</v>
      </c>
    </row>
    <row r="140" spans="1:10" ht="20" customHeight="1">
      <c r="A140" s="160">
        <v>1</v>
      </c>
      <c r="B140" s="163" t="s">
        <v>78</v>
      </c>
      <c r="C140" s="181">
        <v>12.480160230247421</v>
      </c>
      <c r="D140" s="181">
        <v>7.8248057222025338</v>
      </c>
      <c r="E140" s="181">
        <v>7.9671869295704409</v>
      </c>
      <c r="F140" s="205">
        <v>-0.14238120736790719</v>
      </c>
      <c r="G140" s="203">
        <v>0.14238120736790719</v>
      </c>
      <c r="H140" s="206">
        <v>2501.8999999999992</v>
      </c>
      <c r="I140" s="206">
        <v>2884.7309881052652</v>
      </c>
      <c r="J140" s="186">
        <v>0.15301610300382351</v>
      </c>
    </row>
    <row r="141" spans="1:10" ht="20" customHeight="1">
      <c r="A141" s="165">
        <v>2</v>
      </c>
      <c r="B141" s="167" t="s">
        <v>79</v>
      </c>
      <c r="C141" s="184">
        <v>12.49405967147891</v>
      </c>
      <c r="D141" s="184">
        <v>7.8803885363943253</v>
      </c>
      <c r="E141" s="184">
        <v>7.984067762614079</v>
      </c>
      <c r="F141" s="205">
        <v>-0.1036792262197537</v>
      </c>
      <c r="G141" s="204">
        <v>0.1036792262197537</v>
      </c>
      <c r="H141" s="208">
        <v>2644.9</v>
      </c>
      <c r="I141" s="208">
        <v>2933.8409929841382</v>
      </c>
      <c r="J141" s="186">
        <v>0.10924458126361609</v>
      </c>
    </row>
    <row r="142" spans="1:10" ht="20" customHeight="1">
      <c r="A142" s="160">
        <v>3</v>
      </c>
      <c r="B142" s="163" t="s">
        <v>80</v>
      </c>
      <c r="C142" s="181">
        <v>12.506788162439269</v>
      </c>
      <c r="D142" s="181">
        <v>7.9231308757464456</v>
      </c>
      <c r="E142" s="181">
        <v>7.9995264797826797</v>
      </c>
      <c r="F142" s="207">
        <v>-7.6395604036233244E-2</v>
      </c>
      <c r="G142" s="203">
        <v>7.6395604036233244E-2</v>
      </c>
      <c r="H142" s="206">
        <v>2760.3999999999992</v>
      </c>
      <c r="I142" s="206">
        <v>2979.5467773124192</v>
      </c>
      <c r="J142" s="182">
        <v>7.9389500547898881E-2</v>
      </c>
    </row>
    <row r="143" spans="1:10" ht="20" customHeight="1">
      <c r="A143" s="165">
        <v>4</v>
      </c>
      <c r="B143" s="167" t="s">
        <v>81</v>
      </c>
      <c r="C143" s="184">
        <v>12.522210970891731</v>
      </c>
      <c r="D143" s="184">
        <v>7.9283339515111466</v>
      </c>
      <c r="E143" s="184">
        <v>8.0182574381150289</v>
      </c>
      <c r="F143" s="207">
        <v>-8.9923486603882274E-2</v>
      </c>
      <c r="G143" s="204">
        <v>8.9923486603882274E-2</v>
      </c>
      <c r="H143" s="208">
        <v>2774.8000000000011</v>
      </c>
      <c r="I143" s="208">
        <v>3035.8825078576178</v>
      </c>
      <c r="J143" s="182">
        <v>9.4090567917549772E-2</v>
      </c>
    </row>
    <row r="144" spans="1:10" ht="20" customHeight="1">
      <c r="A144" s="160">
        <v>5</v>
      </c>
      <c r="B144" s="163" t="s">
        <v>82</v>
      </c>
      <c r="C144" s="181">
        <v>12.486152141495451</v>
      </c>
      <c r="D144" s="181">
        <v>8.1375712532655911</v>
      </c>
      <c r="E144" s="181">
        <v>7.9744640892566307</v>
      </c>
      <c r="F144" s="205">
        <v>0.1631071640089603</v>
      </c>
      <c r="G144" s="203">
        <v>0.1631071640089603</v>
      </c>
      <c r="H144" s="206">
        <v>3420.599999999999</v>
      </c>
      <c r="I144" s="206">
        <v>2905.8002052058368</v>
      </c>
      <c r="J144" s="186">
        <v>-0.1504998523049062</v>
      </c>
    </row>
    <row r="145" spans="1:10" ht="20" customHeight="1">
      <c r="A145" s="165">
        <v>6</v>
      </c>
      <c r="B145" s="167" t="s">
        <v>83</v>
      </c>
      <c r="C145" s="184">
        <v>12.502384870852829</v>
      </c>
      <c r="D145" s="184">
        <v>8.1736600854244408</v>
      </c>
      <c r="E145" s="184">
        <v>7.9941786942943969</v>
      </c>
      <c r="F145" s="205">
        <v>0.17948139113004391</v>
      </c>
      <c r="G145" s="204">
        <v>0.17948139113004391</v>
      </c>
      <c r="H145" s="208">
        <v>3546.2999999999988</v>
      </c>
      <c r="I145" s="208">
        <v>2963.6553301932149</v>
      </c>
      <c r="J145" s="186">
        <v>-0.16429649770374319</v>
      </c>
    </row>
    <row r="146" spans="1:10" ht="20" customHeight="1">
      <c r="A146" s="160">
        <v>7</v>
      </c>
      <c r="B146" s="163" t="s">
        <v>84</v>
      </c>
      <c r="C146" s="181">
        <v>12.546533346214821</v>
      </c>
      <c r="D146" s="181">
        <v>8.1463903455700741</v>
      </c>
      <c r="E146" s="181">
        <v>8.0477968958684478</v>
      </c>
      <c r="F146" s="207">
        <v>9.8593449701626312E-2</v>
      </c>
      <c r="G146" s="203">
        <v>9.8593449701626312E-2</v>
      </c>
      <c r="H146" s="206">
        <v>3450.8999999999992</v>
      </c>
      <c r="I146" s="206">
        <v>3126.8984942574939</v>
      </c>
      <c r="J146" s="182">
        <v>-9.388898714610823E-2</v>
      </c>
    </row>
    <row r="147" spans="1:10" ht="20" customHeight="1">
      <c r="A147" s="165">
        <v>8</v>
      </c>
      <c r="B147" s="167" t="s">
        <v>88</v>
      </c>
      <c r="C147" s="184">
        <v>12.93187334930216</v>
      </c>
      <c r="D147" s="184">
        <v>8.3999849905106956</v>
      </c>
      <c r="E147" s="184">
        <v>8.5157912669237099</v>
      </c>
      <c r="F147" s="205">
        <v>-0.1158062764130143</v>
      </c>
      <c r="G147" s="204">
        <v>0.1158062764130143</v>
      </c>
      <c r="H147" s="208">
        <v>4446.9999999999964</v>
      </c>
      <c r="I147" s="208">
        <v>4992.9952887227646</v>
      </c>
      <c r="J147" s="186">
        <v>0.1227783424157339</v>
      </c>
    </row>
    <row r="148" spans="1:10" ht="20" customHeight="1">
      <c r="A148" s="160">
        <v>9</v>
      </c>
      <c r="B148" s="163" t="s">
        <v>89</v>
      </c>
      <c r="C148" s="181">
        <v>12.9237246161649</v>
      </c>
      <c r="D148" s="181">
        <v>8.4191613111431423</v>
      </c>
      <c r="E148" s="181">
        <v>8.5058946530011603</v>
      </c>
      <c r="F148" s="207">
        <v>-8.6733341858018065E-2</v>
      </c>
      <c r="G148" s="203">
        <v>8.6733341858018065E-2</v>
      </c>
      <c r="H148" s="206">
        <v>4533.1000000000004</v>
      </c>
      <c r="I148" s="206">
        <v>4943.8252517901601</v>
      </c>
      <c r="J148" s="182">
        <v>9.0605822018080276E-2</v>
      </c>
    </row>
    <row r="149" spans="1:10" ht="20" customHeight="1">
      <c r="A149" s="165">
        <v>10</v>
      </c>
      <c r="B149" s="167" t="s">
        <v>90</v>
      </c>
      <c r="C149" s="184">
        <v>12.91339143282819</v>
      </c>
      <c r="D149" s="184">
        <v>8.5255382741517352</v>
      </c>
      <c r="E149" s="184">
        <v>8.4933450303356821</v>
      </c>
      <c r="F149" s="209">
        <v>3.2193243816053041E-2</v>
      </c>
      <c r="G149" s="204">
        <v>3.2193243816053041E-2</v>
      </c>
      <c r="H149" s="208">
        <v>5041.899999999996</v>
      </c>
      <c r="I149" s="208">
        <v>4882.1697958993973</v>
      </c>
      <c r="J149" s="185">
        <v>-3.168055774620656E-2</v>
      </c>
    </row>
    <row r="150" spans="1:10" ht="20" customHeight="1">
      <c r="A150" s="160">
        <v>11</v>
      </c>
      <c r="B150" s="163" t="s">
        <v>91</v>
      </c>
      <c r="C150" s="181">
        <v>12.975022789505619</v>
      </c>
      <c r="D150" s="181">
        <v>8.5526761586615692</v>
      </c>
      <c r="E150" s="181">
        <v>8.5681961430528766</v>
      </c>
      <c r="F150" s="209">
        <v>-1.5519984391307419E-2</v>
      </c>
      <c r="G150" s="203">
        <v>1.5519984391307419E-2</v>
      </c>
      <c r="H150" s="206">
        <v>5180.6000000000013</v>
      </c>
      <c r="I150" s="206">
        <v>5261.6299968129797</v>
      </c>
      <c r="J150" s="185">
        <v>1.564104482356839E-2</v>
      </c>
    </row>
    <row r="151" spans="1:10" ht="20" customHeight="1">
      <c r="A151" s="165">
        <v>12</v>
      </c>
      <c r="B151" s="167" t="s">
        <v>92</v>
      </c>
      <c r="C151" s="184">
        <v>13.011116683248829</v>
      </c>
      <c r="D151" s="184">
        <v>8.7442490795503627</v>
      </c>
      <c r="E151" s="184">
        <v>8.6120320774639332</v>
      </c>
      <c r="F151" s="205">
        <v>0.1322170020864295</v>
      </c>
      <c r="G151" s="204">
        <v>0.1322170020864295</v>
      </c>
      <c r="H151" s="208">
        <v>6274.4999999999991</v>
      </c>
      <c r="I151" s="208">
        <v>5497.4084950665556</v>
      </c>
      <c r="J151" s="186">
        <v>-0.1238491521130678</v>
      </c>
    </row>
    <row r="152" spans="1:10" ht="20" customHeight="1">
      <c r="A152" s="160">
        <v>13</v>
      </c>
      <c r="B152" s="163" t="s">
        <v>93</v>
      </c>
      <c r="C152" s="181">
        <v>13.094494626221611</v>
      </c>
      <c r="D152" s="181">
        <v>8.7863802812317733</v>
      </c>
      <c r="E152" s="181">
        <v>8.713294359263891</v>
      </c>
      <c r="F152" s="207">
        <v>7.3085921967882328E-2</v>
      </c>
      <c r="G152" s="203">
        <v>7.3085921967882328E-2</v>
      </c>
      <c r="H152" s="206">
        <v>6544.4999999999955</v>
      </c>
      <c r="I152" s="206">
        <v>6083.2499248434369</v>
      </c>
      <c r="J152" s="182">
        <v>-7.0479039675538063E-2</v>
      </c>
    </row>
    <row r="153" spans="1:10" ht="20" customHeight="1">
      <c r="A153" s="165">
        <v>14</v>
      </c>
      <c r="B153" s="167" t="s">
        <v>94</v>
      </c>
      <c r="C153" s="184">
        <v>13.20235500685032</v>
      </c>
      <c r="D153" s="184">
        <v>8.7960514482582219</v>
      </c>
      <c r="E153" s="184">
        <v>8.8442904940790754</v>
      </c>
      <c r="F153" s="209">
        <v>-4.8239045820853477E-2</v>
      </c>
      <c r="G153" s="204">
        <v>4.8239045820853477E-2</v>
      </c>
      <c r="H153" s="208">
        <v>6608.1000000000022</v>
      </c>
      <c r="I153" s="208">
        <v>6934.682116110288</v>
      </c>
      <c r="J153" s="185">
        <v>4.9421485163706022E-2</v>
      </c>
    </row>
    <row r="154" spans="1:10" ht="24" customHeight="1">
      <c r="A154" s="304" t="s">
        <v>3047</v>
      </c>
      <c r="B154" s="282"/>
      <c r="C154" s="282"/>
      <c r="D154" s="282"/>
      <c r="E154" s="278"/>
      <c r="F154" s="210">
        <v>9.6954024672997505E-2</v>
      </c>
    </row>
    <row r="156" spans="1:10" ht="28.05" customHeight="1">
      <c r="A156" s="303" t="s">
        <v>3048</v>
      </c>
      <c r="B156" s="282"/>
      <c r="C156" s="282"/>
      <c r="D156" s="282"/>
      <c r="E156" s="282"/>
      <c r="F156" s="282"/>
      <c r="G156" s="282"/>
      <c r="H156" s="282"/>
      <c r="I156" s="282"/>
      <c r="J156" s="278"/>
    </row>
    <row r="157" spans="1:10" ht="24" customHeight="1">
      <c r="A157" s="159" t="s">
        <v>2920</v>
      </c>
      <c r="B157" s="159" t="s">
        <v>3026</v>
      </c>
      <c r="C157" s="159" t="s">
        <v>3027</v>
      </c>
      <c r="D157" s="159" t="s">
        <v>3028</v>
      </c>
      <c r="E157" s="159" t="s">
        <v>3029</v>
      </c>
      <c r="F157" s="159" t="s">
        <v>3030</v>
      </c>
      <c r="G157" s="159" t="s">
        <v>3031</v>
      </c>
      <c r="H157" s="159" t="s">
        <v>3032</v>
      </c>
      <c r="I157" s="159" t="s">
        <v>3033</v>
      </c>
      <c r="J157" s="159" t="s">
        <v>3034</v>
      </c>
    </row>
    <row r="158" spans="1:10" ht="20" customHeight="1">
      <c r="A158" s="160">
        <v>1</v>
      </c>
      <c r="B158" s="163" t="s">
        <v>78</v>
      </c>
      <c r="C158" s="181">
        <v>12.480160230247421</v>
      </c>
      <c r="D158" s="181">
        <v>8.5140683140687123</v>
      </c>
      <c r="E158" s="181">
        <v>8.6396713785485026</v>
      </c>
      <c r="F158" s="205">
        <v>-0.12560306447979031</v>
      </c>
      <c r="G158" s="203">
        <v>0.12560306447979031</v>
      </c>
      <c r="H158" s="206">
        <v>4984.3999999999987</v>
      </c>
      <c r="I158" s="206">
        <v>5651.4723242072423</v>
      </c>
      <c r="J158" s="186">
        <v>0.13383202074617681</v>
      </c>
    </row>
    <row r="159" spans="1:10" ht="20" customHeight="1">
      <c r="A159" s="165">
        <v>2</v>
      </c>
      <c r="B159" s="167" t="s">
        <v>79</v>
      </c>
      <c r="C159" s="184">
        <v>12.49405967147891</v>
      </c>
      <c r="D159" s="184">
        <v>8.5786080891177043</v>
      </c>
      <c r="E159" s="184">
        <v>8.655499190682006</v>
      </c>
      <c r="F159" s="207">
        <v>-7.6891101564301678E-2</v>
      </c>
      <c r="G159" s="204">
        <v>7.6891101564301678E-2</v>
      </c>
      <c r="H159" s="208">
        <v>5316.7000000000025</v>
      </c>
      <c r="I159" s="208">
        <v>5741.6344185041326</v>
      </c>
      <c r="J159" s="182">
        <v>7.9924467903799298E-2</v>
      </c>
    </row>
    <row r="160" spans="1:10" ht="20" customHeight="1">
      <c r="A160" s="160">
        <v>3</v>
      </c>
      <c r="B160" s="163" t="s">
        <v>80</v>
      </c>
      <c r="C160" s="181">
        <v>12.506788162439269</v>
      </c>
      <c r="D160" s="181">
        <v>8.6020856584342003</v>
      </c>
      <c r="E160" s="181">
        <v>8.669993598069194</v>
      </c>
      <c r="F160" s="207">
        <v>-6.7907939634993753E-2</v>
      </c>
      <c r="G160" s="203">
        <v>6.7907939634993753E-2</v>
      </c>
      <c r="H160" s="206">
        <v>5443.0000000000009</v>
      </c>
      <c r="I160" s="206">
        <v>5825.4620552003626</v>
      </c>
      <c r="J160" s="182">
        <v>7.0266774793378936E-2</v>
      </c>
    </row>
    <row r="161" spans="1:10" ht="20" customHeight="1">
      <c r="A161" s="165">
        <v>4</v>
      </c>
      <c r="B161" s="167" t="s">
        <v>81</v>
      </c>
      <c r="C161" s="184">
        <v>12.522210970891731</v>
      </c>
      <c r="D161" s="184">
        <v>8.6075821911439174</v>
      </c>
      <c r="E161" s="184">
        <v>8.6875561252737743</v>
      </c>
      <c r="F161" s="207">
        <v>-7.9973934129856872E-2</v>
      </c>
      <c r="G161" s="204">
        <v>7.9973934129856872E-2</v>
      </c>
      <c r="H161" s="208">
        <v>5472.9999999999964</v>
      </c>
      <c r="I161" s="208">
        <v>5928.6755832830931</v>
      </c>
      <c r="J161" s="182">
        <v>8.3258831222930221E-2</v>
      </c>
    </row>
    <row r="162" spans="1:10" ht="20" customHeight="1">
      <c r="A162" s="160">
        <v>5</v>
      </c>
      <c r="B162" s="163" t="s">
        <v>82</v>
      </c>
      <c r="C162" s="181">
        <v>12.486152141495451</v>
      </c>
      <c r="D162" s="181">
        <v>8.7650371601684096</v>
      </c>
      <c r="E162" s="181">
        <v>8.6464945913651192</v>
      </c>
      <c r="F162" s="205">
        <v>0.11854256880329039</v>
      </c>
      <c r="G162" s="203">
        <v>0.11854256880329039</v>
      </c>
      <c r="H162" s="206">
        <v>6406.3</v>
      </c>
      <c r="I162" s="206">
        <v>5690.1653779558656</v>
      </c>
      <c r="J162" s="186">
        <v>-0.1117859953552181</v>
      </c>
    </row>
    <row r="163" spans="1:10" ht="20" customHeight="1">
      <c r="A163" s="165">
        <v>6</v>
      </c>
      <c r="B163" s="167" t="s">
        <v>83</v>
      </c>
      <c r="C163" s="184">
        <v>12.502384870852829</v>
      </c>
      <c r="D163" s="184">
        <v>8.7664098653927738</v>
      </c>
      <c r="E163" s="184">
        <v>8.6649794057115042</v>
      </c>
      <c r="F163" s="205">
        <v>0.1014304596812696</v>
      </c>
      <c r="G163" s="204">
        <v>0.1014304596812696</v>
      </c>
      <c r="H163" s="208">
        <v>6415.0999999999976</v>
      </c>
      <c r="I163" s="208">
        <v>5796.3251778838403</v>
      </c>
      <c r="J163" s="186">
        <v>-9.6455990103997996E-2</v>
      </c>
    </row>
    <row r="164" spans="1:10" ht="20" customHeight="1">
      <c r="A164" s="160">
        <v>7</v>
      </c>
      <c r="B164" s="163" t="s">
        <v>84</v>
      </c>
      <c r="C164" s="181">
        <v>12.546533346214821</v>
      </c>
      <c r="D164" s="181">
        <v>8.8507612148900598</v>
      </c>
      <c r="E164" s="181">
        <v>8.7152529211983669</v>
      </c>
      <c r="F164" s="205">
        <v>0.1355082936916929</v>
      </c>
      <c r="G164" s="203">
        <v>0.1355082936916929</v>
      </c>
      <c r="H164" s="206">
        <v>6979.6999999999953</v>
      </c>
      <c r="I164" s="206">
        <v>6095.1760217715337</v>
      </c>
      <c r="J164" s="186">
        <v>-0.12672807974962569</v>
      </c>
    </row>
    <row r="165" spans="1:10" ht="20" customHeight="1">
      <c r="A165" s="165">
        <v>8</v>
      </c>
      <c r="B165" s="167" t="s">
        <v>88</v>
      </c>
      <c r="C165" s="184">
        <v>12.93187334930216</v>
      </c>
      <c r="D165" s="184">
        <v>9.0935256173843477</v>
      </c>
      <c r="E165" s="184">
        <v>9.1540539546219932</v>
      </c>
      <c r="F165" s="207">
        <v>-6.0528337237645502E-2</v>
      </c>
      <c r="G165" s="204">
        <v>6.0528337237645502E-2</v>
      </c>
      <c r="H165" s="208">
        <v>8897.5</v>
      </c>
      <c r="I165" s="208">
        <v>9452.6835585271401</v>
      </c>
      <c r="J165" s="182">
        <v>6.2397702559948323E-2</v>
      </c>
    </row>
    <row r="166" spans="1:10" ht="20" customHeight="1">
      <c r="A166" s="160">
        <v>9</v>
      </c>
      <c r="B166" s="163" t="s">
        <v>89</v>
      </c>
      <c r="C166" s="181">
        <v>12.9237246161649</v>
      </c>
      <c r="D166" s="181">
        <v>9.0957933447920318</v>
      </c>
      <c r="E166" s="181">
        <v>9.1447746882777867</v>
      </c>
      <c r="F166" s="209">
        <v>-4.8981343485754891E-2</v>
      </c>
      <c r="G166" s="203">
        <v>4.8981343485754891E-2</v>
      </c>
      <c r="H166" s="206">
        <v>8917.6999999999989</v>
      </c>
      <c r="I166" s="206">
        <v>9365.3752949068548</v>
      </c>
      <c r="J166" s="185">
        <v>5.0200757471865608E-2</v>
      </c>
    </row>
    <row r="167" spans="1:10" ht="20" customHeight="1">
      <c r="A167" s="165">
        <v>10</v>
      </c>
      <c r="B167" s="167" t="s">
        <v>90</v>
      </c>
      <c r="C167" s="184">
        <v>12.91339143282819</v>
      </c>
      <c r="D167" s="184">
        <v>9.1452043390306468</v>
      </c>
      <c r="E167" s="184">
        <v>9.13300790701871</v>
      </c>
      <c r="F167" s="209">
        <v>1.2196432011936761E-2</v>
      </c>
      <c r="G167" s="204">
        <v>1.2196432011936761E-2</v>
      </c>
      <c r="H167" s="208">
        <v>9369.4000000000015</v>
      </c>
      <c r="I167" s="208">
        <v>9255.8207884068888</v>
      </c>
      <c r="J167" s="185">
        <v>-1.212235699117474E-2</v>
      </c>
    </row>
    <row r="168" spans="1:10" ht="20" customHeight="1">
      <c r="A168" s="160">
        <v>11</v>
      </c>
      <c r="B168" s="163" t="s">
        <v>91</v>
      </c>
      <c r="C168" s="181">
        <v>12.975022789505619</v>
      </c>
      <c r="D168" s="181">
        <v>9.1973767055843236</v>
      </c>
      <c r="E168" s="181">
        <v>9.2031898315131286</v>
      </c>
      <c r="F168" s="209">
        <v>-5.8131259288050066E-3</v>
      </c>
      <c r="G168" s="203">
        <v>5.8131259288050066E-3</v>
      </c>
      <c r="H168" s="206">
        <v>9871.1999999999953</v>
      </c>
      <c r="I168" s="206">
        <v>9928.749638253812</v>
      </c>
      <c r="J168" s="185">
        <v>5.8300549329176558E-3</v>
      </c>
    </row>
    <row r="169" spans="1:10" ht="20" customHeight="1">
      <c r="A169" s="165">
        <v>12</v>
      </c>
      <c r="B169" s="167" t="s">
        <v>92</v>
      </c>
      <c r="C169" s="184">
        <v>13.011116683248829</v>
      </c>
      <c r="D169" s="184">
        <v>9.3774044565893497</v>
      </c>
      <c r="E169" s="184">
        <v>9.2442912945014282</v>
      </c>
      <c r="F169" s="205">
        <v>0.13311316208792159</v>
      </c>
      <c r="G169" s="204">
        <v>0.13311316208792159</v>
      </c>
      <c r="H169" s="208">
        <v>11818.3</v>
      </c>
      <c r="I169" s="208">
        <v>10345.33833174129</v>
      </c>
      <c r="J169" s="186">
        <v>-0.12463397174371239</v>
      </c>
    </row>
    <row r="170" spans="1:10" ht="20" customHeight="1">
      <c r="A170" s="160">
        <v>13</v>
      </c>
      <c r="B170" s="163" t="s">
        <v>93</v>
      </c>
      <c r="C170" s="181">
        <v>13.094494626221611</v>
      </c>
      <c r="D170" s="181">
        <v>9.3799565562725835</v>
      </c>
      <c r="E170" s="181">
        <v>9.3392368678861324</v>
      </c>
      <c r="F170" s="209">
        <v>4.0719688386451118E-2</v>
      </c>
      <c r="G170" s="203">
        <v>4.0719688386451118E-2</v>
      </c>
      <c r="H170" s="206">
        <v>11848.5</v>
      </c>
      <c r="I170" s="206">
        <v>11375.723746785519</v>
      </c>
      <c r="J170" s="185">
        <v>-3.990178108743514E-2</v>
      </c>
    </row>
    <row r="171" spans="1:10" ht="20" customHeight="1">
      <c r="A171" s="165">
        <v>14</v>
      </c>
      <c r="B171" s="167" t="s">
        <v>94</v>
      </c>
      <c r="C171" s="184">
        <v>13.20235500685032</v>
      </c>
      <c r="D171" s="184">
        <v>9.3862497479422426</v>
      </c>
      <c r="E171" s="184">
        <v>9.4620615061436215</v>
      </c>
      <c r="F171" s="207">
        <v>-7.5811758201378865E-2</v>
      </c>
      <c r="G171" s="204">
        <v>7.5811758201378865E-2</v>
      </c>
      <c r="H171" s="208">
        <v>11923.3</v>
      </c>
      <c r="I171" s="208">
        <v>12862.372996318951</v>
      </c>
      <c r="J171" s="182">
        <v>7.8759487416985866E-2</v>
      </c>
    </row>
    <row r="172" spans="1:10" ht="24" customHeight="1">
      <c r="A172" s="304" t="s">
        <v>3049</v>
      </c>
      <c r="B172" s="282"/>
      <c r="C172" s="282"/>
      <c r="D172" s="282"/>
      <c r="E172" s="278"/>
      <c r="F172" s="210">
        <v>7.7358657808934944E-2</v>
      </c>
    </row>
  </sheetData>
  <mergeCells count="20">
    <mergeCell ref="A1:L1"/>
    <mergeCell ref="A120:J120"/>
    <mergeCell ref="A172:E172"/>
    <mergeCell ref="A30:J30"/>
    <mergeCell ref="A118:E118"/>
    <mergeCell ref="A46:E46"/>
    <mergeCell ref="A48:J48"/>
    <mergeCell ref="A138:J138"/>
    <mergeCell ref="A154:E154"/>
    <mergeCell ref="A136:E136"/>
    <mergeCell ref="A66:J66"/>
    <mergeCell ref="A84:J84"/>
    <mergeCell ref="A100:E100"/>
    <mergeCell ref="A64:E64"/>
    <mergeCell ref="A82:E82"/>
    <mergeCell ref="A156:J156"/>
    <mergeCell ref="A102:J102"/>
    <mergeCell ref="A2:L2"/>
    <mergeCell ref="A4:L4"/>
    <mergeCell ref="A29:L29"/>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R135"/>
  <sheetViews>
    <sheetView rightToLeft="1" tabSelected="1" workbookViewId="0">
      <pane xSplit="2" ySplit="10" topLeftCell="C11" activePane="bottomRight" state="frozen"/>
      <selection pane="topRight"/>
      <selection pane="bottomLeft"/>
      <selection pane="bottomRight" sqref="A1:R1"/>
    </sheetView>
  </sheetViews>
  <sheetFormatPr defaultRowHeight="13.5"/>
  <cols>
    <col min="1" max="1" width="6" customWidth="1"/>
    <col min="2" max="2" width="44" customWidth="1"/>
    <col min="3" max="3" width="8" customWidth="1"/>
    <col min="4" max="4" width="16" customWidth="1"/>
    <col min="5" max="5" width="7" customWidth="1"/>
    <col min="6" max="7" width="11" customWidth="1"/>
    <col min="8" max="8" width="16" customWidth="1"/>
    <col min="9" max="9" width="7" customWidth="1"/>
    <col min="10" max="11" width="11" customWidth="1"/>
    <col min="12" max="12" width="16" customWidth="1"/>
    <col min="13" max="13" width="7" customWidth="1"/>
    <col min="14" max="17" width="11" customWidth="1"/>
    <col min="18" max="18" width="12" customWidth="1"/>
  </cols>
  <sheetData>
    <row r="1" spans="1:18" ht="48" customHeight="1">
      <c r="A1" s="316" t="s">
        <v>3050</v>
      </c>
      <c r="B1" s="316"/>
      <c r="C1" s="316"/>
      <c r="D1" s="316"/>
      <c r="E1" s="316"/>
      <c r="F1" s="316"/>
      <c r="G1" s="316"/>
      <c r="H1" s="316"/>
      <c r="I1" s="316"/>
      <c r="J1" s="316"/>
      <c r="K1" s="316"/>
      <c r="L1" s="316"/>
      <c r="M1" s="316"/>
      <c r="N1" s="316"/>
      <c r="O1" s="316"/>
      <c r="P1" s="316"/>
      <c r="Q1" s="316"/>
      <c r="R1" s="316"/>
    </row>
    <row r="2" spans="1:18" ht="22.05" customHeight="1">
      <c r="A2" s="312" t="s">
        <v>3051</v>
      </c>
      <c r="B2" s="312"/>
      <c r="C2" s="312"/>
      <c r="D2" s="312"/>
      <c r="E2" s="312"/>
      <c r="F2" s="312"/>
      <c r="G2" s="312"/>
      <c r="H2" s="312"/>
      <c r="I2" s="312"/>
      <c r="J2" s="312"/>
      <c r="K2" s="312"/>
      <c r="L2" s="312"/>
      <c r="M2" s="312"/>
      <c r="N2" s="312"/>
      <c r="O2" s="312"/>
      <c r="P2" s="312"/>
      <c r="Q2" s="312"/>
      <c r="R2" s="312"/>
    </row>
    <row r="4" spans="1:18" ht="30" customHeight="1">
      <c r="A4" s="313" t="s">
        <v>3052</v>
      </c>
      <c r="B4" s="313"/>
      <c r="C4" s="313"/>
      <c r="D4" s="313"/>
      <c r="E4" s="313"/>
      <c r="F4" s="313"/>
      <c r="G4" s="313" t="s">
        <v>3053</v>
      </c>
      <c r="H4" s="313"/>
      <c r="I4" s="313"/>
      <c r="J4" s="313"/>
      <c r="K4" s="313"/>
      <c r="L4" s="313"/>
      <c r="M4" s="313" t="s">
        <v>3054</v>
      </c>
      <c r="N4" s="313"/>
      <c r="O4" s="313"/>
      <c r="P4" s="313"/>
      <c r="Q4" s="313"/>
      <c r="R4" s="313"/>
    </row>
    <row r="5" spans="1:18" ht="28.05" customHeight="1">
      <c r="A5" s="309" t="s">
        <v>574</v>
      </c>
      <c r="B5" s="310"/>
      <c r="C5" s="211" t="s">
        <v>3055</v>
      </c>
      <c r="D5" s="212"/>
      <c r="E5" s="309" t="s">
        <v>578</v>
      </c>
      <c r="F5" s="310"/>
      <c r="G5" s="211"/>
      <c r="H5" s="309" t="s">
        <v>3056</v>
      </c>
      <c r="I5" s="311"/>
      <c r="J5" s="310"/>
      <c r="K5" s="216">
        <v>0.35</v>
      </c>
      <c r="L5" s="269" t="s">
        <v>576</v>
      </c>
      <c r="M5" s="309" t="s">
        <v>3057</v>
      </c>
      <c r="N5" s="311"/>
      <c r="O5" s="310"/>
      <c r="P5" s="213">
        <v>123</v>
      </c>
      <c r="Q5" s="219" t="s">
        <v>3058</v>
      </c>
      <c r="R5" s="219"/>
    </row>
    <row r="6" spans="1:18" ht="28.05" customHeight="1">
      <c r="A6" s="309" t="s">
        <v>3059</v>
      </c>
      <c r="B6" s="310"/>
      <c r="C6" s="214">
        <v>328139</v>
      </c>
      <c r="D6" s="212"/>
      <c r="E6" s="309" t="s">
        <v>3060</v>
      </c>
      <c r="F6" s="310"/>
      <c r="G6" s="214">
        <v>700234</v>
      </c>
      <c r="H6" s="309" t="s">
        <v>3061</v>
      </c>
      <c r="I6" s="311"/>
      <c r="J6" s="310"/>
      <c r="K6" s="270">
        <f>1-K5</f>
        <v>0.65</v>
      </c>
      <c r="L6" s="269"/>
      <c r="M6" s="309" t="s">
        <v>3062</v>
      </c>
      <c r="N6" s="311"/>
      <c r="O6" s="310"/>
      <c r="P6" s="215">
        <f>IFERROR(AVERAGE(R11:R133),"—")</f>
        <v>0.78765509272456102</v>
      </c>
      <c r="Q6" s="219"/>
      <c r="R6" s="219"/>
    </row>
    <row r="7" spans="1:18" ht="28.05" customHeight="1">
      <c r="A7" s="309" t="s">
        <v>3063</v>
      </c>
      <c r="B7" s="310"/>
      <c r="C7" s="217">
        <f>IF(C6=0,"—",G6/C6)</f>
        <v>2.1339554274255725</v>
      </c>
      <c r="H7" s="309" t="s">
        <v>3064</v>
      </c>
      <c r="I7" s="311"/>
      <c r="J7" s="310"/>
      <c r="K7" s="265" t="s">
        <v>3065</v>
      </c>
      <c r="L7" s="212"/>
      <c r="M7" s="309" t="s">
        <v>3066</v>
      </c>
      <c r="N7" s="311"/>
      <c r="O7" s="310"/>
      <c r="P7" s="218">
        <f>IFERROR(MIN(R11:R133),"—")</f>
        <v>0</v>
      </c>
      <c r="Q7" s="219" t="s">
        <v>3067</v>
      </c>
      <c r="R7" s="218">
        <f>IFERROR(MAX(R11:R133),"—")</f>
        <v>2.1339554274255725</v>
      </c>
    </row>
    <row r="9" spans="1:18" ht="26" customHeight="1">
      <c r="A9" s="317" t="s">
        <v>581</v>
      </c>
      <c r="B9" s="317"/>
      <c r="C9" s="220" t="s">
        <v>582</v>
      </c>
      <c r="D9" s="307" t="s">
        <v>3068</v>
      </c>
      <c r="E9" s="307"/>
      <c r="F9" s="307"/>
      <c r="G9" s="307"/>
      <c r="H9" s="315" t="s">
        <v>3069</v>
      </c>
      <c r="I9" s="315"/>
      <c r="J9" s="315"/>
      <c r="K9" s="315"/>
      <c r="L9" s="308" t="s">
        <v>3070</v>
      </c>
      <c r="M9" s="308"/>
      <c r="N9" s="308"/>
      <c r="O9" s="308"/>
      <c r="P9" s="313" t="s">
        <v>3071</v>
      </c>
      <c r="Q9" s="313"/>
      <c r="R9" s="313"/>
    </row>
    <row r="10" spans="1:18" ht="28.05" customHeight="1">
      <c r="A10" s="221" t="s">
        <v>2920</v>
      </c>
      <c r="B10" s="221" t="s">
        <v>589</v>
      </c>
      <c r="C10" s="221" t="s">
        <v>3072</v>
      </c>
      <c r="D10" s="221" t="s">
        <v>3073</v>
      </c>
      <c r="E10" s="221" t="s">
        <v>3074</v>
      </c>
      <c r="F10" s="221" t="s">
        <v>3075</v>
      </c>
      <c r="G10" s="221" t="s">
        <v>3076</v>
      </c>
      <c r="H10" s="221" t="s">
        <v>3077</v>
      </c>
      <c r="I10" s="221" t="s">
        <v>3078</v>
      </c>
      <c r="J10" s="221" t="s">
        <v>3079</v>
      </c>
      <c r="K10" s="221" t="s">
        <v>3080</v>
      </c>
      <c r="L10" s="221" t="s">
        <v>3081</v>
      </c>
      <c r="M10" s="221" t="s">
        <v>3082</v>
      </c>
      <c r="N10" s="221" t="s">
        <v>3083</v>
      </c>
      <c r="O10" s="221" t="s">
        <v>3084</v>
      </c>
      <c r="P10" s="221" t="s">
        <v>599</v>
      </c>
      <c r="Q10" s="221" t="s">
        <v>600</v>
      </c>
      <c r="R10" s="221" t="s">
        <v>3085</v>
      </c>
    </row>
    <row r="11" spans="1:18" ht="22.05" customHeight="1">
      <c r="A11" s="222">
        <v>1</v>
      </c>
      <c r="B11" s="223" t="s">
        <v>602</v>
      </c>
      <c r="C11" s="216">
        <v>0</v>
      </c>
      <c r="D11" s="211" t="s">
        <v>525</v>
      </c>
      <c r="E11" s="216">
        <v>1</v>
      </c>
      <c r="F11" s="224" t="str">
        <f>IFERROR(INDEX(Database!$B$2:$CT$473,MATCH(D11,Database!$A$2:$A$473,0),MATCH($C$5,Database!$B$1:$CT$1,0)),"")</f>
        <v/>
      </c>
      <c r="G11" s="224" t="str">
        <f>IFERROR(INDEX(Database!$B$2:$CT$473,MATCH(D11,Database!$A$2:$A$473,0),MATCH($G$5,Database!$B$1:$CT$1,0)),"")</f>
        <v/>
      </c>
      <c r="H11" s="211"/>
      <c r="I11" s="216"/>
      <c r="J11" s="224" t="str">
        <f>IFERROR(INDEX(Database!$B$2:$CT$473,MATCH(H11,Database!$A$2:$A$473,0),MATCH($C$5,Database!$B$1:$CT$1,0)),"")</f>
        <v/>
      </c>
      <c r="K11" s="224" t="str">
        <f>IFERROR(INDEX(Database!$B$2:$CT$473,MATCH(H11,Database!$A$2:$A$473,0),MATCH($G$5,Database!$B$1:$CT$1,0)),"")</f>
        <v/>
      </c>
      <c r="L11" s="211"/>
      <c r="M11" s="216"/>
      <c r="N11" s="224" t="str">
        <f>IFERROR(INDEX(Database!$B$2:$CT$473,MATCH(L11,Database!$A$2:$A$473,0),MATCH($C$5,Database!$B$1:$CT$1,0)),"")</f>
        <v/>
      </c>
      <c r="O11" s="224" t="str">
        <f>IFERROR(INDEX(Database!$B$2:$CT$473,MATCH(L11,Database!$A$2:$A$473,0),MATCH($G$5,Database!$B$1:$CT$1,0)),"")</f>
        <v/>
      </c>
      <c r="P11" s="225">
        <f t="shared" ref="P11:P42" si="0">IF(OR(F11="",F11=0),0,(G11/F11)*E11)+IF(OR(J11="",J11=0),0,(K11/J11)*I11)+IF(OR(N11="",N11=0),0,(O11/N11)*M11)</f>
        <v>0</v>
      </c>
      <c r="Q11" s="226">
        <f t="shared" ref="Q11:Q42" si="1">IF(OR($C$6=0,$C$6=""),0,($G$6/$C$6)*C11)</f>
        <v>0</v>
      </c>
      <c r="R11" s="217">
        <f t="shared" ref="R11:R42" si="2">P11+Q11</f>
        <v>0</v>
      </c>
    </row>
    <row r="12" spans="1:18" ht="22.05" customHeight="1">
      <c r="A12" s="219">
        <v>2</v>
      </c>
      <c r="B12" s="227" t="s">
        <v>603</v>
      </c>
      <c r="C12" s="216">
        <v>0.2</v>
      </c>
      <c r="D12" s="211" t="s">
        <v>525</v>
      </c>
      <c r="E12" s="216">
        <v>0.8</v>
      </c>
      <c r="F12" s="224" t="str">
        <f>IFERROR(INDEX(Database!$B$2:$CT$473,MATCH(D12,Database!$A$2:$A$473,0),MATCH($C$5,Database!$B$1:$CT$1,0)),"")</f>
        <v/>
      </c>
      <c r="G12" s="224" t="str">
        <f>IFERROR(INDEX(Database!$B$2:$CT$473,MATCH(D12,Database!$A$2:$A$473,0),MATCH($G$5,Database!$B$1:$CT$1,0)),"")</f>
        <v/>
      </c>
      <c r="H12" s="211"/>
      <c r="I12" s="216"/>
      <c r="J12" s="224" t="str">
        <f>IFERROR(INDEX(Database!$B$2:$CT$473,MATCH(H12,Database!$A$2:$A$473,0),MATCH($C$5,Database!$B$1:$CT$1,0)),"")</f>
        <v/>
      </c>
      <c r="K12" s="224" t="str">
        <f>IFERROR(INDEX(Database!$B$2:$CT$473,MATCH(H12,Database!$A$2:$A$473,0),MATCH($G$5,Database!$B$1:$CT$1,0)),"")</f>
        <v/>
      </c>
      <c r="L12" s="211"/>
      <c r="M12" s="216"/>
      <c r="N12" s="224" t="str">
        <f>IFERROR(INDEX(Database!$B$2:$CT$473,MATCH(L12,Database!$A$2:$A$473,0),MATCH($C$5,Database!$B$1:$CT$1,0)),"")</f>
        <v/>
      </c>
      <c r="O12" s="224" t="str">
        <f>IFERROR(INDEX(Database!$B$2:$CT$473,MATCH(L12,Database!$A$2:$A$473,0),MATCH($G$5,Database!$B$1:$CT$1,0)),"")</f>
        <v/>
      </c>
      <c r="P12" s="225">
        <f t="shared" si="0"/>
        <v>0</v>
      </c>
      <c r="Q12" s="226">
        <f t="shared" si="1"/>
        <v>0.42679108548511452</v>
      </c>
      <c r="R12" s="217">
        <f t="shared" si="2"/>
        <v>0.42679108548511452</v>
      </c>
    </row>
    <row r="13" spans="1:18" ht="22.05" customHeight="1">
      <c r="A13" s="222">
        <v>3</v>
      </c>
      <c r="B13" s="223" t="s">
        <v>604</v>
      </c>
      <c r="C13" s="216">
        <v>0.2</v>
      </c>
      <c r="D13" s="211" t="s">
        <v>525</v>
      </c>
      <c r="E13" s="216">
        <v>0.2</v>
      </c>
      <c r="F13" s="224" t="str">
        <f>IFERROR(INDEX(Database!$B$2:$CT$473,MATCH(D13,Database!$A$2:$A$473,0),MATCH($C$5,Database!$B$1:$CT$1,0)),"")</f>
        <v/>
      </c>
      <c r="G13" s="224" t="str">
        <f>IFERROR(INDEX(Database!$B$2:$CT$473,MATCH(D13,Database!$A$2:$A$473,0),MATCH($G$5,Database!$B$1:$CT$1,0)),"")</f>
        <v/>
      </c>
      <c r="H13" s="211" t="s">
        <v>123</v>
      </c>
      <c r="I13" s="216">
        <v>0.6</v>
      </c>
      <c r="J13" s="224" t="str">
        <f>IFERROR(INDEX(Database!$B$2:$CT$473,MATCH(H13,Database!$A$2:$A$473,0),MATCH($C$5,Database!$B$1:$CT$1,0)),"")</f>
        <v/>
      </c>
      <c r="K13" s="224" t="str">
        <f>IFERROR(INDEX(Database!$B$2:$CT$473,MATCH(H13,Database!$A$2:$A$473,0),MATCH($G$5,Database!$B$1:$CT$1,0)),"")</f>
        <v/>
      </c>
      <c r="L13" s="211"/>
      <c r="M13" s="216"/>
      <c r="N13" s="224" t="str">
        <f>IFERROR(INDEX(Database!$B$2:$CT$473,MATCH(L13,Database!$A$2:$A$473,0),MATCH($C$5,Database!$B$1:$CT$1,0)),"")</f>
        <v/>
      </c>
      <c r="O13" s="224" t="str">
        <f>IFERROR(INDEX(Database!$B$2:$CT$473,MATCH(L13,Database!$A$2:$A$473,0),MATCH($G$5,Database!$B$1:$CT$1,0)),"")</f>
        <v/>
      </c>
      <c r="P13" s="225">
        <f t="shared" si="0"/>
        <v>0</v>
      </c>
      <c r="Q13" s="226">
        <f t="shared" si="1"/>
        <v>0.42679108548511452</v>
      </c>
      <c r="R13" s="217">
        <f t="shared" si="2"/>
        <v>0.42679108548511452</v>
      </c>
    </row>
    <row r="14" spans="1:18" ht="22.05" customHeight="1">
      <c r="A14" s="219">
        <v>4</v>
      </c>
      <c r="B14" s="227" t="s">
        <v>605</v>
      </c>
      <c r="C14" s="216">
        <v>0</v>
      </c>
      <c r="D14" s="211" t="s">
        <v>123</v>
      </c>
      <c r="E14" s="216">
        <v>0.75</v>
      </c>
      <c r="F14" s="224" t="str">
        <f>IFERROR(INDEX(Database!$B$2:$CT$473,MATCH(D14,Database!$A$2:$A$473,0),MATCH($C$5,Database!$B$1:$CT$1,0)),"")</f>
        <v/>
      </c>
      <c r="G14" s="224" t="str">
        <f>IFERROR(INDEX(Database!$B$2:$CT$473,MATCH(D14,Database!$A$2:$A$473,0),MATCH($G$5,Database!$B$1:$CT$1,0)),"")</f>
        <v/>
      </c>
      <c r="H14" s="211" t="s">
        <v>540</v>
      </c>
      <c r="I14" s="216">
        <v>0.25</v>
      </c>
      <c r="J14" s="224" t="str">
        <f>IFERROR(INDEX(Database!$B$2:$CT$473,MATCH(H14,Database!$A$2:$A$473,0),MATCH($C$5,Database!$B$1:$CT$1,0)),"")</f>
        <v/>
      </c>
      <c r="K14" s="224" t="str">
        <f>IFERROR(INDEX(Database!$B$2:$CT$473,MATCH(H14,Database!$A$2:$A$473,0),MATCH($G$5,Database!$B$1:$CT$1,0)),"")</f>
        <v/>
      </c>
      <c r="L14" s="211"/>
      <c r="M14" s="216"/>
      <c r="N14" s="224" t="str">
        <f>IFERROR(INDEX(Database!$B$2:$CT$473,MATCH(L14,Database!$A$2:$A$473,0),MATCH($C$5,Database!$B$1:$CT$1,0)),"")</f>
        <v/>
      </c>
      <c r="O14" s="224" t="str">
        <f>IFERROR(INDEX(Database!$B$2:$CT$473,MATCH(L14,Database!$A$2:$A$473,0),MATCH($G$5,Database!$B$1:$CT$1,0)),"")</f>
        <v/>
      </c>
      <c r="P14" s="225">
        <f t="shared" si="0"/>
        <v>0</v>
      </c>
      <c r="Q14" s="226">
        <f t="shared" si="1"/>
        <v>0</v>
      </c>
      <c r="R14" s="217">
        <f t="shared" si="2"/>
        <v>0</v>
      </c>
    </row>
    <row r="15" spans="1:18" ht="22.05" customHeight="1">
      <c r="A15" s="222">
        <v>5</v>
      </c>
      <c r="B15" s="223" t="s">
        <v>3086</v>
      </c>
      <c r="C15" s="216">
        <v>0.6</v>
      </c>
      <c r="D15" s="211" t="s">
        <v>123</v>
      </c>
      <c r="E15" s="216">
        <v>0.3</v>
      </c>
      <c r="F15" s="224" t="str">
        <f>IFERROR(INDEX(Database!$B$2:$CT$473,MATCH(D15,Database!$A$2:$A$473,0),MATCH($C$5,Database!$B$1:$CT$1,0)),"")</f>
        <v/>
      </c>
      <c r="G15" s="224" t="str">
        <f>IFERROR(INDEX(Database!$B$2:$CT$473,MATCH(D15,Database!$A$2:$A$473,0),MATCH($G$5,Database!$B$1:$CT$1,0)),"")</f>
        <v/>
      </c>
      <c r="H15" s="211" t="s">
        <v>540</v>
      </c>
      <c r="I15" s="216">
        <v>0.1</v>
      </c>
      <c r="J15" s="224" t="str">
        <f>IFERROR(INDEX(Database!$B$2:$CT$473,MATCH(H15,Database!$A$2:$A$473,0),MATCH($C$5,Database!$B$1:$CT$1,0)),"")</f>
        <v/>
      </c>
      <c r="K15" s="224" t="str">
        <f>IFERROR(INDEX(Database!$B$2:$CT$473,MATCH(H15,Database!$A$2:$A$473,0),MATCH($G$5,Database!$B$1:$CT$1,0)),"")</f>
        <v/>
      </c>
      <c r="L15" s="211"/>
      <c r="M15" s="216"/>
      <c r="N15" s="224" t="str">
        <f>IFERROR(INDEX(Database!$B$2:$CT$473,MATCH(L15,Database!$A$2:$A$473,0),MATCH($C$5,Database!$B$1:$CT$1,0)),"")</f>
        <v/>
      </c>
      <c r="O15" s="224" t="str">
        <f>IFERROR(INDEX(Database!$B$2:$CT$473,MATCH(L15,Database!$A$2:$A$473,0),MATCH($G$5,Database!$B$1:$CT$1,0)),"")</f>
        <v/>
      </c>
      <c r="P15" s="225">
        <f t="shared" si="0"/>
        <v>0</v>
      </c>
      <c r="Q15" s="226">
        <f t="shared" si="1"/>
        <v>1.2803732564553434</v>
      </c>
      <c r="R15" s="217">
        <f t="shared" si="2"/>
        <v>1.2803732564553434</v>
      </c>
    </row>
    <row r="16" spans="1:18" ht="22.05" customHeight="1">
      <c r="A16" s="219">
        <v>6</v>
      </c>
      <c r="B16" s="227" t="s">
        <v>607</v>
      </c>
      <c r="C16" s="216">
        <v>0.5</v>
      </c>
      <c r="D16" s="211" t="s">
        <v>123</v>
      </c>
      <c r="E16" s="216">
        <v>0.4</v>
      </c>
      <c r="F16" s="224" t="str">
        <f>IFERROR(INDEX(Database!$B$2:$CT$473,MATCH(D16,Database!$A$2:$A$473,0),MATCH($C$5,Database!$B$1:$CT$1,0)),"")</f>
        <v/>
      </c>
      <c r="G16" s="224" t="str">
        <f>IFERROR(INDEX(Database!$B$2:$CT$473,MATCH(D16,Database!$A$2:$A$473,0),MATCH($G$5,Database!$B$1:$CT$1,0)),"")</f>
        <v/>
      </c>
      <c r="H16" s="211" t="s">
        <v>540</v>
      </c>
      <c r="I16" s="216">
        <v>0.1</v>
      </c>
      <c r="J16" s="224" t="str">
        <f>IFERROR(INDEX(Database!$B$2:$CT$473,MATCH(H16,Database!$A$2:$A$473,0),MATCH($C$5,Database!$B$1:$CT$1,0)),"")</f>
        <v/>
      </c>
      <c r="K16" s="224" t="str">
        <f>IFERROR(INDEX(Database!$B$2:$CT$473,MATCH(H16,Database!$A$2:$A$473,0),MATCH($G$5,Database!$B$1:$CT$1,0)),"")</f>
        <v/>
      </c>
      <c r="L16" s="211"/>
      <c r="M16" s="216"/>
      <c r="N16" s="224" t="str">
        <f>IFERROR(INDEX(Database!$B$2:$CT$473,MATCH(L16,Database!$A$2:$A$473,0),MATCH($C$5,Database!$B$1:$CT$1,0)),"")</f>
        <v/>
      </c>
      <c r="O16" s="224" t="str">
        <f>IFERROR(INDEX(Database!$B$2:$CT$473,MATCH(L16,Database!$A$2:$A$473,0),MATCH($G$5,Database!$B$1:$CT$1,0)),"")</f>
        <v/>
      </c>
      <c r="P16" s="225">
        <f t="shared" si="0"/>
        <v>0</v>
      </c>
      <c r="Q16" s="226">
        <f t="shared" si="1"/>
        <v>1.0669777137127863</v>
      </c>
      <c r="R16" s="217">
        <f t="shared" si="2"/>
        <v>1.0669777137127863</v>
      </c>
    </row>
    <row r="17" spans="1:18" ht="22.05" customHeight="1">
      <c r="A17" s="222">
        <v>7</v>
      </c>
      <c r="B17" s="223" t="s">
        <v>608</v>
      </c>
      <c r="C17" s="216">
        <v>0.65</v>
      </c>
      <c r="D17" s="211" t="s">
        <v>123</v>
      </c>
      <c r="E17" s="216">
        <v>0.25</v>
      </c>
      <c r="F17" s="224" t="str">
        <f>IFERROR(INDEX(Database!$B$2:$CT$473,MATCH(D17,Database!$A$2:$A$473,0),MATCH($C$5,Database!$B$1:$CT$1,0)),"")</f>
        <v/>
      </c>
      <c r="G17" s="224" t="str">
        <f>IFERROR(INDEX(Database!$B$2:$CT$473,MATCH(D17,Database!$A$2:$A$473,0),MATCH($G$5,Database!$B$1:$CT$1,0)),"")</f>
        <v/>
      </c>
      <c r="H17" s="211" t="s">
        <v>540</v>
      </c>
      <c r="I17" s="216">
        <v>0.1</v>
      </c>
      <c r="J17" s="224" t="str">
        <f>IFERROR(INDEX(Database!$B$2:$CT$473,MATCH(H17,Database!$A$2:$A$473,0),MATCH($C$5,Database!$B$1:$CT$1,0)),"")</f>
        <v/>
      </c>
      <c r="K17" s="224" t="str">
        <f>IFERROR(INDEX(Database!$B$2:$CT$473,MATCH(H17,Database!$A$2:$A$473,0),MATCH($G$5,Database!$B$1:$CT$1,0)),"")</f>
        <v/>
      </c>
      <c r="L17" s="211"/>
      <c r="M17" s="216"/>
      <c r="N17" s="224" t="str">
        <f>IFERROR(INDEX(Database!$B$2:$CT$473,MATCH(L17,Database!$A$2:$A$473,0),MATCH($C$5,Database!$B$1:$CT$1,0)),"")</f>
        <v/>
      </c>
      <c r="O17" s="224" t="str">
        <f>IFERROR(INDEX(Database!$B$2:$CT$473,MATCH(L17,Database!$A$2:$A$473,0),MATCH($G$5,Database!$B$1:$CT$1,0)),"")</f>
        <v/>
      </c>
      <c r="P17" s="225">
        <f t="shared" si="0"/>
        <v>0</v>
      </c>
      <c r="Q17" s="226">
        <f t="shared" si="1"/>
        <v>1.3870710278266223</v>
      </c>
      <c r="R17" s="217">
        <f t="shared" si="2"/>
        <v>1.3870710278266223</v>
      </c>
    </row>
    <row r="18" spans="1:18" ht="22.05" customHeight="1">
      <c r="A18" s="219">
        <v>8</v>
      </c>
      <c r="B18" s="227" t="s">
        <v>609</v>
      </c>
      <c r="C18" s="216">
        <v>0</v>
      </c>
      <c r="D18" s="211" t="s">
        <v>123</v>
      </c>
      <c r="E18" s="216">
        <v>1</v>
      </c>
      <c r="F18" s="224" t="str">
        <f>IFERROR(INDEX(Database!$B$2:$CT$473,MATCH(D18,Database!$A$2:$A$473,0),MATCH($C$5,Database!$B$1:$CT$1,0)),"")</f>
        <v/>
      </c>
      <c r="G18" s="224" t="str">
        <f>IFERROR(INDEX(Database!$B$2:$CT$473,MATCH(D18,Database!$A$2:$A$473,0),MATCH($G$5,Database!$B$1:$CT$1,0)),"")</f>
        <v/>
      </c>
      <c r="H18" s="211"/>
      <c r="I18" s="216"/>
      <c r="J18" s="224" t="str">
        <f>IFERROR(INDEX(Database!$B$2:$CT$473,MATCH(H18,Database!$A$2:$A$473,0),MATCH($C$5,Database!$B$1:$CT$1,0)),"")</f>
        <v/>
      </c>
      <c r="K18" s="224" t="str">
        <f>IFERROR(INDEX(Database!$B$2:$CT$473,MATCH(H18,Database!$A$2:$A$473,0),MATCH($G$5,Database!$B$1:$CT$1,0)),"")</f>
        <v/>
      </c>
      <c r="L18" s="211"/>
      <c r="M18" s="216"/>
      <c r="N18" s="224" t="str">
        <f>IFERROR(INDEX(Database!$B$2:$CT$473,MATCH(L18,Database!$A$2:$A$473,0),MATCH($C$5,Database!$B$1:$CT$1,0)),"")</f>
        <v/>
      </c>
      <c r="O18" s="224" t="str">
        <f>IFERROR(INDEX(Database!$B$2:$CT$473,MATCH(L18,Database!$A$2:$A$473,0),MATCH($G$5,Database!$B$1:$CT$1,0)),"")</f>
        <v/>
      </c>
      <c r="P18" s="225">
        <f t="shared" si="0"/>
        <v>0</v>
      </c>
      <c r="Q18" s="226">
        <f t="shared" si="1"/>
        <v>0</v>
      </c>
      <c r="R18" s="217">
        <f t="shared" si="2"/>
        <v>0</v>
      </c>
    </row>
    <row r="19" spans="1:18" ht="22.05" customHeight="1">
      <c r="A19" s="222">
        <v>9</v>
      </c>
      <c r="B19" s="223" t="s">
        <v>610</v>
      </c>
      <c r="C19" s="216">
        <v>0.5</v>
      </c>
      <c r="D19" s="211" t="s">
        <v>123</v>
      </c>
      <c r="E19" s="216">
        <v>0.5</v>
      </c>
      <c r="F19" s="224" t="str">
        <f>IFERROR(INDEX(Database!$B$2:$CT$473,MATCH(D19,Database!$A$2:$A$473,0),MATCH($C$5,Database!$B$1:$CT$1,0)),"")</f>
        <v/>
      </c>
      <c r="G19" s="224" t="str">
        <f>IFERROR(INDEX(Database!$B$2:$CT$473,MATCH(D19,Database!$A$2:$A$473,0),MATCH($G$5,Database!$B$1:$CT$1,0)),"")</f>
        <v/>
      </c>
      <c r="H19" s="211"/>
      <c r="I19" s="216"/>
      <c r="J19" s="224" t="str">
        <f>IFERROR(INDEX(Database!$B$2:$CT$473,MATCH(H19,Database!$A$2:$A$473,0),MATCH($C$5,Database!$B$1:$CT$1,0)),"")</f>
        <v/>
      </c>
      <c r="K19" s="224" t="str">
        <f>IFERROR(INDEX(Database!$B$2:$CT$473,MATCH(H19,Database!$A$2:$A$473,0),MATCH($G$5,Database!$B$1:$CT$1,0)),"")</f>
        <v/>
      </c>
      <c r="L19" s="211"/>
      <c r="M19" s="216"/>
      <c r="N19" s="224" t="str">
        <f>IFERROR(INDEX(Database!$B$2:$CT$473,MATCH(L19,Database!$A$2:$A$473,0),MATCH($C$5,Database!$B$1:$CT$1,0)),"")</f>
        <v/>
      </c>
      <c r="O19" s="224" t="str">
        <f>IFERROR(INDEX(Database!$B$2:$CT$473,MATCH(L19,Database!$A$2:$A$473,0),MATCH($G$5,Database!$B$1:$CT$1,0)),"")</f>
        <v/>
      </c>
      <c r="P19" s="225">
        <f t="shared" si="0"/>
        <v>0</v>
      </c>
      <c r="Q19" s="226">
        <f t="shared" si="1"/>
        <v>1.0669777137127863</v>
      </c>
      <c r="R19" s="217">
        <f t="shared" si="2"/>
        <v>1.0669777137127863</v>
      </c>
    </row>
    <row r="20" spans="1:18" ht="22.05" customHeight="1">
      <c r="A20" s="219">
        <v>10</v>
      </c>
      <c r="B20" s="227" t="s">
        <v>611</v>
      </c>
      <c r="C20" s="216">
        <v>0</v>
      </c>
      <c r="D20" s="211" t="s">
        <v>123</v>
      </c>
      <c r="E20" s="216">
        <v>1</v>
      </c>
      <c r="F20" s="224" t="str">
        <f>IFERROR(INDEX(Database!$B$2:$CT$473,MATCH(D20,Database!$A$2:$A$473,0),MATCH($C$5,Database!$B$1:$CT$1,0)),"")</f>
        <v/>
      </c>
      <c r="G20" s="224" t="str">
        <f>IFERROR(INDEX(Database!$B$2:$CT$473,MATCH(D20,Database!$A$2:$A$473,0),MATCH($G$5,Database!$B$1:$CT$1,0)),"")</f>
        <v/>
      </c>
      <c r="H20" s="211"/>
      <c r="I20" s="216"/>
      <c r="J20" s="224" t="str">
        <f>IFERROR(INDEX(Database!$B$2:$CT$473,MATCH(H20,Database!$A$2:$A$473,0),MATCH($C$5,Database!$B$1:$CT$1,0)),"")</f>
        <v/>
      </c>
      <c r="K20" s="224" t="str">
        <f>IFERROR(INDEX(Database!$B$2:$CT$473,MATCH(H20,Database!$A$2:$A$473,0),MATCH($G$5,Database!$B$1:$CT$1,0)),"")</f>
        <v/>
      </c>
      <c r="L20" s="211"/>
      <c r="M20" s="216"/>
      <c r="N20" s="224" t="str">
        <f>IFERROR(INDEX(Database!$B$2:$CT$473,MATCH(L20,Database!$A$2:$A$473,0),MATCH($C$5,Database!$B$1:$CT$1,0)),"")</f>
        <v/>
      </c>
      <c r="O20" s="224" t="str">
        <f>IFERROR(INDEX(Database!$B$2:$CT$473,MATCH(L20,Database!$A$2:$A$473,0),MATCH($G$5,Database!$B$1:$CT$1,0)),"")</f>
        <v/>
      </c>
      <c r="P20" s="225">
        <f t="shared" si="0"/>
        <v>0</v>
      </c>
      <c r="Q20" s="226">
        <f t="shared" si="1"/>
        <v>0</v>
      </c>
      <c r="R20" s="217">
        <f t="shared" si="2"/>
        <v>0</v>
      </c>
    </row>
    <row r="21" spans="1:18" ht="22.05" customHeight="1">
      <c r="A21" s="222">
        <v>11</v>
      </c>
      <c r="B21" s="223" t="s">
        <v>612</v>
      </c>
      <c r="C21" s="216">
        <v>0.5</v>
      </c>
      <c r="D21" s="211" t="s">
        <v>123</v>
      </c>
      <c r="E21" s="216">
        <v>0.5</v>
      </c>
      <c r="F21" s="224" t="str">
        <f>IFERROR(INDEX(Database!$B$2:$CT$473,MATCH(D21,Database!$A$2:$A$473,0),MATCH($C$5,Database!$B$1:$CT$1,0)),"")</f>
        <v/>
      </c>
      <c r="G21" s="224" t="str">
        <f>IFERROR(INDEX(Database!$B$2:$CT$473,MATCH(D21,Database!$A$2:$A$473,0),MATCH($G$5,Database!$B$1:$CT$1,0)),"")</f>
        <v/>
      </c>
      <c r="H21" s="211"/>
      <c r="I21" s="216"/>
      <c r="J21" s="224" t="str">
        <f>IFERROR(INDEX(Database!$B$2:$CT$473,MATCH(H21,Database!$A$2:$A$473,0),MATCH($C$5,Database!$B$1:$CT$1,0)),"")</f>
        <v/>
      </c>
      <c r="K21" s="224" t="str">
        <f>IFERROR(INDEX(Database!$B$2:$CT$473,MATCH(H21,Database!$A$2:$A$473,0),MATCH($G$5,Database!$B$1:$CT$1,0)),"")</f>
        <v/>
      </c>
      <c r="L21" s="211"/>
      <c r="M21" s="216"/>
      <c r="N21" s="224" t="str">
        <f>IFERROR(INDEX(Database!$B$2:$CT$473,MATCH(L21,Database!$A$2:$A$473,0),MATCH($C$5,Database!$B$1:$CT$1,0)),"")</f>
        <v/>
      </c>
      <c r="O21" s="224" t="str">
        <f>IFERROR(INDEX(Database!$B$2:$CT$473,MATCH(L21,Database!$A$2:$A$473,0),MATCH($G$5,Database!$B$1:$CT$1,0)),"")</f>
        <v/>
      </c>
      <c r="P21" s="225">
        <f t="shared" si="0"/>
        <v>0</v>
      </c>
      <c r="Q21" s="226">
        <f t="shared" si="1"/>
        <v>1.0669777137127863</v>
      </c>
      <c r="R21" s="217">
        <f t="shared" si="2"/>
        <v>1.0669777137127863</v>
      </c>
    </row>
    <row r="22" spans="1:18" ht="22.05" customHeight="1">
      <c r="A22" s="219">
        <v>12</v>
      </c>
      <c r="B22" s="227" t="s">
        <v>613</v>
      </c>
      <c r="C22" s="216">
        <v>0</v>
      </c>
      <c r="D22" s="211" t="s">
        <v>123</v>
      </c>
      <c r="E22" s="216">
        <v>0.5</v>
      </c>
      <c r="F22" s="224" t="str">
        <f>IFERROR(INDEX(Database!$B$2:$CT$473,MATCH(D22,Database!$A$2:$A$473,0),MATCH($C$5,Database!$B$1:$CT$1,0)),"")</f>
        <v/>
      </c>
      <c r="G22" s="224" t="str">
        <f>IFERROR(INDEX(Database!$B$2:$CT$473,MATCH(D22,Database!$A$2:$A$473,0),MATCH($G$5,Database!$B$1:$CT$1,0)),"")</f>
        <v/>
      </c>
      <c r="H22" s="211" t="s">
        <v>525</v>
      </c>
      <c r="I22" s="216">
        <v>0.5</v>
      </c>
      <c r="J22" s="224" t="str">
        <f>IFERROR(INDEX(Database!$B$2:$CT$473,MATCH(H22,Database!$A$2:$A$473,0),MATCH($C$5,Database!$B$1:$CT$1,0)),"")</f>
        <v/>
      </c>
      <c r="K22" s="224" t="str">
        <f>IFERROR(INDEX(Database!$B$2:$CT$473,MATCH(H22,Database!$A$2:$A$473,0),MATCH($G$5,Database!$B$1:$CT$1,0)),"")</f>
        <v/>
      </c>
      <c r="L22" s="211"/>
      <c r="M22" s="216"/>
      <c r="N22" s="224" t="str">
        <f>IFERROR(INDEX(Database!$B$2:$CT$473,MATCH(L22,Database!$A$2:$A$473,0),MATCH($C$5,Database!$B$1:$CT$1,0)),"")</f>
        <v/>
      </c>
      <c r="O22" s="224" t="str">
        <f>IFERROR(INDEX(Database!$B$2:$CT$473,MATCH(L22,Database!$A$2:$A$473,0),MATCH($G$5,Database!$B$1:$CT$1,0)),"")</f>
        <v/>
      </c>
      <c r="P22" s="225">
        <f t="shared" si="0"/>
        <v>0</v>
      </c>
      <c r="Q22" s="226">
        <f t="shared" si="1"/>
        <v>0</v>
      </c>
      <c r="R22" s="217">
        <f t="shared" si="2"/>
        <v>0</v>
      </c>
    </row>
    <row r="23" spans="1:18" ht="22.05" customHeight="1">
      <c r="A23" s="222">
        <v>13</v>
      </c>
      <c r="B23" s="223" t="s">
        <v>614</v>
      </c>
      <c r="C23" s="216">
        <v>0.5</v>
      </c>
      <c r="D23" s="211" t="s">
        <v>123</v>
      </c>
      <c r="E23" s="216">
        <v>0.25</v>
      </c>
      <c r="F23" s="224" t="str">
        <f>IFERROR(INDEX(Database!$B$2:$CT$473,MATCH(D23,Database!$A$2:$A$473,0),MATCH($C$5,Database!$B$1:$CT$1,0)),"")</f>
        <v/>
      </c>
      <c r="G23" s="224" t="str">
        <f>IFERROR(INDEX(Database!$B$2:$CT$473,MATCH(D23,Database!$A$2:$A$473,0),MATCH($G$5,Database!$B$1:$CT$1,0)),"")</f>
        <v/>
      </c>
      <c r="H23" s="211" t="s">
        <v>525</v>
      </c>
      <c r="I23" s="216">
        <v>0.25</v>
      </c>
      <c r="J23" s="224" t="str">
        <f>IFERROR(INDEX(Database!$B$2:$CT$473,MATCH(H23,Database!$A$2:$A$473,0),MATCH($C$5,Database!$B$1:$CT$1,0)),"")</f>
        <v/>
      </c>
      <c r="K23" s="224" t="str">
        <f>IFERROR(INDEX(Database!$B$2:$CT$473,MATCH(H23,Database!$A$2:$A$473,0),MATCH($G$5,Database!$B$1:$CT$1,0)),"")</f>
        <v/>
      </c>
      <c r="L23" s="211"/>
      <c r="M23" s="216"/>
      <c r="N23" s="224" t="str">
        <f>IFERROR(INDEX(Database!$B$2:$CT$473,MATCH(L23,Database!$A$2:$A$473,0),MATCH($C$5,Database!$B$1:$CT$1,0)),"")</f>
        <v/>
      </c>
      <c r="O23" s="224" t="str">
        <f>IFERROR(INDEX(Database!$B$2:$CT$473,MATCH(L23,Database!$A$2:$A$473,0),MATCH($G$5,Database!$B$1:$CT$1,0)),"")</f>
        <v/>
      </c>
      <c r="P23" s="225">
        <f t="shared" si="0"/>
        <v>0</v>
      </c>
      <c r="Q23" s="226">
        <f t="shared" si="1"/>
        <v>1.0669777137127863</v>
      </c>
      <c r="R23" s="217">
        <f t="shared" si="2"/>
        <v>1.0669777137127863</v>
      </c>
    </row>
    <row r="24" spans="1:18" ht="22.05" customHeight="1">
      <c r="A24" s="219">
        <v>14</v>
      </c>
      <c r="B24" s="227" t="s">
        <v>3087</v>
      </c>
      <c r="C24" s="216">
        <v>0</v>
      </c>
      <c r="D24" s="211" t="s">
        <v>123</v>
      </c>
      <c r="E24" s="216">
        <v>0.5</v>
      </c>
      <c r="F24" s="224" t="str">
        <f>IFERROR(INDEX(Database!$B$2:$CT$473,MATCH(D24,Database!$A$2:$A$473,0),MATCH($C$5,Database!$B$1:$CT$1,0)),"")</f>
        <v/>
      </c>
      <c r="G24" s="224" t="str">
        <f>IFERROR(INDEX(Database!$B$2:$CT$473,MATCH(D24,Database!$A$2:$A$473,0),MATCH($G$5,Database!$B$1:$CT$1,0)),"")</f>
        <v/>
      </c>
      <c r="H24" s="211" t="s">
        <v>525</v>
      </c>
      <c r="I24" s="216">
        <v>0.5</v>
      </c>
      <c r="J24" s="224" t="str">
        <f>IFERROR(INDEX(Database!$B$2:$CT$473,MATCH(H24,Database!$A$2:$A$473,0),MATCH($C$5,Database!$B$1:$CT$1,0)),"")</f>
        <v/>
      </c>
      <c r="K24" s="224" t="str">
        <f>IFERROR(INDEX(Database!$B$2:$CT$473,MATCH(H24,Database!$A$2:$A$473,0),MATCH($G$5,Database!$B$1:$CT$1,0)),"")</f>
        <v/>
      </c>
      <c r="L24" s="211"/>
      <c r="M24" s="216"/>
      <c r="N24" s="224" t="str">
        <f>IFERROR(INDEX(Database!$B$2:$CT$473,MATCH(L24,Database!$A$2:$A$473,0),MATCH($C$5,Database!$B$1:$CT$1,0)),"")</f>
        <v/>
      </c>
      <c r="O24" s="224" t="str">
        <f>IFERROR(INDEX(Database!$B$2:$CT$473,MATCH(L24,Database!$A$2:$A$473,0),MATCH($G$5,Database!$B$1:$CT$1,0)),"")</f>
        <v/>
      </c>
      <c r="P24" s="225">
        <f t="shared" si="0"/>
        <v>0</v>
      </c>
      <c r="Q24" s="226">
        <f t="shared" si="1"/>
        <v>0</v>
      </c>
      <c r="R24" s="217">
        <f t="shared" si="2"/>
        <v>0</v>
      </c>
    </row>
    <row r="25" spans="1:18" ht="22.05" customHeight="1">
      <c r="A25" s="222">
        <v>15</v>
      </c>
      <c r="B25" s="223" t="s">
        <v>616</v>
      </c>
      <c r="C25" s="216">
        <v>0.5</v>
      </c>
      <c r="D25" s="211" t="s">
        <v>123</v>
      </c>
      <c r="E25" s="216">
        <v>0.25</v>
      </c>
      <c r="F25" s="224" t="str">
        <f>IFERROR(INDEX(Database!$B$2:$CT$473,MATCH(D25,Database!$A$2:$A$473,0),MATCH($C$5,Database!$B$1:$CT$1,0)),"")</f>
        <v/>
      </c>
      <c r="G25" s="224" t="str">
        <f>IFERROR(INDEX(Database!$B$2:$CT$473,MATCH(D25,Database!$A$2:$A$473,0),MATCH($G$5,Database!$B$1:$CT$1,0)),"")</f>
        <v/>
      </c>
      <c r="H25" s="211" t="s">
        <v>525</v>
      </c>
      <c r="I25" s="216">
        <v>0.25</v>
      </c>
      <c r="J25" s="224" t="str">
        <f>IFERROR(INDEX(Database!$B$2:$CT$473,MATCH(H25,Database!$A$2:$A$473,0),MATCH($C$5,Database!$B$1:$CT$1,0)),"")</f>
        <v/>
      </c>
      <c r="K25" s="224" t="str">
        <f>IFERROR(INDEX(Database!$B$2:$CT$473,MATCH(H25,Database!$A$2:$A$473,0),MATCH($G$5,Database!$B$1:$CT$1,0)),"")</f>
        <v/>
      </c>
      <c r="L25" s="211"/>
      <c r="M25" s="216"/>
      <c r="N25" s="224" t="str">
        <f>IFERROR(INDEX(Database!$B$2:$CT$473,MATCH(L25,Database!$A$2:$A$473,0),MATCH($C$5,Database!$B$1:$CT$1,0)),"")</f>
        <v/>
      </c>
      <c r="O25" s="224" t="str">
        <f>IFERROR(INDEX(Database!$B$2:$CT$473,MATCH(L25,Database!$A$2:$A$473,0),MATCH($G$5,Database!$B$1:$CT$1,0)),"")</f>
        <v/>
      </c>
      <c r="P25" s="225">
        <f t="shared" si="0"/>
        <v>0</v>
      </c>
      <c r="Q25" s="226">
        <f t="shared" si="1"/>
        <v>1.0669777137127863</v>
      </c>
      <c r="R25" s="217">
        <f t="shared" si="2"/>
        <v>1.0669777137127863</v>
      </c>
    </row>
    <row r="26" spans="1:18" ht="22.05" customHeight="1">
      <c r="A26" s="219">
        <v>16</v>
      </c>
      <c r="B26" s="227" t="s">
        <v>617</v>
      </c>
      <c r="C26" s="216">
        <v>0.5</v>
      </c>
      <c r="D26" s="211" t="s">
        <v>123</v>
      </c>
      <c r="E26" s="216">
        <v>0.25</v>
      </c>
      <c r="F26" s="224" t="str">
        <f>IFERROR(INDEX(Database!$B$2:$CT$473,MATCH(D26,Database!$A$2:$A$473,0),MATCH($C$5,Database!$B$1:$CT$1,0)),"")</f>
        <v/>
      </c>
      <c r="G26" s="224" t="str">
        <f>IFERROR(INDEX(Database!$B$2:$CT$473,MATCH(D26,Database!$A$2:$A$473,0),MATCH($G$5,Database!$B$1:$CT$1,0)),"")</f>
        <v/>
      </c>
      <c r="H26" s="211" t="s">
        <v>525</v>
      </c>
      <c r="I26" s="216">
        <v>0.25</v>
      </c>
      <c r="J26" s="224" t="str">
        <f>IFERROR(INDEX(Database!$B$2:$CT$473,MATCH(H26,Database!$A$2:$A$473,0),MATCH($C$5,Database!$B$1:$CT$1,0)),"")</f>
        <v/>
      </c>
      <c r="K26" s="224" t="str">
        <f>IFERROR(INDEX(Database!$B$2:$CT$473,MATCH(H26,Database!$A$2:$A$473,0),MATCH($G$5,Database!$B$1:$CT$1,0)),"")</f>
        <v/>
      </c>
      <c r="L26" s="211"/>
      <c r="M26" s="216"/>
      <c r="N26" s="224" t="str">
        <f>IFERROR(INDEX(Database!$B$2:$CT$473,MATCH(L26,Database!$A$2:$A$473,0),MATCH($C$5,Database!$B$1:$CT$1,0)),"")</f>
        <v/>
      </c>
      <c r="O26" s="224" t="str">
        <f>IFERROR(INDEX(Database!$B$2:$CT$473,MATCH(L26,Database!$A$2:$A$473,0),MATCH($G$5,Database!$B$1:$CT$1,0)),"")</f>
        <v/>
      </c>
      <c r="P26" s="225">
        <f t="shared" si="0"/>
        <v>0</v>
      </c>
      <c r="Q26" s="226">
        <f t="shared" si="1"/>
        <v>1.0669777137127863</v>
      </c>
      <c r="R26" s="217">
        <f t="shared" si="2"/>
        <v>1.0669777137127863</v>
      </c>
    </row>
    <row r="27" spans="1:18" ht="22.05" customHeight="1">
      <c r="A27" s="222">
        <v>17</v>
      </c>
      <c r="B27" s="223" t="s">
        <v>618</v>
      </c>
      <c r="C27" s="216">
        <v>0.7</v>
      </c>
      <c r="D27" s="211" t="s">
        <v>123</v>
      </c>
      <c r="E27" s="216">
        <v>0.15</v>
      </c>
      <c r="F27" s="224" t="str">
        <f>IFERROR(INDEX(Database!$B$2:$CT$473,MATCH(D27,Database!$A$2:$A$473,0),MATCH($C$5,Database!$B$1:$CT$1,0)),"")</f>
        <v/>
      </c>
      <c r="G27" s="224" t="str">
        <f>IFERROR(INDEX(Database!$B$2:$CT$473,MATCH(D27,Database!$A$2:$A$473,0),MATCH($G$5,Database!$B$1:$CT$1,0)),"")</f>
        <v/>
      </c>
      <c r="H27" s="211" t="s">
        <v>525</v>
      </c>
      <c r="I27" s="216">
        <v>0.15</v>
      </c>
      <c r="J27" s="224" t="str">
        <f>IFERROR(INDEX(Database!$B$2:$CT$473,MATCH(H27,Database!$A$2:$A$473,0),MATCH($C$5,Database!$B$1:$CT$1,0)),"")</f>
        <v/>
      </c>
      <c r="K27" s="224" t="str">
        <f>IFERROR(INDEX(Database!$B$2:$CT$473,MATCH(H27,Database!$A$2:$A$473,0),MATCH($G$5,Database!$B$1:$CT$1,0)),"")</f>
        <v/>
      </c>
      <c r="L27" s="211"/>
      <c r="M27" s="216"/>
      <c r="N27" s="224" t="str">
        <f>IFERROR(INDEX(Database!$B$2:$CT$473,MATCH(L27,Database!$A$2:$A$473,0),MATCH($C$5,Database!$B$1:$CT$1,0)),"")</f>
        <v/>
      </c>
      <c r="O27" s="224" t="str">
        <f>IFERROR(INDEX(Database!$B$2:$CT$473,MATCH(L27,Database!$A$2:$A$473,0),MATCH($G$5,Database!$B$1:$CT$1,0)),"")</f>
        <v/>
      </c>
      <c r="P27" s="225">
        <f t="shared" si="0"/>
        <v>0</v>
      </c>
      <c r="Q27" s="226">
        <f t="shared" si="1"/>
        <v>1.4937687991979007</v>
      </c>
      <c r="R27" s="217">
        <f t="shared" si="2"/>
        <v>1.4937687991979007</v>
      </c>
    </row>
    <row r="28" spans="1:18" ht="22.05" customHeight="1">
      <c r="A28" s="219">
        <v>18</v>
      </c>
      <c r="B28" s="227" t="s">
        <v>619</v>
      </c>
      <c r="C28" s="216">
        <v>0</v>
      </c>
      <c r="D28" s="211" t="s">
        <v>123</v>
      </c>
      <c r="E28" s="216">
        <v>1</v>
      </c>
      <c r="F28" s="224" t="str">
        <f>IFERROR(INDEX(Database!$B$2:$CT$473,MATCH(D28,Database!$A$2:$A$473,0),MATCH($C$5,Database!$B$1:$CT$1,0)),"")</f>
        <v/>
      </c>
      <c r="G28" s="224" t="str">
        <f>IFERROR(INDEX(Database!$B$2:$CT$473,MATCH(D28,Database!$A$2:$A$473,0),MATCH($G$5,Database!$B$1:$CT$1,0)),"")</f>
        <v/>
      </c>
      <c r="H28" s="211"/>
      <c r="I28" s="216"/>
      <c r="J28" s="224" t="str">
        <f>IFERROR(INDEX(Database!$B$2:$CT$473,MATCH(H28,Database!$A$2:$A$473,0),MATCH($C$5,Database!$B$1:$CT$1,0)),"")</f>
        <v/>
      </c>
      <c r="K28" s="224" t="str">
        <f>IFERROR(INDEX(Database!$B$2:$CT$473,MATCH(H28,Database!$A$2:$A$473,0),MATCH($G$5,Database!$B$1:$CT$1,0)),"")</f>
        <v/>
      </c>
      <c r="L28" s="211"/>
      <c r="M28" s="216"/>
      <c r="N28" s="224" t="str">
        <f>IFERROR(INDEX(Database!$B$2:$CT$473,MATCH(L28,Database!$A$2:$A$473,0),MATCH($C$5,Database!$B$1:$CT$1,0)),"")</f>
        <v/>
      </c>
      <c r="O28" s="224" t="str">
        <f>IFERROR(INDEX(Database!$B$2:$CT$473,MATCH(L28,Database!$A$2:$A$473,0),MATCH($G$5,Database!$B$1:$CT$1,0)),"")</f>
        <v/>
      </c>
      <c r="P28" s="225">
        <f t="shared" si="0"/>
        <v>0</v>
      </c>
      <c r="Q28" s="226">
        <f t="shared" si="1"/>
        <v>0</v>
      </c>
      <c r="R28" s="217">
        <f t="shared" si="2"/>
        <v>0</v>
      </c>
    </row>
    <row r="29" spans="1:18" ht="22.05" customHeight="1">
      <c r="A29" s="222">
        <v>19</v>
      </c>
      <c r="B29" s="223" t="s">
        <v>620</v>
      </c>
      <c r="C29" s="216">
        <v>0.7</v>
      </c>
      <c r="D29" s="211" t="s">
        <v>123</v>
      </c>
      <c r="E29" s="216">
        <v>0.3</v>
      </c>
      <c r="F29" s="224" t="str">
        <f>IFERROR(INDEX(Database!$B$2:$CT$473,MATCH(D29,Database!$A$2:$A$473,0),MATCH($C$5,Database!$B$1:$CT$1,0)),"")</f>
        <v/>
      </c>
      <c r="G29" s="224" t="str">
        <f>IFERROR(INDEX(Database!$B$2:$CT$473,MATCH(D29,Database!$A$2:$A$473,0),MATCH($G$5,Database!$B$1:$CT$1,0)),"")</f>
        <v/>
      </c>
      <c r="H29" s="211"/>
      <c r="I29" s="216"/>
      <c r="J29" s="224" t="str">
        <f>IFERROR(INDEX(Database!$B$2:$CT$473,MATCH(H29,Database!$A$2:$A$473,0),MATCH($C$5,Database!$B$1:$CT$1,0)),"")</f>
        <v/>
      </c>
      <c r="K29" s="224" t="str">
        <f>IFERROR(INDEX(Database!$B$2:$CT$473,MATCH(H29,Database!$A$2:$A$473,0),MATCH($G$5,Database!$B$1:$CT$1,0)),"")</f>
        <v/>
      </c>
      <c r="L29" s="211"/>
      <c r="M29" s="216"/>
      <c r="N29" s="224" t="str">
        <f>IFERROR(INDEX(Database!$B$2:$CT$473,MATCH(L29,Database!$A$2:$A$473,0),MATCH($C$5,Database!$B$1:$CT$1,0)),"")</f>
        <v/>
      </c>
      <c r="O29" s="224" t="str">
        <f>IFERROR(INDEX(Database!$B$2:$CT$473,MATCH(L29,Database!$A$2:$A$473,0),MATCH($G$5,Database!$B$1:$CT$1,0)),"")</f>
        <v/>
      </c>
      <c r="P29" s="225">
        <f t="shared" si="0"/>
        <v>0</v>
      </c>
      <c r="Q29" s="226">
        <f t="shared" si="1"/>
        <v>1.4937687991979007</v>
      </c>
      <c r="R29" s="217">
        <f t="shared" si="2"/>
        <v>1.4937687991979007</v>
      </c>
    </row>
    <row r="30" spans="1:18" ht="22.05" customHeight="1">
      <c r="A30" s="219">
        <v>20</v>
      </c>
      <c r="B30" s="227" t="s">
        <v>621</v>
      </c>
      <c r="C30" s="216">
        <v>0</v>
      </c>
      <c r="D30" s="211" t="s">
        <v>131</v>
      </c>
      <c r="E30" s="216">
        <v>1</v>
      </c>
      <c r="F30" s="224" t="str">
        <f>IFERROR(INDEX(Database!$B$2:$CT$473,MATCH(D30,Database!$A$2:$A$473,0),MATCH($C$5,Database!$B$1:$CT$1,0)),"")</f>
        <v/>
      </c>
      <c r="G30" s="224" t="str">
        <f>IFERROR(INDEX(Database!$B$2:$CT$473,MATCH(D30,Database!$A$2:$A$473,0),MATCH($G$5,Database!$B$1:$CT$1,0)),"")</f>
        <v/>
      </c>
      <c r="H30" s="211"/>
      <c r="I30" s="216"/>
      <c r="J30" s="224" t="str">
        <f>IFERROR(INDEX(Database!$B$2:$CT$473,MATCH(H30,Database!$A$2:$A$473,0),MATCH($C$5,Database!$B$1:$CT$1,0)),"")</f>
        <v/>
      </c>
      <c r="K30" s="224" t="str">
        <f>IFERROR(INDEX(Database!$B$2:$CT$473,MATCH(H30,Database!$A$2:$A$473,0),MATCH($G$5,Database!$B$1:$CT$1,0)),"")</f>
        <v/>
      </c>
      <c r="L30" s="211"/>
      <c r="M30" s="216"/>
      <c r="N30" s="224" t="str">
        <f>IFERROR(INDEX(Database!$B$2:$CT$473,MATCH(L30,Database!$A$2:$A$473,0),MATCH($C$5,Database!$B$1:$CT$1,0)),"")</f>
        <v/>
      </c>
      <c r="O30" s="224" t="str">
        <f>IFERROR(INDEX(Database!$B$2:$CT$473,MATCH(L30,Database!$A$2:$A$473,0),MATCH($G$5,Database!$B$1:$CT$1,0)),"")</f>
        <v/>
      </c>
      <c r="P30" s="225">
        <f t="shared" si="0"/>
        <v>0</v>
      </c>
      <c r="Q30" s="226">
        <f t="shared" si="1"/>
        <v>0</v>
      </c>
      <c r="R30" s="217">
        <f t="shared" si="2"/>
        <v>0</v>
      </c>
    </row>
    <row r="31" spans="1:18" ht="22.05" customHeight="1">
      <c r="A31" s="222">
        <v>21</v>
      </c>
      <c r="B31" s="223" t="s">
        <v>622</v>
      </c>
      <c r="C31" s="216">
        <v>0.3</v>
      </c>
      <c r="D31" s="211" t="s">
        <v>123</v>
      </c>
      <c r="E31" s="216">
        <v>0.7</v>
      </c>
      <c r="F31" s="224" t="str">
        <f>IFERROR(INDEX(Database!$B$2:$CT$473,MATCH(D31,Database!$A$2:$A$473,0),MATCH($C$5,Database!$B$1:$CT$1,0)),"")</f>
        <v/>
      </c>
      <c r="G31" s="224" t="str">
        <f>IFERROR(INDEX(Database!$B$2:$CT$473,MATCH(D31,Database!$A$2:$A$473,0),MATCH($G$5,Database!$B$1:$CT$1,0)),"")</f>
        <v/>
      </c>
      <c r="H31" s="211"/>
      <c r="I31" s="216"/>
      <c r="J31" s="224" t="str">
        <f>IFERROR(INDEX(Database!$B$2:$CT$473,MATCH(H31,Database!$A$2:$A$473,0),MATCH($C$5,Database!$B$1:$CT$1,0)),"")</f>
        <v/>
      </c>
      <c r="K31" s="224" t="str">
        <f>IFERROR(INDEX(Database!$B$2:$CT$473,MATCH(H31,Database!$A$2:$A$473,0),MATCH($G$5,Database!$B$1:$CT$1,0)),"")</f>
        <v/>
      </c>
      <c r="L31" s="211"/>
      <c r="M31" s="216"/>
      <c r="N31" s="224" t="str">
        <f>IFERROR(INDEX(Database!$B$2:$CT$473,MATCH(L31,Database!$A$2:$A$473,0),MATCH($C$5,Database!$B$1:$CT$1,0)),"")</f>
        <v/>
      </c>
      <c r="O31" s="224" t="str">
        <f>IFERROR(INDEX(Database!$B$2:$CT$473,MATCH(L31,Database!$A$2:$A$473,0),MATCH($G$5,Database!$B$1:$CT$1,0)),"")</f>
        <v/>
      </c>
      <c r="P31" s="225">
        <f t="shared" si="0"/>
        <v>0</v>
      </c>
      <c r="Q31" s="226">
        <f t="shared" si="1"/>
        <v>0.64018662822767169</v>
      </c>
      <c r="R31" s="217">
        <f t="shared" si="2"/>
        <v>0.64018662822767169</v>
      </c>
    </row>
    <row r="32" spans="1:18" ht="22.05" customHeight="1">
      <c r="A32" s="219">
        <v>22</v>
      </c>
      <c r="B32" s="227" t="s">
        <v>623</v>
      </c>
      <c r="C32" s="216">
        <v>0.7</v>
      </c>
      <c r="D32" s="211" t="s">
        <v>123</v>
      </c>
      <c r="E32" s="216">
        <v>0.3</v>
      </c>
      <c r="F32" s="224" t="str">
        <f>IFERROR(INDEX(Database!$B$2:$CT$473,MATCH(D32,Database!$A$2:$A$473,0),MATCH($C$5,Database!$B$1:$CT$1,0)),"")</f>
        <v/>
      </c>
      <c r="G32" s="224" t="str">
        <f>IFERROR(INDEX(Database!$B$2:$CT$473,MATCH(D32,Database!$A$2:$A$473,0),MATCH($G$5,Database!$B$1:$CT$1,0)),"")</f>
        <v/>
      </c>
      <c r="H32" s="211"/>
      <c r="I32" s="216"/>
      <c r="J32" s="224" t="str">
        <f>IFERROR(INDEX(Database!$B$2:$CT$473,MATCH(H32,Database!$A$2:$A$473,0),MATCH($C$5,Database!$B$1:$CT$1,0)),"")</f>
        <v/>
      </c>
      <c r="K32" s="224" t="str">
        <f>IFERROR(INDEX(Database!$B$2:$CT$473,MATCH(H32,Database!$A$2:$A$473,0),MATCH($G$5,Database!$B$1:$CT$1,0)),"")</f>
        <v/>
      </c>
      <c r="L32" s="211"/>
      <c r="M32" s="216"/>
      <c r="N32" s="224" t="str">
        <f>IFERROR(INDEX(Database!$B$2:$CT$473,MATCH(L32,Database!$A$2:$A$473,0),MATCH($C$5,Database!$B$1:$CT$1,0)),"")</f>
        <v/>
      </c>
      <c r="O32" s="224" t="str">
        <f>IFERROR(INDEX(Database!$B$2:$CT$473,MATCH(L32,Database!$A$2:$A$473,0),MATCH($G$5,Database!$B$1:$CT$1,0)),"")</f>
        <v/>
      </c>
      <c r="P32" s="225">
        <f t="shared" si="0"/>
        <v>0</v>
      </c>
      <c r="Q32" s="226">
        <f t="shared" si="1"/>
        <v>1.4937687991979007</v>
      </c>
      <c r="R32" s="217">
        <f t="shared" si="2"/>
        <v>1.4937687991979007</v>
      </c>
    </row>
    <row r="33" spans="1:18" ht="22.05" customHeight="1">
      <c r="A33" s="222">
        <v>23</v>
      </c>
      <c r="B33" s="223" t="s">
        <v>624</v>
      </c>
      <c r="C33" s="216">
        <v>0.35</v>
      </c>
      <c r="D33" s="211" t="s">
        <v>123</v>
      </c>
      <c r="E33" s="216">
        <v>0.65</v>
      </c>
      <c r="F33" s="224" t="str">
        <f>IFERROR(INDEX(Database!$B$2:$CT$473,MATCH(D33,Database!$A$2:$A$473,0),MATCH($C$5,Database!$B$1:$CT$1,0)),"")</f>
        <v/>
      </c>
      <c r="G33" s="224" t="str">
        <f>IFERROR(INDEX(Database!$B$2:$CT$473,MATCH(D33,Database!$A$2:$A$473,0),MATCH($G$5,Database!$B$1:$CT$1,0)),"")</f>
        <v/>
      </c>
      <c r="H33" s="211"/>
      <c r="I33" s="216"/>
      <c r="J33" s="224" t="str">
        <f>IFERROR(INDEX(Database!$B$2:$CT$473,MATCH(H33,Database!$A$2:$A$473,0),MATCH($C$5,Database!$B$1:$CT$1,0)),"")</f>
        <v/>
      </c>
      <c r="K33" s="224" t="str">
        <f>IFERROR(INDEX(Database!$B$2:$CT$473,MATCH(H33,Database!$A$2:$A$473,0),MATCH($G$5,Database!$B$1:$CT$1,0)),"")</f>
        <v/>
      </c>
      <c r="L33" s="211"/>
      <c r="M33" s="216"/>
      <c r="N33" s="224" t="str">
        <f>IFERROR(INDEX(Database!$B$2:$CT$473,MATCH(L33,Database!$A$2:$A$473,0),MATCH($C$5,Database!$B$1:$CT$1,0)),"")</f>
        <v/>
      </c>
      <c r="O33" s="224" t="str">
        <f>IFERROR(INDEX(Database!$B$2:$CT$473,MATCH(L33,Database!$A$2:$A$473,0),MATCH($G$5,Database!$B$1:$CT$1,0)),"")</f>
        <v/>
      </c>
      <c r="P33" s="225">
        <f t="shared" si="0"/>
        <v>0</v>
      </c>
      <c r="Q33" s="226">
        <f t="shared" si="1"/>
        <v>0.74688439959895037</v>
      </c>
      <c r="R33" s="217">
        <f t="shared" si="2"/>
        <v>0.74688439959895037</v>
      </c>
    </row>
    <row r="34" spans="1:18" ht="22.05" customHeight="1">
      <c r="A34" s="219">
        <v>24</v>
      </c>
      <c r="B34" s="227" t="s">
        <v>625</v>
      </c>
      <c r="C34" s="216">
        <v>0</v>
      </c>
      <c r="D34" s="211" t="s">
        <v>123</v>
      </c>
      <c r="E34" s="216">
        <v>0.75</v>
      </c>
      <c r="F34" s="224" t="str">
        <f>IFERROR(INDEX(Database!$B$2:$CT$473,MATCH(D34,Database!$A$2:$A$473,0),MATCH($C$5,Database!$B$1:$CT$1,0)),"")</f>
        <v/>
      </c>
      <c r="G34" s="224" t="str">
        <f>IFERROR(INDEX(Database!$B$2:$CT$473,MATCH(D34,Database!$A$2:$A$473,0),MATCH($G$5,Database!$B$1:$CT$1,0)),"")</f>
        <v/>
      </c>
      <c r="H34" s="211" t="s">
        <v>525</v>
      </c>
      <c r="I34" s="216">
        <v>0.25</v>
      </c>
      <c r="J34" s="224" t="str">
        <f>IFERROR(INDEX(Database!$B$2:$CT$473,MATCH(H34,Database!$A$2:$A$473,0),MATCH($C$5,Database!$B$1:$CT$1,0)),"")</f>
        <v/>
      </c>
      <c r="K34" s="224" t="str">
        <f>IFERROR(INDEX(Database!$B$2:$CT$473,MATCH(H34,Database!$A$2:$A$473,0),MATCH($G$5,Database!$B$1:$CT$1,0)),"")</f>
        <v/>
      </c>
      <c r="L34" s="211"/>
      <c r="M34" s="216"/>
      <c r="N34" s="224" t="str">
        <f>IFERROR(INDEX(Database!$B$2:$CT$473,MATCH(L34,Database!$A$2:$A$473,0),MATCH($C$5,Database!$B$1:$CT$1,0)),"")</f>
        <v/>
      </c>
      <c r="O34" s="224" t="str">
        <f>IFERROR(INDEX(Database!$B$2:$CT$473,MATCH(L34,Database!$A$2:$A$473,0),MATCH($G$5,Database!$B$1:$CT$1,0)),"")</f>
        <v/>
      </c>
      <c r="P34" s="225">
        <f t="shared" si="0"/>
        <v>0</v>
      </c>
      <c r="Q34" s="226">
        <f t="shared" si="1"/>
        <v>0</v>
      </c>
      <c r="R34" s="217">
        <f t="shared" si="2"/>
        <v>0</v>
      </c>
    </row>
    <row r="35" spans="1:18" ht="22.05" customHeight="1">
      <c r="A35" s="222">
        <v>25</v>
      </c>
      <c r="B35" s="223" t="s">
        <v>626</v>
      </c>
      <c r="C35" s="216">
        <v>0.3</v>
      </c>
      <c r="D35" s="211" t="s">
        <v>123</v>
      </c>
      <c r="E35" s="216">
        <v>0.45</v>
      </c>
      <c r="F35" s="224" t="str">
        <f>IFERROR(INDEX(Database!$B$2:$CT$473,MATCH(D35,Database!$A$2:$A$473,0),MATCH($C$5,Database!$B$1:$CT$1,0)),"")</f>
        <v/>
      </c>
      <c r="G35" s="224" t="str">
        <f>IFERROR(INDEX(Database!$B$2:$CT$473,MATCH(D35,Database!$A$2:$A$473,0),MATCH($G$5,Database!$B$1:$CT$1,0)),"")</f>
        <v/>
      </c>
      <c r="H35" s="211" t="s">
        <v>525</v>
      </c>
      <c r="I35" s="216">
        <v>0.25</v>
      </c>
      <c r="J35" s="224" t="str">
        <f>IFERROR(INDEX(Database!$B$2:$CT$473,MATCH(H35,Database!$A$2:$A$473,0),MATCH($C$5,Database!$B$1:$CT$1,0)),"")</f>
        <v/>
      </c>
      <c r="K35" s="224" t="str">
        <f>IFERROR(INDEX(Database!$B$2:$CT$473,MATCH(H35,Database!$A$2:$A$473,0),MATCH($G$5,Database!$B$1:$CT$1,0)),"")</f>
        <v/>
      </c>
      <c r="L35" s="211"/>
      <c r="M35" s="216"/>
      <c r="N35" s="224" t="str">
        <f>IFERROR(INDEX(Database!$B$2:$CT$473,MATCH(L35,Database!$A$2:$A$473,0),MATCH($C$5,Database!$B$1:$CT$1,0)),"")</f>
        <v/>
      </c>
      <c r="O35" s="224" t="str">
        <f>IFERROR(INDEX(Database!$B$2:$CT$473,MATCH(L35,Database!$A$2:$A$473,0),MATCH($G$5,Database!$B$1:$CT$1,0)),"")</f>
        <v/>
      </c>
      <c r="P35" s="225">
        <f t="shared" si="0"/>
        <v>0</v>
      </c>
      <c r="Q35" s="226">
        <f t="shared" si="1"/>
        <v>0.64018662822767169</v>
      </c>
      <c r="R35" s="217">
        <f t="shared" si="2"/>
        <v>0.64018662822767169</v>
      </c>
    </row>
    <row r="36" spans="1:18" ht="22.05" customHeight="1">
      <c r="A36" s="219">
        <v>26</v>
      </c>
      <c r="B36" s="227" t="s">
        <v>627</v>
      </c>
      <c r="C36" s="216">
        <v>0.75</v>
      </c>
      <c r="D36" s="211" t="s">
        <v>525</v>
      </c>
      <c r="E36" s="216">
        <v>0.25</v>
      </c>
      <c r="F36" s="224" t="str">
        <f>IFERROR(INDEX(Database!$B$2:$CT$473,MATCH(D36,Database!$A$2:$A$473,0),MATCH($C$5,Database!$B$1:$CT$1,0)),"")</f>
        <v/>
      </c>
      <c r="G36" s="224" t="str">
        <f>IFERROR(INDEX(Database!$B$2:$CT$473,MATCH(D36,Database!$A$2:$A$473,0),MATCH($G$5,Database!$B$1:$CT$1,0)),"")</f>
        <v/>
      </c>
      <c r="H36" s="211"/>
      <c r="I36" s="216"/>
      <c r="J36" s="224" t="str">
        <f>IFERROR(INDEX(Database!$B$2:$CT$473,MATCH(H36,Database!$A$2:$A$473,0),MATCH($C$5,Database!$B$1:$CT$1,0)),"")</f>
        <v/>
      </c>
      <c r="K36" s="224" t="str">
        <f>IFERROR(INDEX(Database!$B$2:$CT$473,MATCH(H36,Database!$A$2:$A$473,0),MATCH($G$5,Database!$B$1:$CT$1,0)),"")</f>
        <v/>
      </c>
      <c r="L36" s="211"/>
      <c r="M36" s="216"/>
      <c r="N36" s="224" t="str">
        <f>IFERROR(INDEX(Database!$B$2:$CT$473,MATCH(L36,Database!$A$2:$A$473,0),MATCH($C$5,Database!$B$1:$CT$1,0)),"")</f>
        <v/>
      </c>
      <c r="O36" s="224" t="str">
        <f>IFERROR(INDEX(Database!$B$2:$CT$473,MATCH(L36,Database!$A$2:$A$473,0),MATCH($G$5,Database!$B$1:$CT$1,0)),"")</f>
        <v/>
      </c>
      <c r="P36" s="225">
        <f t="shared" si="0"/>
        <v>0</v>
      </c>
      <c r="Q36" s="226">
        <f t="shared" si="1"/>
        <v>1.6004665705691794</v>
      </c>
      <c r="R36" s="217">
        <f t="shared" si="2"/>
        <v>1.6004665705691794</v>
      </c>
    </row>
    <row r="37" spans="1:18" ht="22.05" customHeight="1">
      <c r="A37" s="222">
        <v>27</v>
      </c>
      <c r="B37" s="223" t="s">
        <v>628</v>
      </c>
      <c r="C37" s="216">
        <v>0</v>
      </c>
      <c r="D37" s="211" t="s">
        <v>123</v>
      </c>
      <c r="E37" s="216">
        <v>1</v>
      </c>
      <c r="F37" s="224" t="str">
        <f>IFERROR(INDEX(Database!$B$2:$CT$473,MATCH(D37,Database!$A$2:$A$473,0),MATCH($C$5,Database!$B$1:$CT$1,0)),"")</f>
        <v/>
      </c>
      <c r="G37" s="224" t="str">
        <f>IFERROR(INDEX(Database!$B$2:$CT$473,MATCH(D37,Database!$A$2:$A$473,0),MATCH($G$5,Database!$B$1:$CT$1,0)),"")</f>
        <v/>
      </c>
      <c r="H37" s="211"/>
      <c r="I37" s="216"/>
      <c r="J37" s="224" t="str">
        <f>IFERROR(INDEX(Database!$B$2:$CT$473,MATCH(H37,Database!$A$2:$A$473,0),MATCH($C$5,Database!$B$1:$CT$1,0)),"")</f>
        <v/>
      </c>
      <c r="K37" s="224" t="str">
        <f>IFERROR(INDEX(Database!$B$2:$CT$473,MATCH(H37,Database!$A$2:$A$473,0),MATCH($G$5,Database!$B$1:$CT$1,0)),"")</f>
        <v/>
      </c>
      <c r="L37" s="211"/>
      <c r="M37" s="216"/>
      <c r="N37" s="224" t="str">
        <f>IFERROR(INDEX(Database!$B$2:$CT$473,MATCH(L37,Database!$A$2:$A$473,0),MATCH($C$5,Database!$B$1:$CT$1,0)),"")</f>
        <v/>
      </c>
      <c r="O37" s="224" t="str">
        <f>IFERROR(INDEX(Database!$B$2:$CT$473,MATCH(L37,Database!$A$2:$A$473,0),MATCH($G$5,Database!$B$1:$CT$1,0)),"")</f>
        <v/>
      </c>
      <c r="P37" s="225">
        <f t="shared" si="0"/>
        <v>0</v>
      </c>
      <c r="Q37" s="226">
        <f t="shared" si="1"/>
        <v>0</v>
      </c>
      <c r="R37" s="217">
        <f t="shared" si="2"/>
        <v>0</v>
      </c>
    </row>
    <row r="38" spans="1:18" ht="22.05" customHeight="1">
      <c r="A38" s="219">
        <v>28</v>
      </c>
      <c r="B38" s="227" t="s">
        <v>629</v>
      </c>
      <c r="C38" s="216">
        <v>0</v>
      </c>
      <c r="D38" s="211" t="s">
        <v>131</v>
      </c>
      <c r="E38" s="216">
        <v>1</v>
      </c>
      <c r="F38" s="224" t="str">
        <f>IFERROR(INDEX(Database!$B$2:$CT$473,MATCH(D38,Database!$A$2:$A$473,0),MATCH($C$5,Database!$B$1:$CT$1,0)),"")</f>
        <v/>
      </c>
      <c r="G38" s="224" t="str">
        <f>IFERROR(INDEX(Database!$B$2:$CT$473,MATCH(D38,Database!$A$2:$A$473,0),MATCH($G$5,Database!$B$1:$CT$1,0)),"")</f>
        <v/>
      </c>
      <c r="H38" s="211"/>
      <c r="I38" s="216"/>
      <c r="J38" s="224" t="str">
        <f>IFERROR(INDEX(Database!$B$2:$CT$473,MATCH(H38,Database!$A$2:$A$473,0),MATCH($C$5,Database!$B$1:$CT$1,0)),"")</f>
        <v/>
      </c>
      <c r="K38" s="224" t="str">
        <f>IFERROR(INDEX(Database!$B$2:$CT$473,MATCH(H38,Database!$A$2:$A$473,0),MATCH($G$5,Database!$B$1:$CT$1,0)),"")</f>
        <v/>
      </c>
      <c r="L38" s="211"/>
      <c r="M38" s="216"/>
      <c r="N38" s="224" t="str">
        <f>IFERROR(INDEX(Database!$B$2:$CT$473,MATCH(L38,Database!$A$2:$A$473,0),MATCH($C$5,Database!$B$1:$CT$1,0)),"")</f>
        <v/>
      </c>
      <c r="O38" s="224" t="str">
        <f>IFERROR(INDEX(Database!$B$2:$CT$473,MATCH(L38,Database!$A$2:$A$473,0),MATCH($G$5,Database!$B$1:$CT$1,0)),"")</f>
        <v/>
      </c>
      <c r="P38" s="225">
        <f t="shared" si="0"/>
        <v>0</v>
      </c>
      <c r="Q38" s="226">
        <f t="shared" si="1"/>
        <v>0</v>
      </c>
      <c r="R38" s="217">
        <f t="shared" si="2"/>
        <v>0</v>
      </c>
    </row>
    <row r="39" spans="1:18" ht="22.05" customHeight="1">
      <c r="A39" s="222">
        <v>29</v>
      </c>
      <c r="B39" s="223" t="s">
        <v>630</v>
      </c>
      <c r="C39" s="216">
        <v>0.7</v>
      </c>
      <c r="D39" s="211" t="s">
        <v>123</v>
      </c>
      <c r="E39" s="216">
        <v>0.3</v>
      </c>
      <c r="F39" s="224" t="str">
        <f>IFERROR(INDEX(Database!$B$2:$CT$473,MATCH(D39,Database!$A$2:$A$473,0),MATCH($C$5,Database!$B$1:$CT$1,0)),"")</f>
        <v/>
      </c>
      <c r="G39" s="224" t="str">
        <f>IFERROR(INDEX(Database!$B$2:$CT$473,MATCH(D39,Database!$A$2:$A$473,0),MATCH($G$5,Database!$B$1:$CT$1,0)),"")</f>
        <v/>
      </c>
      <c r="H39" s="211"/>
      <c r="I39" s="216"/>
      <c r="J39" s="224" t="str">
        <f>IFERROR(INDEX(Database!$B$2:$CT$473,MATCH(H39,Database!$A$2:$A$473,0),MATCH($C$5,Database!$B$1:$CT$1,0)),"")</f>
        <v/>
      </c>
      <c r="K39" s="224" t="str">
        <f>IFERROR(INDEX(Database!$B$2:$CT$473,MATCH(H39,Database!$A$2:$A$473,0),MATCH($G$5,Database!$B$1:$CT$1,0)),"")</f>
        <v/>
      </c>
      <c r="L39" s="211"/>
      <c r="M39" s="216"/>
      <c r="N39" s="224" t="str">
        <f>IFERROR(INDEX(Database!$B$2:$CT$473,MATCH(L39,Database!$A$2:$A$473,0),MATCH($C$5,Database!$B$1:$CT$1,0)),"")</f>
        <v/>
      </c>
      <c r="O39" s="224" t="str">
        <f>IFERROR(INDEX(Database!$B$2:$CT$473,MATCH(L39,Database!$A$2:$A$473,0),MATCH($G$5,Database!$B$1:$CT$1,0)),"")</f>
        <v/>
      </c>
      <c r="P39" s="225">
        <f t="shared" si="0"/>
        <v>0</v>
      </c>
      <c r="Q39" s="226">
        <f t="shared" si="1"/>
        <v>1.4937687991979007</v>
      </c>
      <c r="R39" s="217">
        <f t="shared" si="2"/>
        <v>1.4937687991979007</v>
      </c>
    </row>
    <row r="40" spans="1:18" ht="22.05" customHeight="1">
      <c r="A40" s="219">
        <v>30</v>
      </c>
      <c r="B40" s="227" t="s">
        <v>631</v>
      </c>
      <c r="C40" s="216">
        <v>0</v>
      </c>
      <c r="D40" s="211" t="s">
        <v>123</v>
      </c>
      <c r="E40" s="216">
        <v>1</v>
      </c>
      <c r="F40" s="224" t="str">
        <f>IFERROR(INDEX(Database!$B$2:$CT$473,MATCH(D40,Database!$A$2:$A$473,0),MATCH($C$5,Database!$B$1:$CT$1,0)),"")</f>
        <v/>
      </c>
      <c r="G40" s="224" t="str">
        <f>IFERROR(INDEX(Database!$B$2:$CT$473,MATCH(D40,Database!$A$2:$A$473,0),MATCH($G$5,Database!$B$1:$CT$1,0)),"")</f>
        <v/>
      </c>
      <c r="H40" s="211"/>
      <c r="I40" s="216"/>
      <c r="J40" s="224" t="str">
        <f>IFERROR(INDEX(Database!$B$2:$CT$473,MATCH(H40,Database!$A$2:$A$473,0),MATCH($C$5,Database!$B$1:$CT$1,0)),"")</f>
        <v/>
      </c>
      <c r="K40" s="224" t="str">
        <f>IFERROR(INDEX(Database!$B$2:$CT$473,MATCH(H40,Database!$A$2:$A$473,0),MATCH($G$5,Database!$B$1:$CT$1,0)),"")</f>
        <v/>
      </c>
      <c r="L40" s="211"/>
      <c r="M40" s="216"/>
      <c r="N40" s="224" t="str">
        <f>IFERROR(INDEX(Database!$B$2:$CT$473,MATCH(L40,Database!$A$2:$A$473,0),MATCH($C$5,Database!$B$1:$CT$1,0)),"")</f>
        <v/>
      </c>
      <c r="O40" s="224" t="str">
        <f>IFERROR(INDEX(Database!$B$2:$CT$473,MATCH(L40,Database!$A$2:$A$473,0),MATCH($G$5,Database!$B$1:$CT$1,0)),"")</f>
        <v/>
      </c>
      <c r="P40" s="225">
        <f t="shared" si="0"/>
        <v>0</v>
      </c>
      <c r="Q40" s="226">
        <f t="shared" si="1"/>
        <v>0</v>
      </c>
      <c r="R40" s="217">
        <f t="shared" si="2"/>
        <v>0</v>
      </c>
    </row>
    <row r="41" spans="1:18" ht="22.05" customHeight="1">
      <c r="A41" s="222">
        <v>31</v>
      </c>
      <c r="B41" s="223" t="s">
        <v>632</v>
      </c>
      <c r="C41" s="216">
        <v>0.75</v>
      </c>
      <c r="D41" s="211" t="s">
        <v>123</v>
      </c>
      <c r="E41" s="216">
        <v>0.25</v>
      </c>
      <c r="F41" s="224" t="str">
        <f>IFERROR(INDEX(Database!$B$2:$CT$473,MATCH(D41,Database!$A$2:$A$473,0),MATCH($C$5,Database!$B$1:$CT$1,0)),"")</f>
        <v/>
      </c>
      <c r="G41" s="224" t="str">
        <f>IFERROR(INDEX(Database!$B$2:$CT$473,MATCH(D41,Database!$A$2:$A$473,0),MATCH($G$5,Database!$B$1:$CT$1,0)),"")</f>
        <v/>
      </c>
      <c r="H41" s="211"/>
      <c r="I41" s="216"/>
      <c r="J41" s="224" t="str">
        <f>IFERROR(INDEX(Database!$B$2:$CT$473,MATCH(H41,Database!$A$2:$A$473,0),MATCH($C$5,Database!$B$1:$CT$1,0)),"")</f>
        <v/>
      </c>
      <c r="K41" s="224" t="str">
        <f>IFERROR(INDEX(Database!$B$2:$CT$473,MATCH(H41,Database!$A$2:$A$473,0),MATCH($G$5,Database!$B$1:$CT$1,0)),"")</f>
        <v/>
      </c>
      <c r="L41" s="211"/>
      <c r="M41" s="216"/>
      <c r="N41" s="224" t="str">
        <f>IFERROR(INDEX(Database!$B$2:$CT$473,MATCH(L41,Database!$A$2:$A$473,0),MATCH($C$5,Database!$B$1:$CT$1,0)),"")</f>
        <v/>
      </c>
      <c r="O41" s="224" t="str">
        <f>IFERROR(INDEX(Database!$B$2:$CT$473,MATCH(L41,Database!$A$2:$A$473,0),MATCH($G$5,Database!$B$1:$CT$1,0)),"")</f>
        <v/>
      </c>
      <c r="P41" s="225">
        <f t="shared" si="0"/>
        <v>0</v>
      </c>
      <c r="Q41" s="226">
        <f t="shared" si="1"/>
        <v>1.6004665705691794</v>
      </c>
      <c r="R41" s="217">
        <f t="shared" si="2"/>
        <v>1.6004665705691794</v>
      </c>
    </row>
    <row r="42" spans="1:18" ht="22.05" customHeight="1">
      <c r="A42" s="219">
        <v>32</v>
      </c>
      <c r="B42" s="227" t="s">
        <v>633</v>
      </c>
      <c r="C42" s="216">
        <v>0</v>
      </c>
      <c r="D42" s="211" t="s">
        <v>124</v>
      </c>
      <c r="E42" s="216">
        <v>1</v>
      </c>
      <c r="F42" s="224" t="str">
        <f>IFERROR(INDEX(Database!$B$2:$CT$473,MATCH(D42,Database!$A$2:$A$473,0),MATCH($C$5,Database!$B$1:$CT$1,0)),"")</f>
        <v/>
      </c>
      <c r="G42" s="224" t="str">
        <f>IFERROR(INDEX(Database!$B$2:$CT$473,MATCH(D42,Database!$A$2:$A$473,0),MATCH($G$5,Database!$B$1:$CT$1,0)),"")</f>
        <v/>
      </c>
      <c r="H42" s="211"/>
      <c r="I42" s="216"/>
      <c r="J42" s="224" t="str">
        <f>IFERROR(INDEX(Database!$B$2:$CT$473,MATCH(H42,Database!$A$2:$A$473,0),MATCH($C$5,Database!$B$1:$CT$1,0)),"")</f>
        <v/>
      </c>
      <c r="K42" s="224" t="str">
        <f>IFERROR(INDEX(Database!$B$2:$CT$473,MATCH(H42,Database!$A$2:$A$473,0),MATCH($G$5,Database!$B$1:$CT$1,0)),"")</f>
        <v/>
      </c>
      <c r="L42" s="211"/>
      <c r="M42" s="216"/>
      <c r="N42" s="224" t="str">
        <f>IFERROR(INDEX(Database!$B$2:$CT$473,MATCH(L42,Database!$A$2:$A$473,0),MATCH($C$5,Database!$B$1:$CT$1,0)),"")</f>
        <v/>
      </c>
      <c r="O42" s="224" t="str">
        <f>IFERROR(INDEX(Database!$B$2:$CT$473,MATCH(L42,Database!$A$2:$A$473,0),MATCH($G$5,Database!$B$1:$CT$1,0)),"")</f>
        <v/>
      </c>
      <c r="P42" s="225">
        <f t="shared" si="0"/>
        <v>0</v>
      </c>
      <c r="Q42" s="226">
        <f t="shared" si="1"/>
        <v>0</v>
      </c>
      <c r="R42" s="217">
        <f t="shared" si="2"/>
        <v>0</v>
      </c>
    </row>
    <row r="43" spans="1:18" ht="22.05" customHeight="1">
      <c r="A43" s="222">
        <v>33</v>
      </c>
      <c r="B43" s="223" t="s">
        <v>634</v>
      </c>
      <c r="C43" s="216">
        <v>0</v>
      </c>
      <c r="D43" s="211" t="s">
        <v>131</v>
      </c>
      <c r="E43" s="216">
        <v>1</v>
      </c>
      <c r="F43" s="224" t="str">
        <f>IFERROR(INDEX(Database!$B$2:$CT$473,MATCH(D43,Database!$A$2:$A$473,0),MATCH($C$5,Database!$B$1:$CT$1,0)),"")</f>
        <v/>
      </c>
      <c r="G43" s="224" t="str">
        <f>IFERROR(INDEX(Database!$B$2:$CT$473,MATCH(D43,Database!$A$2:$A$473,0),MATCH($G$5,Database!$B$1:$CT$1,0)),"")</f>
        <v/>
      </c>
      <c r="H43" s="211"/>
      <c r="I43" s="216"/>
      <c r="J43" s="224" t="str">
        <f>IFERROR(INDEX(Database!$B$2:$CT$473,MATCH(H43,Database!$A$2:$A$473,0),MATCH($C$5,Database!$B$1:$CT$1,0)),"")</f>
        <v/>
      </c>
      <c r="K43" s="224" t="str">
        <f>IFERROR(INDEX(Database!$B$2:$CT$473,MATCH(H43,Database!$A$2:$A$473,0),MATCH($G$5,Database!$B$1:$CT$1,0)),"")</f>
        <v/>
      </c>
      <c r="L43" s="211"/>
      <c r="M43" s="216"/>
      <c r="N43" s="224" t="str">
        <f>IFERROR(INDEX(Database!$B$2:$CT$473,MATCH(L43,Database!$A$2:$A$473,0),MATCH($C$5,Database!$B$1:$CT$1,0)),"")</f>
        <v/>
      </c>
      <c r="O43" s="224" t="str">
        <f>IFERROR(INDEX(Database!$B$2:$CT$473,MATCH(L43,Database!$A$2:$A$473,0),MATCH($G$5,Database!$B$1:$CT$1,0)),"")</f>
        <v/>
      </c>
      <c r="P43" s="225">
        <f t="shared" ref="P43:P74" si="3">IF(OR(F43="",F43=0),0,(G43/F43)*E43)+IF(OR(J43="",J43=0),0,(K43/J43)*I43)+IF(OR(N43="",N43=0),0,(O43/N43)*M43)</f>
        <v>0</v>
      </c>
      <c r="Q43" s="226">
        <f t="shared" ref="Q43:Q74" si="4">IF(OR($C$6=0,$C$6=""),0,($G$6/$C$6)*C43)</f>
        <v>0</v>
      </c>
      <c r="R43" s="217">
        <f t="shared" ref="R43:R74" si="5">P43+Q43</f>
        <v>0</v>
      </c>
    </row>
    <row r="44" spans="1:18" ht="22.05" customHeight="1">
      <c r="A44" s="219">
        <v>34</v>
      </c>
      <c r="B44" s="227" t="s">
        <v>635</v>
      </c>
      <c r="C44" s="216">
        <v>0</v>
      </c>
      <c r="D44" s="211" t="s">
        <v>510</v>
      </c>
      <c r="E44" s="216">
        <v>1</v>
      </c>
      <c r="F44" s="224" t="str">
        <f>IFERROR(INDEX(Database!$B$2:$CT$473,MATCH(D44,Database!$A$2:$A$473,0),MATCH($C$5,Database!$B$1:$CT$1,0)),"")</f>
        <v/>
      </c>
      <c r="G44" s="224" t="str">
        <f>IFERROR(INDEX(Database!$B$2:$CT$473,MATCH(D44,Database!$A$2:$A$473,0),MATCH($G$5,Database!$B$1:$CT$1,0)),"")</f>
        <v/>
      </c>
      <c r="H44" s="211"/>
      <c r="I44" s="216"/>
      <c r="J44" s="224" t="str">
        <f>IFERROR(INDEX(Database!$B$2:$CT$473,MATCH(H44,Database!$A$2:$A$473,0),MATCH($C$5,Database!$B$1:$CT$1,0)),"")</f>
        <v/>
      </c>
      <c r="K44" s="224" t="str">
        <f>IFERROR(INDEX(Database!$B$2:$CT$473,MATCH(H44,Database!$A$2:$A$473,0),MATCH($G$5,Database!$B$1:$CT$1,0)),"")</f>
        <v/>
      </c>
      <c r="L44" s="211"/>
      <c r="M44" s="216"/>
      <c r="N44" s="224" t="str">
        <f>IFERROR(INDEX(Database!$B$2:$CT$473,MATCH(L44,Database!$A$2:$A$473,0),MATCH($C$5,Database!$B$1:$CT$1,0)),"")</f>
        <v/>
      </c>
      <c r="O44" s="224" t="str">
        <f>IFERROR(INDEX(Database!$B$2:$CT$473,MATCH(L44,Database!$A$2:$A$473,0),MATCH($G$5,Database!$B$1:$CT$1,0)),"")</f>
        <v/>
      </c>
      <c r="P44" s="225">
        <f t="shared" si="3"/>
        <v>0</v>
      </c>
      <c r="Q44" s="226">
        <f t="shared" si="4"/>
        <v>0</v>
      </c>
      <c r="R44" s="217">
        <f t="shared" si="5"/>
        <v>0</v>
      </c>
    </row>
    <row r="45" spans="1:18" ht="22.05" customHeight="1">
      <c r="A45" s="222">
        <v>35</v>
      </c>
      <c r="B45" s="223" t="s">
        <v>636</v>
      </c>
      <c r="C45" s="216">
        <v>0.7</v>
      </c>
      <c r="D45" s="211" t="s">
        <v>510</v>
      </c>
      <c r="E45" s="216">
        <v>0.3</v>
      </c>
      <c r="F45" s="224" t="str">
        <f>IFERROR(INDEX(Database!$B$2:$CT$473,MATCH(D45,Database!$A$2:$A$473,0),MATCH($C$5,Database!$B$1:$CT$1,0)),"")</f>
        <v/>
      </c>
      <c r="G45" s="224" t="str">
        <f>IFERROR(INDEX(Database!$B$2:$CT$473,MATCH(D45,Database!$A$2:$A$473,0),MATCH($G$5,Database!$B$1:$CT$1,0)),"")</f>
        <v/>
      </c>
      <c r="H45" s="211"/>
      <c r="I45" s="216"/>
      <c r="J45" s="224" t="str">
        <f>IFERROR(INDEX(Database!$B$2:$CT$473,MATCH(H45,Database!$A$2:$A$473,0),MATCH($C$5,Database!$B$1:$CT$1,0)),"")</f>
        <v/>
      </c>
      <c r="K45" s="224" t="str">
        <f>IFERROR(INDEX(Database!$B$2:$CT$473,MATCH(H45,Database!$A$2:$A$473,0),MATCH($G$5,Database!$B$1:$CT$1,0)),"")</f>
        <v/>
      </c>
      <c r="L45" s="211"/>
      <c r="M45" s="216"/>
      <c r="N45" s="224" t="str">
        <f>IFERROR(INDEX(Database!$B$2:$CT$473,MATCH(L45,Database!$A$2:$A$473,0),MATCH($C$5,Database!$B$1:$CT$1,0)),"")</f>
        <v/>
      </c>
      <c r="O45" s="224" t="str">
        <f>IFERROR(INDEX(Database!$B$2:$CT$473,MATCH(L45,Database!$A$2:$A$473,0),MATCH($G$5,Database!$B$1:$CT$1,0)),"")</f>
        <v/>
      </c>
      <c r="P45" s="225">
        <f t="shared" si="3"/>
        <v>0</v>
      </c>
      <c r="Q45" s="226">
        <f t="shared" si="4"/>
        <v>1.4937687991979007</v>
      </c>
      <c r="R45" s="217">
        <f t="shared" si="5"/>
        <v>1.4937687991979007</v>
      </c>
    </row>
    <row r="46" spans="1:18" ht="22.05" customHeight="1">
      <c r="A46" s="219">
        <v>36</v>
      </c>
      <c r="B46" s="227" t="s">
        <v>637</v>
      </c>
      <c r="C46" s="216">
        <v>0</v>
      </c>
      <c r="D46" s="211" t="s">
        <v>510</v>
      </c>
      <c r="E46" s="216">
        <v>0.5</v>
      </c>
      <c r="F46" s="224" t="str">
        <f>IFERROR(INDEX(Database!$B$2:$CT$473,MATCH(D46,Database!$A$2:$A$473,0),MATCH($C$5,Database!$B$1:$CT$1,0)),"")</f>
        <v/>
      </c>
      <c r="G46" s="224" t="str">
        <f>IFERROR(INDEX(Database!$B$2:$CT$473,MATCH(D46,Database!$A$2:$A$473,0),MATCH($G$5,Database!$B$1:$CT$1,0)),"")</f>
        <v/>
      </c>
      <c r="H46" s="211" t="s">
        <v>540</v>
      </c>
      <c r="I46" s="216">
        <v>0.5</v>
      </c>
      <c r="J46" s="224" t="str">
        <f>IFERROR(INDEX(Database!$B$2:$CT$473,MATCH(H46,Database!$A$2:$A$473,0),MATCH($C$5,Database!$B$1:$CT$1,0)),"")</f>
        <v/>
      </c>
      <c r="K46" s="224" t="str">
        <f>IFERROR(INDEX(Database!$B$2:$CT$473,MATCH(H46,Database!$A$2:$A$473,0),MATCH($G$5,Database!$B$1:$CT$1,0)),"")</f>
        <v/>
      </c>
      <c r="L46" s="211"/>
      <c r="M46" s="216"/>
      <c r="N46" s="224" t="str">
        <f>IFERROR(INDEX(Database!$B$2:$CT$473,MATCH(L46,Database!$A$2:$A$473,0),MATCH($C$5,Database!$B$1:$CT$1,0)),"")</f>
        <v/>
      </c>
      <c r="O46" s="224" t="str">
        <f>IFERROR(INDEX(Database!$B$2:$CT$473,MATCH(L46,Database!$A$2:$A$473,0),MATCH($G$5,Database!$B$1:$CT$1,0)),"")</f>
        <v/>
      </c>
      <c r="P46" s="225">
        <f t="shared" si="3"/>
        <v>0</v>
      </c>
      <c r="Q46" s="226">
        <f t="shared" si="4"/>
        <v>0</v>
      </c>
      <c r="R46" s="217">
        <f t="shared" si="5"/>
        <v>0</v>
      </c>
    </row>
    <row r="47" spans="1:18" ht="22.05" customHeight="1">
      <c r="A47" s="222">
        <v>37</v>
      </c>
      <c r="B47" s="223" t="s">
        <v>638</v>
      </c>
      <c r="C47" s="216">
        <v>0.8</v>
      </c>
      <c r="D47" s="211" t="s">
        <v>510</v>
      </c>
      <c r="E47" s="216">
        <v>0.1</v>
      </c>
      <c r="F47" s="224" t="str">
        <f>IFERROR(INDEX(Database!$B$2:$CT$473,MATCH(D47,Database!$A$2:$A$473,0),MATCH($C$5,Database!$B$1:$CT$1,0)),"")</f>
        <v/>
      </c>
      <c r="G47" s="224" t="str">
        <f>IFERROR(INDEX(Database!$B$2:$CT$473,MATCH(D47,Database!$A$2:$A$473,0),MATCH($G$5,Database!$B$1:$CT$1,0)),"")</f>
        <v/>
      </c>
      <c r="H47" s="211" t="s">
        <v>540</v>
      </c>
      <c r="I47" s="216">
        <v>0.1</v>
      </c>
      <c r="J47" s="224" t="str">
        <f>IFERROR(INDEX(Database!$B$2:$CT$473,MATCH(H47,Database!$A$2:$A$473,0),MATCH($C$5,Database!$B$1:$CT$1,0)),"")</f>
        <v/>
      </c>
      <c r="K47" s="224" t="str">
        <f>IFERROR(INDEX(Database!$B$2:$CT$473,MATCH(H47,Database!$A$2:$A$473,0),MATCH($G$5,Database!$B$1:$CT$1,0)),"")</f>
        <v/>
      </c>
      <c r="L47" s="211"/>
      <c r="M47" s="216"/>
      <c r="N47" s="224" t="str">
        <f>IFERROR(INDEX(Database!$B$2:$CT$473,MATCH(L47,Database!$A$2:$A$473,0),MATCH($C$5,Database!$B$1:$CT$1,0)),"")</f>
        <v/>
      </c>
      <c r="O47" s="224" t="str">
        <f>IFERROR(INDEX(Database!$B$2:$CT$473,MATCH(L47,Database!$A$2:$A$473,0),MATCH($G$5,Database!$B$1:$CT$1,0)),"")</f>
        <v/>
      </c>
      <c r="P47" s="225">
        <f t="shared" si="3"/>
        <v>0</v>
      </c>
      <c r="Q47" s="226">
        <f t="shared" si="4"/>
        <v>1.7071643419404581</v>
      </c>
      <c r="R47" s="217">
        <f t="shared" si="5"/>
        <v>1.7071643419404581</v>
      </c>
    </row>
    <row r="48" spans="1:18" ht="22.05" customHeight="1">
      <c r="A48" s="219">
        <v>38</v>
      </c>
      <c r="B48" s="227" t="s">
        <v>639</v>
      </c>
      <c r="C48" s="216">
        <v>0.7</v>
      </c>
      <c r="D48" s="211" t="s">
        <v>540</v>
      </c>
      <c r="E48" s="216">
        <v>0.3</v>
      </c>
      <c r="F48" s="224" t="str">
        <f>IFERROR(INDEX(Database!$B$2:$CT$473,MATCH(D48,Database!$A$2:$A$473,0),MATCH($C$5,Database!$B$1:$CT$1,0)),"")</f>
        <v/>
      </c>
      <c r="G48" s="224" t="str">
        <f>IFERROR(INDEX(Database!$B$2:$CT$473,MATCH(D48,Database!$A$2:$A$473,0),MATCH($G$5,Database!$B$1:$CT$1,0)),"")</f>
        <v/>
      </c>
      <c r="H48" s="211"/>
      <c r="I48" s="216"/>
      <c r="J48" s="224" t="str">
        <f>IFERROR(INDEX(Database!$B$2:$CT$473,MATCH(H48,Database!$A$2:$A$473,0),MATCH($C$5,Database!$B$1:$CT$1,0)),"")</f>
        <v/>
      </c>
      <c r="K48" s="224" t="str">
        <f>IFERROR(INDEX(Database!$B$2:$CT$473,MATCH(H48,Database!$A$2:$A$473,0),MATCH($G$5,Database!$B$1:$CT$1,0)),"")</f>
        <v/>
      </c>
      <c r="L48" s="211"/>
      <c r="M48" s="216"/>
      <c r="N48" s="224" t="str">
        <f>IFERROR(INDEX(Database!$B$2:$CT$473,MATCH(L48,Database!$A$2:$A$473,0),MATCH($C$5,Database!$B$1:$CT$1,0)),"")</f>
        <v/>
      </c>
      <c r="O48" s="224" t="str">
        <f>IFERROR(INDEX(Database!$B$2:$CT$473,MATCH(L48,Database!$A$2:$A$473,0),MATCH($G$5,Database!$B$1:$CT$1,0)),"")</f>
        <v/>
      </c>
      <c r="P48" s="225">
        <f t="shared" si="3"/>
        <v>0</v>
      </c>
      <c r="Q48" s="226">
        <f t="shared" si="4"/>
        <v>1.4937687991979007</v>
      </c>
      <c r="R48" s="217">
        <f t="shared" si="5"/>
        <v>1.4937687991979007</v>
      </c>
    </row>
    <row r="49" spans="1:18" ht="22.05" customHeight="1">
      <c r="A49" s="222">
        <v>39</v>
      </c>
      <c r="B49" s="223" t="s">
        <v>640</v>
      </c>
      <c r="C49" s="216">
        <v>0.9</v>
      </c>
      <c r="D49" s="211" t="s">
        <v>540</v>
      </c>
      <c r="E49" s="216">
        <v>0.1</v>
      </c>
      <c r="F49" s="224" t="str">
        <f>IFERROR(INDEX(Database!$B$2:$CT$473,MATCH(D49,Database!$A$2:$A$473,0),MATCH($C$5,Database!$B$1:$CT$1,0)),"")</f>
        <v/>
      </c>
      <c r="G49" s="224" t="str">
        <f>IFERROR(INDEX(Database!$B$2:$CT$473,MATCH(D49,Database!$A$2:$A$473,0),MATCH($G$5,Database!$B$1:$CT$1,0)),"")</f>
        <v/>
      </c>
      <c r="H49" s="211"/>
      <c r="I49" s="216"/>
      <c r="J49" s="224" t="str">
        <f>IFERROR(INDEX(Database!$B$2:$CT$473,MATCH(H49,Database!$A$2:$A$473,0),MATCH($C$5,Database!$B$1:$CT$1,0)),"")</f>
        <v/>
      </c>
      <c r="K49" s="224" t="str">
        <f>IFERROR(INDEX(Database!$B$2:$CT$473,MATCH(H49,Database!$A$2:$A$473,0),MATCH($G$5,Database!$B$1:$CT$1,0)),"")</f>
        <v/>
      </c>
      <c r="L49" s="211"/>
      <c r="M49" s="216"/>
      <c r="N49" s="224" t="str">
        <f>IFERROR(INDEX(Database!$B$2:$CT$473,MATCH(L49,Database!$A$2:$A$473,0),MATCH($C$5,Database!$B$1:$CT$1,0)),"")</f>
        <v/>
      </c>
      <c r="O49" s="224" t="str">
        <f>IFERROR(INDEX(Database!$B$2:$CT$473,MATCH(L49,Database!$A$2:$A$473,0),MATCH($G$5,Database!$B$1:$CT$1,0)),"")</f>
        <v/>
      </c>
      <c r="P49" s="225">
        <f t="shared" si="3"/>
        <v>0</v>
      </c>
      <c r="Q49" s="226">
        <f t="shared" si="4"/>
        <v>1.9205598846830154</v>
      </c>
      <c r="R49" s="217">
        <f t="shared" si="5"/>
        <v>1.9205598846830154</v>
      </c>
    </row>
    <row r="50" spans="1:18" ht="22.05" customHeight="1">
      <c r="A50" s="219">
        <v>40</v>
      </c>
      <c r="B50" s="227" t="s">
        <v>641</v>
      </c>
      <c r="C50" s="216">
        <v>0.7</v>
      </c>
      <c r="D50" s="211" t="s">
        <v>540</v>
      </c>
      <c r="E50" s="216">
        <v>0.15</v>
      </c>
      <c r="F50" s="224" t="str">
        <f>IFERROR(INDEX(Database!$B$2:$CT$473,MATCH(D50,Database!$A$2:$A$473,0),MATCH($C$5,Database!$B$1:$CT$1,0)),"")</f>
        <v/>
      </c>
      <c r="G50" s="224" t="str">
        <f>IFERROR(INDEX(Database!$B$2:$CT$473,MATCH(D50,Database!$A$2:$A$473,0),MATCH($G$5,Database!$B$1:$CT$1,0)),"")</f>
        <v/>
      </c>
      <c r="H50" s="211" t="s">
        <v>123</v>
      </c>
      <c r="I50" s="216">
        <v>0.15</v>
      </c>
      <c r="J50" s="224" t="str">
        <f>IFERROR(INDEX(Database!$B$2:$CT$473,MATCH(H50,Database!$A$2:$A$473,0),MATCH($C$5,Database!$B$1:$CT$1,0)),"")</f>
        <v/>
      </c>
      <c r="K50" s="224" t="str">
        <f>IFERROR(INDEX(Database!$B$2:$CT$473,MATCH(H50,Database!$A$2:$A$473,0),MATCH($G$5,Database!$B$1:$CT$1,0)),"")</f>
        <v/>
      </c>
      <c r="L50" s="211"/>
      <c r="M50" s="216"/>
      <c r="N50" s="224" t="str">
        <f>IFERROR(INDEX(Database!$B$2:$CT$473,MATCH(L50,Database!$A$2:$A$473,0),MATCH($C$5,Database!$B$1:$CT$1,0)),"")</f>
        <v/>
      </c>
      <c r="O50" s="224" t="str">
        <f>IFERROR(INDEX(Database!$B$2:$CT$473,MATCH(L50,Database!$A$2:$A$473,0),MATCH($G$5,Database!$B$1:$CT$1,0)),"")</f>
        <v/>
      </c>
      <c r="P50" s="225">
        <f t="shared" si="3"/>
        <v>0</v>
      </c>
      <c r="Q50" s="226">
        <f t="shared" si="4"/>
        <v>1.4937687991979007</v>
      </c>
      <c r="R50" s="217">
        <f t="shared" si="5"/>
        <v>1.4937687991979007</v>
      </c>
    </row>
    <row r="51" spans="1:18" ht="22.05" customHeight="1">
      <c r="A51" s="222">
        <v>41</v>
      </c>
      <c r="B51" s="223" t="s">
        <v>642</v>
      </c>
      <c r="C51" s="216">
        <v>0</v>
      </c>
      <c r="D51" s="211" t="s">
        <v>510</v>
      </c>
      <c r="E51" s="216">
        <v>1</v>
      </c>
      <c r="F51" s="224" t="str">
        <f>IFERROR(INDEX(Database!$B$2:$CT$473,MATCH(D51,Database!$A$2:$A$473,0),MATCH($C$5,Database!$B$1:$CT$1,0)),"")</f>
        <v/>
      </c>
      <c r="G51" s="224" t="str">
        <f>IFERROR(INDEX(Database!$B$2:$CT$473,MATCH(D51,Database!$A$2:$A$473,0),MATCH($G$5,Database!$B$1:$CT$1,0)),"")</f>
        <v/>
      </c>
      <c r="H51" s="211"/>
      <c r="I51" s="216"/>
      <c r="J51" s="224" t="str">
        <f>IFERROR(INDEX(Database!$B$2:$CT$473,MATCH(H51,Database!$A$2:$A$473,0),MATCH($C$5,Database!$B$1:$CT$1,0)),"")</f>
        <v/>
      </c>
      <c r="K51" s="224" t="str">
        <f>IFERROR(INDEX(Database!$B$2:$CT$473,MATCH(H51,Database!$A$2:$A$473,0),MATCH($G$5,Database!$B$1:$CT$1,0)),"")</f>
        <v/>
      </c>
      <c r="L51" s="211"/>
      <c r="M51" s="216"/>
      <c r="N51" s="224" t="str">
        <f>IFERROR(INDEX(Database!$B$2:$CT$473,MATCH(L51,Database!$A$2:$A$473,0),MATCH($C$5,Database!$B$1:$CT$1,0)),"")</f>
        <v/>
      </c>
      <c r="O51" s="224" t="str">
        <f>IFERROR(INDEX(Database!$B$2:$CT$473,MATCH(L51,Database!$A$2:$A$473,0),MATCH($G$5,Database!$B$1:$CT$1,0)),"")</f>
        <v/>
      </c>
      <c r="P51" s="225">
        <f t="shared" si="3"/>
        <v>0</v>
      </c>
      <c r="Q51" s="226">
        <f t="shared" si="4"/>
        <v>0</v>
      </c>
      <c r="R51" s="217">
        <f t="shared" si="5"/>
        <v>0</v>
      </c>
    </row>
    <row r="52" spans="1:18" ht="22.05" customHeight="1">
      <c r="A52" s="219">
        <v>42</v>
      </c>
      <c r="B52" s="227" t="s">
        <v>643</v>
      </c>
      <c r="C52" s="216">
        <v>0</v>
      </c>
      <c r="D52" s="211" t="s">
        <v>131</v>
      </c>
      <c r="E52" s="216">
        <v>1</v>
      </c>
      <c r="F52" s="224" t="str">
        <f>IFERROR(INDEX(Database!$B$2:$CT$473,MATCH(D52,Database!$A$2:$A$473,0),MATCH($C$5,Database!$B$1:$CT$1,0)),"")</f>
        <v/>
      </c>
      <c r="G52" s="224" t="str">
        <f>IFERROR(INDEX(Database!$B$2:$CT$473,MATCH(D52,Database!$A$2:$A$473,0),MATCH($G$5,Database!$B$1:$CT$1,0)),"")</f>
        <v/>
      </c>
      <c r="H52" s="211"/>
      <c r="I52" s="216"/>
      <c r="J52" s="224" t="str">
        <f>IFERROR(INDEX(Database!$B$2:$CT$473,MATCH(H52,Database!$A$2:$A$473,0),MATCH($C$5,Database!$B$1:$CT$1,0)),"")</f>
        <v/>
      </c>
      <c r="K52" s="224" t="str">
        <f>IFERROR(INDEX(Database!$B$2:$CT$473,MATCH(H52,Database!$A$2:$A$473,0),MATCH($G$5,Database!$B$1:$CT$1,0)),"")</f>
        <v/>
      </c>
      <c r="L52" s="211"/>
      <c r="M52" s="216"/>
      <c r="N52" s="224" t="str">
        <f>IFERROR(INDEX(Database!$B$2:$CT$473,MATCH(L52,Database!$A$2:$A$473,0),MATCH($C$5,Database!$B$1:$CT$1,0)),"")</f>
        <v/>
      </c>
      <c r="O52" s="224" t="str">
        <f>IFERROR(INDEX(Database!$B$2:$CT$473,MATCH(L52,Database!$A$2:$A$473,0),MATCH($G$5,Database!$B$1:$CT$1,0)),"")</f>
        <v/>
      </c>
      <c r="P52" s="225">
        <f t="shared" si="3"/>
        <v>0</v>
      </c>
      <c r="Q52" s="226">
        <f t="shared" si="4"/>
        <v>0</v>
      </c>
      <c r="R52" s="217">
        <f t="shared" si="5"/>
        <v>0</v>
      </c>
    </row>
    <row r="53" spans="1:18" ht="22.05" customHeight="1">
      <c r="A53" s="222">
        <v>43</v>
      </c>
      <c r="B53" s="223" t="s">
        <v>644</v>
      </c>
      <c r="C53" s="216">
        <v>0.7</v>
      </c>
      <c r="D53" s="211" t="s">
        <v>510</v>
      </c>
      <c r="E53" s="216">
        <v>0.3</v>
      </c>
      <c r="F53" s="224" t="str">
        <f>IFERROR(INDEX(Database!$B$2:$CT$473,MATCH(D53,Database!$A$2:$A$473,0),MATCH($C$5,Database!$B$1:$CT$1,0)),"")</f>
        <v/>
      </c>
      <c r="G53" s="224" t="str">
        <f>IFERROR(INDEX(Database!$B$2:$CT$473,MATCH(D53,Database!$A$2:$A$473,0),MATCH($G$5,Database!$B$1:$CT$1,0)),"")</f>
        <v/>
      </c>
      <c r="H53" s="211"/>
      <c r="I53" s="216"/>
      <c r="J53" s="224" t="str">
        <f>IFERROR(INDEX(Database!$B$2:$CT$473,MATCH(H53,Database!$A$2:$A$473,0),MATCH($C$5,Database!$B$1:$CT$1,0)),"")</f>
        <v/>
      </c>
      <c r="K53" s="224" t="str">
        <f>IFERROR(INDEX(Database!$B$2:$CT$473,MATCH(H53,Database!$A$2:$A$473,0),MATCH($G$5,Database!$B$1:$CT$1,0)),"")</f>
        <v/>
      </c>
      <c r="L53" s="211"/>
      <c r="M53" s="216"/>
      <c r="N53" s="224" t="str">
        <f>IFERROR(INDEX(Database!$B$2:$CT$473,MATCH(L53,Database!$A$2:$A$473,0),MATCH($C$5,Database!$B$1:$CT$1,0)),"")</f>
        <v/>
      </c>
      <c r="O53" s="224" t="str">
        <f>IFERROR(INDEX(Database!$B$2:$CT$473,MATCH(L53,Database!$A$2:$A$473,0),MATCH($G$5,Database!$B$1:$CT$1,0)),"")</f>
        <v/>
      </c>
      <c r="P53" s="225">
        <f t="shared" si="3"/>
        <v>0</v>
      </c>
      <c r="Q53" s="226">
        <f t="shared" si="4"/>
        <v>1.4937687991979007</v>
      </c>
      <c r="R53" s="217">
        <f t="shared" si="5"/>
        <v>1.4937687991979007</v>
      </c>
    </row>
    <row r="54" spans="1:18" ht="22.05" customHeight="1">
      <c r="A54" s="219">
        <v>44</v>
      </c>
      <c r="B54" s="227" t="s">
        <v>645</v>
      </c>
      <c r="C54" s="216">
        <v>0</v>
      </c>
      <c r="D54" s="211" t="s">
        <v>525</v>
      </c>
      <c r="E54" s="216">
        <v>1</v>
      </c>
      <c r="F54" s="224" t="str">
        <f>IFERROR(INDEX(Database!$B$2:$CT$473,MATCH(D54,Database!$A$2:$A$473,0),MATCH($C$5,Database!$B$1:$CT$1,0)),"")</f>
        <v/>
      </c>
      <c r="G54" s="224" t="str">
        <f>IFERROR(INDEX(Database!$B$2:$CT$473,MATCH(D54,Database!$A$2:$A$473,0),MATCH($G$5,Database!$B$1:$CT$1,0)),"")</f>
        <v/>
      </c>
      <c r="H54" s="211"/>
      <c r="I54" s="216"/>
      <c r="J54" s="224" t="str">
        <f>IFERROR(INDEX(Database!$B$2:$CT$473,MATCH(H54,Database!$A$2:$A$473,0),MATCH($C$5,Database!$B$1:$CT$1,0)),"")</f>
        <v/>
      </c>
      <c r="K54" s="224" t="str">
        <f>IFERROR(INDEX(Database!$B$2:$CT$473,MATCH(H54,Database!$A$2:$A$473,0),MATCH($G$5,Database!$B$1:$CT$1,0)),"")</f>
        <v/>
      </c>
      <c r="L54" s="211"/>
      <c r="M54" s="216"/>
      <c r="N54" s="224" t="str">
        <f>IFERROR(INDEX(Database!$B$2:$CT$473,MATCH(L54,Database!$A$2:$A$473,0),MATCH($C$5,Database!$B$1:$CT$1,0)),"")</f>
        <v/>
      </c>
      <c r="O54" s="224" t="str">
        <f>IFERROR(INDEX(Database!$B$2:$CT$473,MATCH(L54,Database!$A$2:$A$473,0),MATCH($G$5,Database!$B$1:$CT$1,0)),"")</f>
        <v/>
      </c>
      <c r="P54" s="225">
        <f t="shared" si="3"/>
        <v>0</v>
      </c>
      <c r="Q54" s="226">
        <f t="shared" si="4"/>
        <v>0</v>
      </c>
      <c r="R54" s="217">
        <f t="shared" si="5"/>
        <v>0</v>
      </c>
    </row>
    <row r="55" spans="1:18" ht="22.05" customHeight="1">
      <c r="A55" s="222">
        <v>45</v>
      </c>
      <c r="B55" s="223" t="s">
        <v>646</v>
      </c>
      <c r="C55" s="216">
        <v>0.75</v>
      </c>
      <c r="D55" s="211" t="s">
        <v>525</v>
      </c>
      <c r="E55" s="216">
        <v>0.25</v>
      </c>
      <c r="F55" s="224" t="str">
        <f>IFERROR(INDEX(Database!$B$2:$CT$473,MATCH(D55,Database!$A$2:$A$473,0),MATCH($C$5,Database!$B$1:$CT$1,0)),"")</f>
        <v/>
      </c>
      <c r="G55" s="224" t="str">
        <f>IFERROR(INDEX(Database!$B$2:$CT$473,MATCH(D55,Database!$A$2:$A$473,0),MATCH($G$5,Database!$B$1:$CT$1,0)),"")</f>
        <v/>
      </c>
      <c r="H55" s="211"/>
      <c r="I55" s="216"/>
      <c r="J55" s="224" t="str">
        <f>IFERROR(INDEX(Database!$B$2:$CT$473,MATCH(H55,Database!$A$2:$A$473,0),MATCH($C$5,Database!$B$1:$CT$1,0)),"")</f>
        <v/>
      </c>
      <c r="K55" s="224" t="str">
        <f>IFERROR(INDEX(Database!$B$2:$CT$473,MATCH(H55,Database!$A$2:$A$473,0),MATCH($G$5,Database!$B$1:$CT$1,0)),"")</f>
        <v/>
      </c>
      <c r="L55" s="211"/>
      <c r="M55" s="216"/>
      <c r="N55" s="224" t="str">
        <f>IFERROR(INDEX(Database!$B$2:$CT$473,MATCH(L55,Database!$A$2:$A$473,0),MATCH($C$5,Database!$B$1:$CT$1,0)),"")</f>
        <v/>
      </c>
      <c r="O55" s="224" t="str">
        <f>IFERROR(INDEX(Database!$B$2:$CT$473,MATCH(L55,Database!$A$2:$A$473,0),MATCH($G$5,Database!$B$1:$CT$1,0)),"")</f>
        <v/>
      </c>
      <c r="P55" s="225">
        <f t="shared" si="3"/>
        <v>0</v>
      </c>
      <c r="Q55" s="226">
        <f t="shared" si="4"/>
        <v>1.6004665705691794</v>
      </c>
      <c r="R55" s="217">
        <f t="shared" si="5"/>
        <v>1.6004665705691794</v>
      </c>
    </row>
    <row r="56" spans="1:18" ht="22.05" customHeight="1">
      <c r="A56" s="219">
        <v>46</v>
      </c>
      <c r="B56" s="227" t="s">
        <v>647</v>
      </c>
      <c r="C56" s="216">
        <v>0</v>
      </c>
      <c r="D56" s="211" t="s">
        <v>525</v>
      </c>
      <c r="E56" s="216">
        <v>1</v>
      </c>
      <c r="F56" s="224" t="str">
        <f>IFERROR(INDEX(Database!$B$2:$CT$473,MATCH(D56,Database!$A$2:$A$473,0),MATCH($C$5,Database!$B$1:$CT$1,0)),"")</f>
        <v/>
      </c>
      <c r="G56" s="224" t="str">
        <f>IFERROR(INDEX(Database!$B$2:$CT$473,MATCH(D56,Database!$A$2:$A$473,0),MATCH($G$5,Database!$B$1:$CT$1,0)),"")</f>
        <v/>
      </c>
      <c r="H56" s="211"/>
      <c r="I56" s="216"/>
      <c r="J56" s="224" t="str">
        <f>IFERROR(INDEX(Database!$B$2:$CT$473,MATCH(H56,Database!$A$2:$A$473,0),MATCH($C$5,Database!$B$1:$CT$1,0)),"")</f>
        <v/>
      </c>
      <c r="K56" s="224" t="str">
        <f>IFERROR(INDEX(Database!$B$2:$CT$473,MATCH(H56,Database!$A$2:$A$473,0),MATCH($G$5,Database!$B$1:$CT$1,0)),"")</f>
        <v/>
      </c>
      <c r="L56" s="211"/>
      <c r="M56" s="216"/>
      <c r="N56" s="224" t="str">
        <f>IFERROR(INDEX(Database!$B$2:$CT$473,MATCH(L56,Database!$A$2:$A$473,0),MATCH($C$5,Database!$B$1:$CT$1,0)),"")</f>
        <v/>
      </c>
      <c r="O56" s="224" t="str">
        <f>IFERROR(INDEX(Database!$B$2:$CT$473,MATCH(L56,Database!$A$2:$A$473,0),MATCH($G$5,Database!$B$1:$CT$1,0)),"")</f>
        <v/>
      </c>
      <c r="P56" s="225">
        <f t="shared" si="3"/>
        <v>0</v>
      </c>
      <c r="Q56" s="226">
        <f t="shared" si="4"/>
        <v>0</v>
      </c>
      <c r="R56" s="217">
        <f t="shared" si="5"/>
        <v>0</v>
      </c>
    </row>
    <row r="57" spans="1:18" ht="22.05" customHeight="1">
      <c r="A57" s="222">
        <v>47</v>
      </c>
      <c r="B57" s="223" t="s">
        <v>648</v>
      </c>
      <c r="C57" s="216">
        <v>0.9</v>
      </c>
      <c r="D57" s="211" t="s">
        <v>525</v>
      </c>
      <c r="E57" s="216">
        <v>0.1</v>
      </c>
      <c r="F57" s="224" t="str">
        <f>IFERROR(INDEX(Database!$B$2:$CT$473,MATCH(D57,Database!$A$2:$A$473,0),MATCH($C$5,Database!$B$1:$CT$1,0)),"")</f>
        <v/>
      </c>
      <c r="G57" s="224" t="str">
        <f>IFERROR(INDEX(Database!$B$2:$CT$473,MATCH(D57,Database!$A$2:$A$473,0),MATCH($G$5,Database!$B$1:$CT$1,0)),"")</f>
        <v/>
      </c>
      <c r="H57" s="211"/>
      <c r="I57" s="216"/>
      <c r="J57" s="224" t="str">
        <f>IFERROR(INDEX(Database!$B$2:$CT$473,MATCH(H57,Database!$A$2:$A$473,0),MATCH($C$5,Database!$B$1:$CT$1,0)),"")</f>
        <v/>
      </c>
      <c r="K57" s="224" t="str">
        <f>IFERROR(INDEX(Database!$B$2:$CT$473,MATCH(H57,Database!$A$2:$A$473,0),MATCH($G$5,Database!$B$1:$CT$1,0)),"")</f>
        <v/>
      </c>
      <c r="L57" s="211"/>
      <c r="M57" s="216"/>
      <c r="N57" s="224" t="str">
        <f>IFERROR(INDEX(Database!$B$2:$CT$473,MATCH(L57,Database!$A$2:$A$473,0),MATCH($C$5,Database!$B$1:$CT$1,0)),"")</f>
        <v/>
      </c>
      <c r="O57" s="224" t="str">
        <f>IFERROR(INDEX(Database!$B$2:$CT$473,MATCH(L57,Database!$A$2:$A$473,0),MATCH($G$5,Database!$B$1:$CT$1,0)),"")</f>
        <v/>
      </c>
      <c r="P57" s="225">
        <f t="shared" si="3"/>
        <v>0</v>
      </c>
      <c r="Q57" s="226">
        <f t="shared" si="4"/>
        <v>1.9205598846830154</v>
      </c>
      <c r="R57" s="217">
        <f t="shared" si="5"/>
        <v>1.9205598846830154</v>
      </c>
    </row>
    <row r="58" spans="1:18" ht="22.05" customHeight="1">
      <c r="A58" s="219">
        <v>48</v>
      </c>
      <c r="B58" s="227" t="s">
        <v>649</v>
      </c>
      <c r="C58" s="216">
        <v>0.5</v>
      </c>
      <c r="D58" s="211" t="s">
        <v>525</v>
      </c>
      <c r="E58" s="216">
        <v>0.1</v>
      </c>
      <c r="F58" s="224" t="str">
        <f>IFERROR(INDEX(Database!$B$2:$CT$473,MATCH(D58,Database!$A$2:$A$473,0),MATCH($C$5,Database!$B$1:$CT$1,0)),"")</f>
        <v/>
      </c>
      <c r="G58" s="224" t="str">
        <f>IFERROR(INDEX(Database!$B$2:$CT$473,MATCH(D58,Database!$A$2:$A$473,0),MATCH($G$5,Database!$B$1:$CT$1,0)),"")</f>
        <v/>
      </c>
      <c r="H58" s="211" t="s">
        <v>131</v>
      </c>
      <c r="I58" s="216">
        <v>0.4</v>
      </c>
      <c r="J58" s="224" t="str">
        <f>IFERROR(INDEX(Database!$B$2:$CT$473,MATCH(H58,Database!$A$2:$A$473,0),MATCH($C$5,Database!$B$1:$CT$1,0)),"")</f>
        <v/>
      </c>
      <c r="K58" s="224" t="str">
        <f>IFERROR(INDEX(Database!$B$2:$CT$473,MATCH(H58,Database!$A$2:$A$473,0),MATCH($G$5,Database!$B$1:$CT$1,0)),"")</f>
        <v/>
      </c>
      <c r="L58" s="211"/>
      <c r="M58" s="216"/>
      <c r="N58" s="224" t="str">
        <f>IFERROR(INDEX(Database!$B$2:$CT$473,MATCH(L58,Database!$A$2:$A$473,0),MATCH($C$5,Database!$B$1:$CT$1,0)),"")</f>
        <v/>
      </c>
      <c r="O58" s="224" t="str">
        <f>IFERROR(INDEX(Database!$B$2:$CT$473,MATCH(L58,Database!$A$2:$A$473,0),MATCH($G$5,Database!$B$1:$CT$1,0)),"")</f>
        <v/>
      </c>
      <c r="P58" s="225">
        <f t="shared" si="3"/>
        <v>0</v>
      </c>
      <c r="Q58" s="226">
        <f t="shared" si="4"/>
        <v>1.0669777137127863</v>
      </c>
      <c r="R58" s="217">
        <f t="shared" si="5"/>
        <v>1.0669777137127863</v>
      </c>
    </row>
    <row r="59" spans="1:18" ht="22.05" customHeight="1">
      <c r="A59" s="222">
        <v>49</v>
      </c>
      <c r="B59" s="223" t="s">
        <v>650</v>
      </c>
      <c r="C59" s="216">
        <v>0.5</v>
      </c>
      <c r="D59" s="211" t="s">
        <v>525</v>
      </c>
      <c r="E59" s="216">
        <v>0.5</v>
      </c>
      <c r="F59" s="224" t="str">
        <f>IFERROR(INDEX(Database!$B$2:$CT$473,MATCH(D59,Database!$A$2:$A$473,0),MATCH($C$5,Database!$B$1:$CT$1,0)),"")</f>
        <v/>
      </c>
      <c r="G59" s="224" t="str">
        <f>IFERROR(INDEX(Database!$B$2:$CT$473,MATCH(D59,Database!$A$2:$A$473,0),MATCH($G$5,Database!$B$1:$CT$1,0)),"")</f>
        <v/>
      </c>
      <c r="H59" s="211"/>
      <c r="I59" s="216"/>
      <c r="J59" s="224" t="str">
        <f>IFERROR(INDEX(Database!$B$2:$CT$473,MATCH(H59,Database!$A$2:$A$473,0),MATCH($C$5,Database!$B$1:$CT$1,0)),"")</f>
        <v/>
      </c>
      <c r="K59" s="224" t="str">
        <f>IFERROR(INDEX(Database!$B$2:$CT$473,MATCH(H59,Database!$A$2:$A$473,0),MATCH($G$5,Database!$B$1:$CT$1,0)),"")</f>
        <v/>
      </c>
      <c r="L59" s="211"/>
      <c r="M59" s="216"/>
      <c r="N59" s="224" t="str">
        <f>IFERROR(INDEX(Database!$B$2:$CT$473,MATCH(L59,Database!$A$2:$A$473,0),MATCH($C$5,Database!$B$1:$CT$1,0)),"")</f>
        <v/>
      </c>
      <c r="O59" s="224" t="str">
        <f>IFERROR(INDEX(Database!$B$2:$CT$473,MATCH(L59,Database!$A$2:$A$473,0),MATCH($G$5,Database!$B$1:$CT$1,0)),"")</f>
        <v/>
      </c>
      <c r="P59" s="225">
        <f t="shared" si="3"/>
        <v>0</v>
      </c>
      <c r="Q59" s="226">
        <f t="shared" si="4"/>
        <v>1.0669777137127863</v>
      </c>
      <c r="R59" s="217">
        <f t="shared" si="5"/>
        <v>1.0669777137127863</v>
      </c>
    </row>
    <row r="60" spans="1:18" ht="22.05" customHeight="1">
      <c r="A60" s="219">
        <v>50</v>
      </c>
      <c r="B60" s="227" t="s">
        <v>651</v>
      </c>
      <c r="C60" s="216">
        <v>0.5</v>
      </c>
      <c r="D60" s="211" t="s">
        <v>525</v>
      </c>
      <c r="E60" s="216">
        <v>0.25</v>
      </c>
      <c r="F60" s="224" t="str">
        <f>IFERROR(INDEX(Database!$B$2:$CT$473,MATCH(D60,Database!$A$2:$A$473,0),MATCH($C$5,Database!$B$1:$CT$1,0)),"")</f>
        <v/>
      </c>
      <c r="G60" s="224" t="str">
        <f>IFERROR(INDEX(Database!$B$2:$CT$473,MATCH(D60,Database!$A$2:$A$473,0),MATCH($G$5,Database!$B$1:$CT$1,0)),"")</f>
        <v/>
      </c>
      <c r="H60" s="211" t="s">
        <v>131</v>
      </c>
      <c r="I60" s="216">
        <v>0.25</v>
      </c>
      <c r="J60" s="224" t="str">
        <f>IFERROR(INDEX(Database!$B$2:$CT$473,MATCH(H60,Database!$A$2:$A$473,0),MATCH($C$5,Database!$B$1:$CT$1,0)),"")</f>
        <v/>
      </c>
      <c r="K60" s="224" t="str">
        <f>IFERROR(INDEX(Database!$B$2:$CT$473,MATCH(H60,Database!$A$2:$A$473,0),MATCH($G$5,Database!$B$1:$CT$1,0)),"")</f>
        <v/>
      </c>
      <c r="L60" s="211"/>
      <c r="M60" s="216"/>
      <c r="N60" s="224" t="str">
        <f>IFERROR(INDEX(Database!$B$2:$CT$473,MATCH(L60,Database!$A$2:$A$473,0),MATCH($C$5,Database!$B$1:$CT$1,0)),"")</f>
        <v/>
      </c>
      <c r="O60" s="224" t="str">
        <f>IFERROR(INDEX(Database!$B$2:$CT$473,MATCH(L60,Database!$A$2:$A$473,0),MATCH($G$5,Database!$B$1:$CT$1,0)),"")</f>
        <v/>
      </c>
      <c r="P60" s="225">
        <f t="shared" si="3"/>
        <v>0</v>
      </c>
      <c r="Q60" s="226">
        <f t="shared" si="4"/>
        <v>1.0669777137127863</v>
      </c>
      <c r="R60" s="217">
        <f t="shared" si="5"/>
        <v>1.0669777137127863</v>
      </c>
    </row>
    <row r="61" spans="1:18" ht="22.05" customHeight="1">
      <c r="A61" s="222">
        <v>51</v>
      </c>
      <c r="B61" s="223" t="s">
        <v>652</v>
      </c>
      <c r="C61" s="216">
        <v>0.75</v>
      </c>
      <c r="D61" s="211" t="s">
        <v>525</v>
      </c>
      <c r="E61" s="216">
        <v>0.25</v>
      </c>
      <c r="F61" s="224" t="str">
        <f>IFERROR(INDEX(Database!$B$2:$CT$473,MATCH(D61,Database!$A$2:$A$473,0),MATCH($C$5,Database!$B$1:$CT$1,0)),"")</f>
        <v/>
      </c>
      <c r="G61" s="224" t="str">
        <f>IFERROR(INDEX(Database!$B$2:$CT$473,MATCH(D61,Database!$A$2:$A$473,0),MATCH($G$5,Database!$B$1:$CT$1,0)),"")</f>
        <v/>
      </c>
      <c r="H61" s="211"/>
      <c r="I61" s="216"/>
      <c r="J61" s="224" t="str">
        <f>IFERROR(INDEX(Database!$B$2:$CT$473,MATCH(H61,Database!$A$2:$A$473,0),MATCH($C$5,Database!$B$1:$CT$1,0)),"")</f>
        <v/>
      </c>
      <c r="K61" s="224" t="str">
        <f>IFERROR(INDEX(Database!$B$2:$CT$473,MATCH(H61,Database!$A$2:$A$473,0),MATCH($G$5,Database!$B$1:$CT$1,0)),"")</f>
        <v/>
      </c>
      <c r="L61" s="211"/>
      <c r="M61" s="216"/>
      <c r="N61" s="224" t="str">
        <f>IFERROR(INDEX(Database!$B$2:$CT$473,MATCH(L61,Database!$A$2:$A$473,0),MATCH($C$5,Database!$B$1:$CT$1,0)),"")</f>
        <v/>
      </c>
      <c r="O61" s="224" t="str">
        <f>IFERROR(INDEX(Database!$B$2:$CT$473,MATCH(L61,Database!$A$2:$A$473,0),MATCH($G$5,Database!$B$1:$CT$1,0)),"")</f>
        <v/>
      </c>
      <c r="P61" s="225">
        <f t="shared" si="3"/>
        <v>0</v>
      </c>
      <c r="Q61" s="226">
        <f t="shared" si="4"/>
        <v>1.6004665705691794</v>
      </c>
      <c r="R61" s="217">
        <f t="shared" si="5"/>
        <v>1.6004665705691794</v>
      </c>
    </row>
    <row r="62" spans="1:18" ht="22.05" customHeight="1">
      <c r="A62" s="219">
        <v>52</v>
      </c>
      <c r="B62" s="227" t="s">
        <v>653</v>
      </c>
      <c r="C62" s="216">
        <v>0</v>
      </c>
      <c r="D62" s="211" t="s">
        <v>534</v>
      </c>
      <c r="E62" s="216">
        <v>1</v>
      </c>
      <c r="F62" s="224" t="str">
        <f>IFERROR(INDEX(Database!$B$2:$CT$473,MATCH(D62,Database!$A$2:$A$473,0),MATCH($C$5,Database!$B$1:$CT$1,0)),"")</f>
        <v/>
      </c>
      <c r="G62" s="224" t="str">
        <f>IFERROR(INDEX(Database!$B$2:$CT$473,MATCH(D62,Database!$A$2:$A$473,0),MATCH($G$5,Database!$B$1:$CT$1,0)),"")</f>
        <v/>
      </c>
      <c r="H62" s="211"/>
      <c r="I62" s="216"/>
      <c r="J62" s="224" t="str">
        <f>IFERROR(INDEX(Database!$B$2:$CT$473,MATCH(H62,Database!$A$2:$A$473,0),MATCH($C$5,Database!$B$1:$CT$1,0)),"")</f>
        <v/>
      </c>
      <c r="K62" s="224" t="str">
        <f>IFERROR(INDEX(Database!$B$2:$CT$473,MATCH(H62,Database!$A$2:$A$473,0),MATCH($G$5,Database!$B$1:$CT$1,0)),"")</f>
        <v/>
      </c>
      <c r="L62" s="211"/>
      <c r="M62" s="216"/>
      <c r="N62" s="224" t="str">
        <f>IFERROR(INDEX(Database!$B$2:$CT$473,MATCH(L62,Database!$A$2:$A$473,0),MATCH($C$5,Database!$B$1:$CT$1,0)),"")</f>
        <v/>
      </c>
      <c r="O62" s="224" t="str">
        <f>IFERROR(INDEX(Database!$B$2:$CT$473,MATCH(L62,Database!$A$2:$A$473,0),MATCH($G$5,Database!$B$1:$CT$1,0)),"")</f>
        <v/>
      </c>
      <c r="P62" s="225">
        <f t="shared" si="3"/>
        <v>0</v>
      </c>
      <c r="Q62" s="226">
        <f t="shared" si="4"/>
        <v>0</v>
      </c>
      <c r="R62" s="217">
        <f t="shared" si="5"/>
        <v>0</v>
      </c>
    </row>
    <row r="63" spans="1:18" ht="22.05" customHeight="1">
      <c r="A63" s="222">
        <v>53</v>
      </c>
      <c r="B63" s="223" t="s">
        <v>654</v>
      </c>
      <c r="C63" s="216">
        <v>0</v>
      </c>
      <c r="D63" s="211" t="s">
        <v>131</v>
      </c>
      <c r="E63" s="216">
        <v>0.8</v>
      </c>
      <c r="F63" s="224" t="str">
        <f>IFERROR(INDEX(Database!$B$2:$CT$473,MATCH(D63,Database!$A$2:$A$473,0),MATCH($C$5,Database!$B$1:$CT$1,0)),"")</f>
        <v/>
      </c>
      <c r="G63" s="224" t="str">
        <f>IFERROR(INDEX(Database!$B$2:$CT$473,MATCH(D63,Database!$A$2:$A$473,0),MATCH($G$5,Database!$B$1:$CT$1,0)),"")</f>
        <v/>
      </c>
      <c r="H63" s="211" t="s">
        <v>528</v>
      </c>
      <c r="I63" s="216">
        <v>0.2</v>
      </c>
      <c r="J63" s="224" t="str">
        <f>IFERROR(INDEX(Database!$B$2:$CT$473,MATCH(H63,Database!$A$2:$A$473,0),MATCH($C$5,Database!$B$1:$CT$1,0)),"")</f>
        <v/>
      </c>
      <c r="K63" s="224" t="str">
        <f>IFERROR(INDEX(Database!$B$2:$CT$473,MATCH(H63,Database!$A$2:$A$473,0),MATCH($G$5,Database!$B$1:$CT$1,0)),"")</f>
        <v/>
      </c>
      <c r="L63" s="211"/>
      <c r="M63" s="216"/>
      <c r="N63" s="224" t="str">
        <f>IFERROR(INDEX(Database!$B$2:$CT$473,MATCH(L63,Database!$A$2:$A$473,0),MATCH($C$5,Database!$B$1:$CT$1,0)),"")</f>
        <v/>
      </c>
      <c r="O63" s="224" t="str">
        <f>IFERROR(INDEX(Database!$B$2:$CT$473,MATCH(L63,Database!$A$2:$A$473,0),MATCH($G$5,Database!$B$1:$CT$1,0)),"")</f>
        <v/>
      </c>
      <c r="P63" s="225">
        <f t="shared" si="3"/>
        <v>0</v>
      </c>
      <c r="Q63" s="226">
        <f t="shared" si="4"/>
        <v>0</v>
      </c>
      <c r="R63" s="217">
        <f t="shared" si="5"/>
        <v>0</v>
      </c>
    </row>
    <row r="64" spans="1:18" ht="22.05" customHeight="1">
      <c r="A64" s="219">
        <v>54</v>
      </c>
      <c r="B64" s="227" t="s">
        <v>655</v>
      </c>
      <c r="C64" s="216">
        <v>0.8</v>
      </c>
      <c r="D64" s="211" t="s">
        <v>534</v>
      </c>
      <c r="E64" s="216">
        <v>0.2</v>
      </c>
      <c r="F64" s="224" t="str">
        <f>IFERROR(INDEX(Database!$B$2:$CT$473,MATCH(D64,Database!$A$2:$A$473,0),MATCH($C$5,Database!$B$1:$CT$1,0)),"")</f>
        <v/>
      </c>
      <c r="G64" s="224" t="str">
        <f>IFERROR(INDEX(Database!$B$2:$CT$473,MATCH(D64,Database!$A$2:$A$473,0),MATCH($G$5,Database!$B$1:$CT$1,0)),"")</f>
        <v/>
      </c>
      <c r="H64" s="211"/>
      <c r="I64" s="216"/>
      <c r="J64" s="224" t="str">
        <f>IFERROR(INDEX(Database!$B$2:$CT$473,MATCH(H64,Database!$A$2:$A$473,0),MATCH($C$5,Database!$B$1:$CT$1,0)),"")</f>
        <v/>
      </c>
      <c r="K64" s="224" t="str">
        <f>IFERROR(INDEX(Database!$B$2:$CT$473,MATCH(H64,Database!$A$2:$A$473,0),MATCH($G$5,Database!$B$1:$CT$1,0)),"")</f>
        <v/>
      </c>
      <c r="L64" s="211"/>
      <c r="M64" s="216"/>
      <c r="N64" s="224" t="str">
        <f>IFERROR(INDEX(Database!$B$2:$CT$473,MATCH(L64,Database!$A$2:$A$473,0),MATCH($C$5,Database!$B$1:$CT$1,0)),"")</f>
        <v/>
      </c>
      <c r="O64" s="224" t="str">
        <f>IFERROR(INDEX(Database!$B$2:$CT$473,MATCH(L64,Database!$A$2:$A$473,0),MATCH($G$5,Database!$B$1:$CT$1,0)),"")</f>
        <v/>
      </c>
      <c r="P64" s="225">
        <f t="shared" si="3"/>
        <v>0</v>
      </c>
      <c r="Q64" s="226">
        <f t="shared" si="4"/>
        <v>1.7071643419404581</v>
      </c>
      <c r="R64" s="217">
        <f t="shared" si="5"/>
        <v>1.7071643419404581</v>
      </c>
    </row>
    <row r="65" spans="1:18" ht="22.05" customHeight="1">
      <c r="A65" s="222">
        <v>55</v>
      </c>
      <c r="B65" s="223" t="s">
        <v>656</v>
      </c>
      <c r="C65" s="216">
        <v>0</v>
      </c>
      <c r="D65" s="211" t="s">
        <v>525</v>
      </c>
      <c r="E65" s="216">
        <v>1</v>
      </c>
      <c r="F65" s="224" t="str">
        <f>IFERROR(INDEX(Database!$B$2:$CT$473,MATCH(D65,Database!$A$2:$A$473,0),MATCH($C$5,Database!$B$1:$CT$1,0)),"")</f>
        <v/>
      </c>
      <c r="G65" s="224" t="str">
        <f>IFERROR(INDEX(Database!$B$2:$CT$473,MATCH(D65,Database!$A$2:$A$473,0),MATCH($G$5,Database!$B$1:$CT$1,0)),"")</f>
        <v/>
      </c>
      <c r="H65" s="211"/>
      <c r="I65" s="216"/>
      <c r="J65" s="224" t="str">
        <f>IFERROR(INDEX(Database!$B$2:$CT$473,MATCH(H65,Database!$A$2:$A$473,0),MATCH($C$5,Database!$B$1:$CT$1,0)),"")</f>
        <v/>
      </c>
      <c r="K65" s="224" t="str">
        <f>IFERROR(INDEX(Database!$B$2:$CT$473,MATCH(H65,Database!$A$2:$A$473,0),MATCH($G$5,Database!$B$1:$CT$1,0)),"")</f>
        <v/>
      </c>
      <c r="L65" s="211"/>
      <c r="M65" s="216"/>
      <c r="N65" s="224" t="str">
        <f>IFERROR(INDEX(Database!$B$2:$CT$473,MATCH(L65,Database!$A$2:$A$473,0),MATCH($C$5,Database!$B$1:$CT$1,0)),"")</f>
        <v/>
      </c>
      <c r="O65" s="224" t="str">
        <f>IFERROR(INDEX(Database!$B$2:$CT$473,MATCH(L65,Database!$A$2:$A$473,0),MATCH($G$5,Database!$B$1:$CT$1,0)),"")</f>
        <v/>
      </c>
      <c r="P65" s="225">
        <f t="shared" si="3"/>
        <v>0</v>
      </c>
      <c r="Q65" s="226">
        <f t="shared" si="4"/>
        <v>0</v>
      </c>
      <c r="R65" s="217">
        <f t="shared" si="5"/>
        <v>0</v>
      </c>
    </row>
    <row r="66" spans="1:18" ht="22.05" customHeight="1">
      <c r="A66" s="219">
        <v>56</v>
      </c>
      <c r="B66" s="227" t="s">
        <v>657</v>
      </c>
      <c r="C66" s="216">
        <v>0</v>
      </c>
      <c r="D66" s="211" t="s">
        <v>525</v>
      </c>
      <c r="E66" s="216">
        <v>0.7</v>
      </c>
      <c r="F66" s="224" t="str">
        <f>IFERROR(INDEX(Database!$B$2:$CT$473,MATCH(D66,Database!$A$2:$A$473,0),MATCH($C$5,Database!$B$1:$CT$1,0)),"")</f>
        <v/>
      </c>
      <c r="G66" s="224" t="str">
        <f>IFERROR(INDEX(Database!$B$2:$CT$473,MATCH(D66,Database!$A$2:$A$473,0),MATCH($G$5,Database!$B$1:$CT$1,0)),"")</f>
        <v/>
      </c>
      <c r="H66" s="211" t="s">
        <v>534</v>
      </c>
      <c r="I66" s="216">
        <v>0.3</v>
      </c>
      <c r="J66" s="224" t="str">
        <f>IFERROR(INDEX(Database!$B$2:$CT$473,MATCH(H66,Database!$A$2:$A$473,0),MATCH($C$5,Database!$B$1:$CT$1,0)),"")</f>
        <v/>
      </c>
      <c r="K66" s="224" t="str">
        <f>IFERROR(INDEX(Database!$B$2:$CT$473,MATCH(H66,Database!$A$2:$A$473,0),MATCH($G$5,Database!$B$1:$CT$1,0)),"")</f>
        <v/>
      </c>
      <c r="L66" s="211"/>
      <c r="M66" s="216"/>
      <c r="N66" s="224" t="str">
        <f>IFERROR(INDEX(Database!$B$2:$CT$473,MATCH(L66,Database!$A$2:$A$473,0),MATCH($C$5,Database!$B$1:$CT$1,0)),"")</f>
        <v/>
      </c>
      <c r="O66" s="224" t="str">
        <f>IFERROR(INDEX(Database!$B$2:$CT$473,MATCH(L66,Database!$A$2:$A$473,0),MATCH($G$5,Database!$B$1:$CT$1,0)),"")</f>
        <v/>
      </c>
      <c r="P66" s="225">
        <f t="shared" si="3"/>
        <v>0</v>
      </c>
      <c r="Q66" s="226">
        <f t="shared" si="4"/>
        <v>0</v>
      </c>
      <c r="R66" s="217">
        <f t="shared" si="5"/>
        <v>0</v>
      </c>
    </row>
    <row r="67" spans="1:18" ht="22.05" customHeight="1">
      <c r="A67" s="222">
        <v>57</v>
      </c>
      <c r="B67" s="223" t="s">
        <v>658</v>
      </c>
      <c r="C67" s="216">
        <v>0</v>
      </c>
      <c r="D67" s="211" t="s">
        <v>525</v>
      </c>
      <c r="E67" s="216">
        <v>1</v>
      </c>
      <c r="F67" s="224" t="str">
        <f>IFERROR(INDEX(Database!$B$2:$CT$473,MATCH(D67,Database!$A$2:$A$473,0),MATCH($C$5,Database!$B$1:$CT$1,0)),"")</f>
        <v/>
      </c>
      <c r="G67" s="224" t="str">
        <f>IFERROR(INDEX(Database!$B$2:$CT$473,MATCH(D67,Database!$A$2:$A$473,0),MATCH($G$5,Database!$B$1:$CT$1,0)),"")</f>
        <v/>
      </c>
      <c r="H67" s="211"/>
      <c r="I67" s="216"/>
      <c r="J67" s="224" t="str">
        <f>IFERROR(INDEX(Database!$B$2:$CT$473,MATCH(H67,Database!$A$2:$A$473,0),MATCH($C$5,Database!$B$1:$CT$1,0)),"")</f>
        <v/>
      </c>
      <c r="K67" s="224" t="str">
        <f>IFERROR(INDEX(Database!$B$2:$CT$473,MATCH(H67,Database!$A$2:$A$473,0),MATCH($G$5,Database!$B$1:$CT$1,0)),"")</f>
        <v/>
      </c>
      <c r="L67" s="211"/>
      <c r="M67" s="216"/>
      <c r="N67" s="224" t="str">
        <f>IFERROR(INDEX(Database!$B$2:$CT$473,MATCH(L67,Database!$A$2:$A$473,0),MATCH($C$5,Database!$B$1:$CT$1,0)),"")</f>
        <v/>
      </c>
      <c r="O67" s="224" t="str">
        <f>IFERROR(INDEX(Database!$B$2:$CT$473,MATCH(L67,Database!$A$2:$A$473,0),MATCH($G$5,Database!$B$1:$CT$1,0)),"")</f>
        <v/>
      </c>
      <c r="P67" s="225">
        <f t="shared" si="3"/>
        <v>0</v>
      </c>
      <c r="Q67" s="226">
        <f t="shared" si="4"/>
        <v>0</v>
      </c>
      <c r="R67" s="217">
        <f t="shared" si="5"/>
        <v>0</v>
      </c>
    </row>
    <row r="68" spans="1:18" ht="22.05" customHeight="1">
      <c r="A68" s="219">
        <v>58</v>
      </c>
      <c r="B68" s="227" t="s">
        <v>659</v>
      </c>
      <c r="C68" s="216">
        <v>0.4</v>
      </c>
      <c r="D68" s="211" t="s">
        <v>525</v>
      </c>
      <c r="E68" s="216">
        <v>0.6</v>
      </c>
      <c r="F68" s="224" t="str">
        <f>IFERROR(INDEX(Database!$B$2:$CT$473,MATCH(D68,Database!$A$2:$A$473,0),MATCH($C$5,Database!$B$1:$CT$1,0)),"")</f>
        <v/>
      </c>
      <c r="G68" s="224" t="str">
        <f>IFERROR(INDEX(Database!$B$2:$CT$473,MATCH(D68,Database!$A$2:$A$473,0),MATCH($G$5,Database!$B$1:$CT$1,0)),"")</f>
        <v/>
      </c>
      <c r="H68" s="211"/>
      <c r="I68" s="216"/>
      <c r="J68" s="224" t="str">
        <f>IFERROR(INDEX(Database!$B$2:$CT$473,MATCH(H68,Database!$A$2:$A$473,0),MATCH($C$5,Database!$B$1:$CT$1,0)),"")</f>
        <v/>
      </c>
      <c r="K68" s="224" t="str">
        <f>IFERROR(INDEX(Database!$B$2:$CT$473,MATCH(H68,Database!$A$2:$A$473,0),MATCH($G$5,Database!$B$1:$CT$1,0)),"")</f>
        <v/>
      </c>
      <c r="L68" s="211"/>
      <c r="M68" s="216"/>
      <c r="N68" s="224" t="str">
        <f>IFERROR(INDEX(Database!$B$2:$CT$473,MATCH(L68,Database!$A$2:$A$473,0),MATCH($C$5,Database!$B$1:$CT$1,0)),"")</f>
        <v/>
      </c>
      <c r="O68" s="224" t="str">
        <f>IFERROR(INDEX(Database!$B$2:$CT$473,MATCH(L68,Database!$A$2:$A$473,0),MATCH($G$5,Database!$B$1:$CT$1,0)),"")</f>
        <v/>
      </c>
      <c r="P68" s="225">
        <f t="shared" si="3"/>
        <v>0</v>
      </c>
      <c r="Q68" s="226">
        <f t="shared" si="4"/>
        <v>0.85358217097022904</v>
      </c>
      <c r="R68" s="217">
        <f t="shared" si="5"/>
        <v>0.85358217097022904</v>
      </c>
    </row>
    <row r="69" spans="1:18" ht="22.05" customHeight="1">
      <c r="A69" s="222">
        <v>59</v>
      </c>
      <c r="B69" s="223" t="s">
        <v>660</v>
      </c>
      <c r="C69" s="216">
        <v>0.45</v>
      </c>
      <c r="D69" s="211" t="s">
        <v>525</v>
      </c>
      <c r="E69" s="216">
        <v>0.45</v>
      </c>
      <c r="F69" s="224" t="str">
        <f>IFERROR(INDEX(Database!$B$2:$CT$473,MATCH(D69,Database!$A$2:$A$473,0),MATCH($C$5,Database!$B$1:$CT$1,0)),"")</f>
        <v/>
      </c>
      <c r="G69" s="224" t="str">
        <f>IFERROR(INDEX(Database!$B$2:$CT$473,MATCH(D69,Database!$A$2:$A$473,0),MATCH($G$5,Database!$B$1:$CT$1,0)),"")</f>
        <v/>
      </c>
      <c r="H69" s="211" t="s">
        <v>123</v>
      </c>
      <c r="I69" s="216">
        <v>0.1</v>
      </c>
      <c r="J69" s="224" t="str">
        <f>IFERROR(INDEX(Database!$B$2:$CT$473,MATCH(H69,Database!$A$2:$A$473,0),MATCH($C$5,Database!$B$1:$CT$1,0)),"")</f>
        <v/>
      </c>
      <c r="K69" s="224" t="str">
        <f>IFERROR(INDEX(Database!$B$2:$CT$473,MATCH(H69,Database!$A$2:$A$473,0),MATCH($G$5,Database!$B$1:$CT$1,0)),"")</f>
        <v/>
      </c>
      <c r="L69" s="211"/>
      <c r="M69" s="216"/>
      <c r="N69" s="224" t="str">
        <f>IFERROR(INDEX(Database!$B$2:$CT$473,MATCH(L69,Database!$A$2:$A$473,0),MATCH($C$5,Database!$B$1:$CT$1,0)),"")</f>
        <v/>
      </c>
      <c r="O69" s="224" t="str">
        <f>IFERROR(INDEX(Database!$B$2:$CT$473,MATCH(L69,Database!$A$2:$A$473,0),MATCH($G$5,Database!$B$1:$CT$1,0)),"")</f>
        <v/>
      </c>
      <c r="P69" s="225">
        <f t="shared" si="3"/>
        <v>0</v>
      </c>
      <c r="Q69" s="226">
        <f t="shared" si="4"/>
        <v>0.96027994234150771</v>
      </c>
      <c r="R69" s="217">
        <f t="shared" si="5"/>
        <v>0.96027994234150771</v>
      </c>
    </row>
    <row r="70" spans="1:18" ht="22.05" customHeight="1">
      <c r="A70" s="219">
        <v>60</v>
      </c>
      <c r="B70" s="227" t="s">
        <v>661</v>
      </c>
      <c r="C70" s="216">
        <v>0.4</v>
      </c>
      <c r="D70" s="211" t="s">
        <v>525</v>
      </c>
      <c r="E70" s="216">
        <v>0.4</v>
      </c>
      <c r="F70" s="224" t="str">
        <f>IFERROR(INDEX(Database!$B$2:$CT$473,MATCH(D70,Database!$A$2:$A$473,0),MATCH($C$5,Database!$B$1:$CT$1,0)),"")</f>
        <v/>
      </c>
      <c r="G70" s="224" t="str">
        <f>IFERROR(INDEX(Database!$B$2:$CT$473,MATCH(D70,Database!$A$2:$A$473,0),MATCH($G$5,Database!$B$1:$CT$1,0)),"")</f>
        <v/>
      </c>
      <c r="H70" s="211" t="s">
        <v>123</v>
      </c>
      <c r="I70" s="216">
        <v>0.2</v>
      </c>
      <c r="J70" s="224" t="str">
        <f>IFERROR(INDEX(Database!$B$2:$CT$473,MATCH(H70,Database!$A$2:$A$473,0),MATCH($C$5,Database!$B$1:$CT$1,0)),"")</f>
        <v/>
      </c>
      <c r="K70" s="224" t="str">
        <f>IFERROR(INDEX(Database!$B$2:$CT$473,MATCH(H70,Database!$A$2:$A$473,0),MATCH($G$5,Database!$B$1:$CT$1,0)),"")</f>
        <v/>
      </c>
      <c r="L70" s="211"/>
      <c r="M70" s="216"/>
      <c r="N70" s="224" t="str">
        <f>IFERROR(INDEX(Database!$B$2:$CT$473,MATCH(L70,Database!$A$2:$A$473,0),MATCH($C$5,Database!$B$1:$CT$1,0)),"")</f>
        <v/>
      </c>
      <c r="O70" s="224" t="str">
        <f>IFERROR(INDEX(Database!$B$2:$CT$473,MATCH(L70,Database!$A$2:$A$473,0),MATCH($G$5,Database!$B$1:$CT$1,0)),"")</f>
        <v/>
      </c>
      <c r="P70" s="225">
        <f t="shared" si="3"/>
        <v>0</v>
      </c>
      <c r="Q70" s="226">
        <f t="shared" si="4"/>
        <v>0.85358217097022904</v>
      </c>
      <c r="R70" s="217">
        <f t="shared" si="5"/>
        <v>0.85358217097022904</v>
      </c>
    </row>
    <row r="71" spans="1:18" ht="22.05" customHeight="1">
      <c r="A71" s="222">
        <v>61</v>
      </c>
      <c r="B71" s="223" t="s">
        <v>662</v>
      </c>
      <c r="C71" s="216">
        <v>0.9</v>
      </c>
      <c r="D71" s="211" t="s">
        <v>123</v>
      </c>
      <c r="E71" s="216">
        <v>0.1</v>
      </c>
      <c r="F71" s="224" t="str">
        <f>IFERROR(INDEX(Database!$B$2:$CT$473,MATCH(D71,Database!$A$2:$A$473,0),MATCH($C$5,Database!$B$1:$CT$1,0)),"")</f>
        <v/>
      </c>
      <c r="G71" s="224" t="str">
        <f>IFERROR(INDEX(Database!$B$2:$CT$473,MATCH(D71,Database!$A$2:$A$473,0),MATCH($G$5,Database!$B$1:$CT$1,0)),"")</f>
        <v/>
      </c>
      <c r="H71" s="211"/>
      <c r="I71" s="216"/>
      <c r="J71" s="224" t="str">
        <f>IFERROR(INDEX(Database!$B$2:$CT$473,MATCH(H71,Database!$A$2:$A$473,0),MATCH($C$5,Database!$B$1:$CT$1,0)),"")</f>
        <v/>
      </c>
      <c r="K71" s="224" t="str">
        <f>IFERROR(INDEX(Database!$B$2:$CT$473,MATCH(H71,Database!$A$2:$A$473,0),MATCH($G$5,Database!$B$1:$CT$1,0)),"")</f>
        <v/>
      </c>
      <c r="L71" s="211"/>
      <c r="M71" s="216"/>
      <c r="N71" s="224" t="str">
        <f>IFERROR(INDEX(Database!$B$2:$CT$473,MATCH(L71,Database!$A$2:$A$473,0),MATCH($C$5,Database!$B$1:$CT$1,0)),"")</f>
        <v/>
      </c>
      <c r="O71" s="224" t="str">
        <f>IFERROR(INDEX(Database!$B$2:$CT$473,MATCH(L71,Database!$A$2:$A$473,0),MATCH($G$5,Database!$B$1:$CT$1,0)),"")</f>
        <v/>
      </c>
      <c r="P71" s="225">
        <f t="shared" si="3"/>
        <v>0</v>
      </c>
      <c r="Q71" s="226">
        <f t="shared" si="4"/>
        <v>1.9205598846830154</v>
      </c>
      <c r="R71" s="217">
        <f t="shared" si="5"/>
        <v>1.9205598846830154</v>
      </c>
    </row>
    <row r="72" spans="1:18" ht="22.05" customHeight="1">
      <c r="A72" s="219">
        <v>62</v>
      </c>
      <c r="B72" s="227" t="s">
        <v>663</v>
      </c>
      <c r="C72" s="216">
        <v>0.9</v>
      </c>
      <c r="D72" s="211" t="s">
        <v>123</v>
      </c>
      <c r="E72" s="216">
        <v>0.1</v>
      </c>
      <c r="F72" s="224" t="str">
        <f>IFERROR(INDEX(Database!$B$2:$CT$473,MATCH(D72,Database!$A$2:$A$473,0),MATCH($C$5,Database!$B$1:$CT$1,0)),"")</f>
        <v/>
      </c>
      <c r="G72" s="224" t="str">
        <f>IFERROR(INDEX(Database!$B$2:$CT$473,MATCH(D72,Database!$A$2:$A$473,0),MATCH($G$5,Database!$B$1:$CT$1,0)),"")</f>
        <v/>
      </c>
      <c r="H72" s="211"/>
      <c r="I72" s="216"/>
      <c r="J72" s="224" t="str">
        <f>IFERROR(INDEX(Database!$B$2:$CT$473,MATCH(H72,Database!$A$2:$A$473,0),MATCH($C$5,Database!$B$1:$CT$1,0)),"")</f>
        <v/>
      </c>
      <c r="K72" s="224" t="str">
        <f>IFERROR(INDEX(Database!$B$2:$CT$473,MATCH(H72,Database!$A$2:$A$473,0),MATCH($G$5,Database!$B$1:$CT$1,0)),"")</f>
        <v/>
      </c>
      <c r="L72" s="211"/>
      <c r="M72" s="216"/>
      <c r="N72" s="224" t="str">
        <f>IFERROR(INDEX(Database!$B$2:$CT$473,MATCH(L72,Database!$A$2:$A$473,0),MATCH($C$5,Database!$B$1:$CT$1,0)),"")</f>
        <v/>
      </c>
      <c r="O72" s="224" t="str">
        <f>IFERROR(INDEX(Database!$B$2:$CT$473,MATCH(L72,Database!$A$2:$A$473,0),MATCH($G$5,Database!$B$1:$CT$1,0)),"")</f>
        <v/>
      </c>
      <c r="P72" s="225">
        <f t="shared" si="3"/>
        <v>0</v>
      </c>
      <c r="Q72" s="226">
        <f t="shared" si="4"/>
        <v>1.9205598846830154</v>
      </c>
      <c r="R72" s="217">
        <f t="shared" si="5"/>
        <v>1.9205598846830154</v>
      </c>
    </row>
    <row r="73" spans="1:18" ht="22.05" customHeight="1">
      <c r="A73" s="222">
        <v>63</v>
      </c>
      <c r="B73" s="223" t="s">
        <v>664</v>
      </c>
      <c r="C73" s="216">
        <v>0</v>
      </c>
      <c r="D73" s="211" t="s">
        <v>525</v>
      </c>
      <c r="E73" s="216">
        <v>0.8</v>
      </c>
      <c r="F73" s="224" t="str">
        <f>IFERROR(INDEX(Database!$B$2:$CT$473,MATCH(D73,Database!$A$2:$A$473,0),MATCH($C$5,Database!$B$1:$CT$1,0)),"")</f>
        <v/>
      </c>
      <c r="G73" s="224" t="str">
        <f>IFERROR(INDEX(Database!$B$2:$CT$473,MATCH(D73,Database!$A$2:$A$473,0),MATCH($G$5,Database!$B$1:$CT$1,0)),"")</f>
        <v/>
      </c>
      <c r="H73" s="211" t="s">
        <v>123</v>
      </c>
      <c r="I73" s="216">
        <v>0.2</v>
      </c>
      <c r="J73" s="224" t="str">
        <f>IFERROR(INDEX(Database!$B$2:$CT$473,MATCH(H73,Database!$A$2:$A$473,0),MATCH($C$5,Database!$B$1:$CT$1,0)),"")</f>
        <v/>
      </c>
      <c r="K73" s="224" t="str">
        <f>IFERROR(INDEX(Database!$B$2:$CT$473,MATCH(H73,Database!$A$2:$A$473,0),MATCH($G$5,Database!$B$1:$CT$1,0)),"")</f>
        <v/>
      </c>
      <c r="L73" s="211"/>
      <c r="M73" s="216"/>
      <c r="N73" s="224" t="str">
        <f>IFERROR(INDEX(Database!$B$2:$CT$473,MATCH(L73,Database!$A$2:$A$473,0),MATCH($C$5,Database!$B$1:$CT$1,0)),"")</f>
        <v/>
      </c>
      <c r="O73" s="224" t="str">
        <f>IFERROR(INDEX(Database!$B$2:$CT$473,MATCH(L73,Database!$A$2:$A$473,0),MATCH($G$5,Database!$B$1:$CT$1,0)),"")</f>
        <v/>
      </c>
      <c r="P73" s="225">
        <f t="shared" si="3"/>
        <v>0</v>
      </c>
      <c r="Q73" s="226">
        <f t="shared" si="4"/>
        <v>0</v>
      </c>
      <c r="R73" s="217">
        <f t="shared" si="5"/>
        <v>0</v>
      </c>
    </row>
    <row r="74" spans="1:18" ht="22.05" customHeight="1">
      <c r="A74" s="219">
        <v>64</v>
      </c>
      <c r="B74" s="227" t="s">
        <v>665</v>
      </c>
      <c r="C74" s="216">
        <v>0</v>
      </c>
      <c r="D74" s="211" t="s">
        <v>131</v>
      </c>
      <c r="E74" s="216">
        <v>1</v>
      </c>
      <c r="F74" s="224" t="str">
        <f>IFERROR(INDEX(Database!$B$2:$CT$473,MATCH(D74,Database!$A$2:$A$473,0),MATCH($C$5,Database!$B$1:$CT$1,0)),"")</f>
        <v/>
      </c>
      <c r="G74" s="224" t="str">
        <f>IFERROR(INDEX(Database!$B$2:$CT$473,MATCH(D74,Database!$A$2:$A$473,0),MATCH($G$5,Database!$B$1:$CT$1,0)),"")</f>
        <v/>
      </c>
      <c r="H74" s="211"/>
      <c r="I74" s="216"/>
      <c r="J74" s="224" t="str">
        <f>IFERROR(INDEX(Database!$B$2:$CT$473,MATCH(H74,Database!$A$2:$A$473,0),MATCH($C$5,Database!$B$1:$CT$1,0)),"")</f>
        <v/>
      </c>
      <c r="K74" s="224" t="str">
        <f>IFERROR(INDEX(Database!$B$2:$CT$473,MATCH(H74,Database!$A$2:$A$473,0),MATCH($G$5,Database!$B$1:$CT$1,0)),"")</f>
        <v/>
      </c>
      <c r="L74" s="211"/>
      <c r="M74" s="216"/>
      <c r="N74" s="224" t="str">
        <f>IFERROR(INDEX(Database!$B$2:$CT$473,MATCH(L74,Database!$A$2:$A$473,0),MATCH($C$5,Database!$B$1:$CT$1,0)),"")</f>
        <v/>
      </c>
      <c r="O74" s="224" t="str">
        <f>IFERROR(INDEX(Database!$B$2:$CT$473,MATCH(L74,Database!$A$2:$A$473,0),MATCH($G$5,Database!$B$1:$CT$1,0)),"")</f>
        <v/>
      </c>
      <c r="P74" s="225">
        <f t="shared" si="3"/>
        <v>0</v>
      </c>
      <c r="Q74" s="226">
        <f t="shared" si="4"/>
        <v>0</v>
      </c>
      <c r="R74" s="217">
        <f t="shared" si="5"/>
        <v>0</v>
      </c>
    </row>
    <row r="75" spans="1:18" ht="22.05" customHeight="1">
      <c r="A75" s="222">
        <v>65</v>
      </c>
      <c r="B75" s="223" t="s">
        <v>666</v>
      </c>
      <c r="C75" s="216">
        <v>0.7</v>
      </c>
      <c r="D75" s="211" t="s">
        <v>123</v>
      </c>
      <c r="E75" s="216">
        <v>0.3</v>
      </c>
      <c r="F75" s="224" t="str">
        <f>IFERROR(INDEX(Database!$B$2:$CT$473,MATCH(D75,Database!$A$2:$A$473,0),MATCH($C$5,Database!$B$1:$CT$1,0)),"")</f>
        <v/>
      </c>
      <c r="G75" s="224" t="str">
        <f>IFERROR(INDEX(Database!$B$2:$CT$473,MATCH(D75,Database!$A$2:$A$473,0),MATCH($G$5,Database!$B$1:$CT$1,0)),"")</f>
        <v/>
      </c>
      <c r="H75" s="211"/>
      <c r="I75" s="216"/>
      <c r="J75" s="224" t="str">
        <f>IFERROR(INDEX(Database!$B$2:$CT$473,MATCH(H75,Database!$A$2:$A$473,0),MATCH($C$5,Database!$B$1:$CT$1,0)),"")</f>
        <v/>
      </c>
      <c r="K75" s="224" t="str">
        <f>IFERROR(INDEX(Database!$B$2:$CT$473,MATCH(H75,Database!$A$2:$A$473,0),MATCH($G$5,Database!$B$1:$CT$1,0)),"")</f>
        <v/>
      </c>
      <c r="L75" s="211"/>
      <c r="M75" s="216"/>
      <c r="N75" s="224" t="str">
        <f>IFERROR(INDEX(Database!$B$2:$CT$473,MATCH(L75,Database!$A$2:$A$473,0),MATCH($C$5,Database!$B$1:$CT$1,0)),"")</f>
        <v/>
      </c>
      <c r="O75" s="224" t="str">
        <f>IFERROR(INDEX(Database!$B$2:$CT$473,MATCH(L75,Database!$A$2:$A$473,0),MATCH($G$5,Database!$B$1:$CT$1,0)),"")</f>
        <v/>
      </c>
      <c r="P75" s="225">
        <f t="shared" ref="P75:P106" si="6">IF(OR(F75="",F75=0),0,(G75/F75)*E75)+IF(OR(J75="",J75=0),0,(K75/J75)*I75)+IF(OR(N75="",N75=0),0,(O75/N75)*M75)</f>
        <v>0</v>
      </c>
      <c r="Q75" s="226">
        <f t="shared" ref="Q75:Q106" si="7">IF(OR($C$6=0,$C$6=""),0,($G$6/$C$6)*C75)</f>
        <v>1.4937687991979007</v>
      </c>
      <c r="R75" s="217">
        <f t="shared" ref="R75:R106" si="8">P75+Q75</f>
        <v>1.4937687991979007</v>
      </c>
    </row>
    <row r="76" spans="1:18" ht="22.05" customHeight="1">
      <c r="A76" s="219">
        <v>66</v>
      </c>
      <c r="B76" s="227" t="s">
        <v>667</v>
      </c>
      <c r="C76" s="216">
        <v>0.8</v>
      </c>
      <c r="D76" s="211" t="s">
        <v>131</v>
      </c>
      <c r="E76" s="216">
        <v>0.2</v>
      </c>
      <c r="F76" s="224" t="str">
        <f>IFERROR(INDEX(Database!$B$2:$CT$473,MATCH(D76,Database!$A$2:$A$473,0),MATCH($C$5,Database!$B$1:$CT$1,0)),"")</f>
        <v/>
      </c>
      <c r="G76" s="224" t="str">
        <f>IFERROR(INDEX(Database!$B$2:$CT$473,MATCH(D76,Database!$A$2:$A$473,0),MATCH($G$5,Database!$B$1:$CT$1,0)),"")</f>
        <v/>
      </c>
      <c r="H76" s="211"/>
      <c r="I76" s="216"/>
      <c r="J76" s="224" t="str">
        <f>IFERROR(INDEX(Database!$B$2:$CT$473,MATCH(H76,Database!$A$2:$A$473,0),MATCH($C$5,Database!$B$1:$CT$1,0)),"")</f>
        <v/>
      </c>
      <c r="K76" s="224" t="str">
        <f>IFERROR(INDEX(Database!$B$2:$CT$473,MATCH(H76,Database!$A$2:$A$473,0),MATCH($G$5,Database!$B$1:$CT$1,0)),"")</f>
        <v/>
      </c>
      <c r="L76" s="211"/>
      <c r="M76" s="216"/>
      <c r="N76" s="224" t="str">
        <f>IFERROR(INDEX(Database!$B$2:$CT$473,MATCH(L76,Database!$A$2:$A$473,0),MATCH($C$5,Database!$B$1:$CT$1,0)),"")</f>
        <v/>
      </c>
      <c r="O76" s="224" t="str">
        <f>IFERROR(INDEX(Database!$B$2:$CT$473,MATCH(L76,Database!$A$2:$A$473,0),MATCH($G$5,Database!$B$1:$CT$1,0)),"")</f>
        <v/>
      </c>
      <c r="P76" s="225">
        <f t="shared" si="6"/>
        <v>0</v>
      </c>
      <c r="Q76" s="226">
        <f t="shared" si="7"/>
        <v>1.7071643419404581</v>
      </c>
      <c r="R76" s="217">
        <f t="shared" si="8"/>
        <v>1.7071643419404581</v>
      </c>
    </row>
    <row r="77" spans="1:18" ht="22.05" customHeight="1">
      <c r="A77" s="222">
        <v>67</v>
      </c>
      <c r="B77" s="223" t="s">
        <v>668</v>
      </c>
      <c r="C77" s="216">
        <v>0.8</v>
      </c>
      <c r="D77" s="211" t="s">
        <v>510</v>
      </c>
      <c r="E77" s="216">
        <v>0.2</v>
      </c>
      <c r="F77" s="224" t="str">
        <f>IFERROR(INDEX(Database!$B$2:$CT$473,MATCH(D77,Database!$A$2:$A$473,0),MATCH($C$5,Database!$B$1:$CT$1,0)),"")</f>
        <v/>
      </c>
      <c r="G77" s="224" t="str">
        <f>IFERROR(INDEX(Database!$B$2:$CT$473,MATCH(D77,Database!$A$2:$A$473,0),MATCH($G$5,Database!$B$1:$CT$1,0)),"")</f>
        <v/>
      </c>
      <c r="H77" s="211"/>
      <c r="I77" s="216"/>
      <c r="J77" s="224" t="str">
        <f>IFERROR(INDEX(Database!$B$2:$CT$473,MATCH(H77,Database!$A$2:$A$473,0),MATCH($C$5,Database!$B$1:$CT$1,0)),"")</f>
        <v/>
      </c>
      <c r="K77" s="224" t="str">
        <f>IFERROR(INDEX(Database!$B$2:$CT$473,MATCH(H77,Database!$A$2:$A$473,0),MATCH($G$5,Database!$B$1:$CT$1,0)),"")</f>
        <v/>
      </c>
      <c r="L77" s="211"/>
      <c r="M77" s="216"/>
      <c r="N77" s="224" t="str">
        <f>IFERROR(INDEX(Database!$B$2:$CT$473,MATCH(L77,Database!$A$2:$A$473,0),MATCH($C$5,Database!$B$1:$CT$1,0)),"")</f>
        <v/>
      </c>
      <c r="O77" s="224" t="str">
        <f>IFERROR(INDEX(Database!$B$2:$CT$473,MATCH(L77,Database!$A$2:$A$473,0),MATCH($G$5,Database!$B$1:$CT$1,0)),"")</f>
        <v/>
      </c>
      <c r="P77" s="225">
        <f t="shared" si="6"/>
        <v>0</v>
      </c>
      <c r="Q77" s="226">
        <f t="shared" si="7"/>
        <v>1.7071643419404581</v>
      </c>
      <c r="R77" s="217">
        <f t="shared" si="8"/>
        <v>1.7071643419404581</v>
      </c>
    </row>
    <row r="78" spans="1:18" ht="22.05" customHeight="1">
      <c r="A78" s="219">
        <v>68</v>
      </c>
      <c r="B78" s="227" t="s">
        <v>669</v>
      </c>
      <c r="C78" s="216">
        <v>0</v>
      </c>
      <c r="D78" s="211" t="s">
        <v>510</v>
      </c>
      <c r="E78" s="216">
        <v>1</v>
      </c>
      <c r="F78" s="224" t="str">
        <f>IFERROR(INDEX(Database!$B$2:$CT$473,MATCH(D78,Database!$A$2:$A$473,0),MATCH($C$5,Database!$B$1:$CT$1,0)),"")</f>
        <v/>
      </c>
      <c r="G78" s="224" t="str">
        <f>IFERROR(INDEX(Database!$B$2:$CT$473,MATCH(D78,Database!$A$2:$A$473,0),MATCH($G$5,Database!$B$1:$CT$1,0)),"")</f>
        <v/>
      </c>
      <c r="H78" s="211"/>
      <c r="I78" s="216"/>
      <c r="J78" s="224" t="str">
        <f>IFERROR(INDEX(Database!$B$2:$CT$473,MATCH(H78,Database!$A$2:$A$473,0),MATCH($C$5,Database!$B$1:$CT$1,0)),"")</f>
        <v/>
      </c>
      <c r="K78" s="224" t="str">
        <f>IFERROR(INDEX(Database!$B$2:$CT$473,MATCH(H78,Database!$A$2:$A$473,0),MATCH($G$5,Database!$B$1:$CT$1,0)),"")</f>
        <v/>
      </c>
      <c r="L78" s="211"/>
      <c r="M78" s="216"/>
      <c r="N78" s="224" t="str">
        <f>IFERROR(INDEX(Database!$B$2:$CT$473,MATCH(L78,Database!$A$2:$A$473,0),MATCH($C$5,Database!$B$1:$CT$1,0)),"")</f>
        <v/>
      </c>
      <c r="O78" s="224" t="str">
        <f>IFERROR(INDEX(Database!$B$2:$CT$473,MATCH(L78,Database!$A$2:$A$473,0),MATCH($G$5,Database!$B$1:$CT$1,0)),"")</f>
        <v/>
      </c>
      <c r="P78" s="225">
        <f t="shared" si="6"/>
        <v>0</v>
      </c>
      <c r="Q78" s="226">
        <f t="shared" si="7"/>
        <v>0</v>
      </c>
      <c r="R78" s="217">
        <f t="shared" si="8"/>
        <v>0</v>
      </c>
    </row>
    <row r="79" spans="1:18" ht="22.05" customHeight="1">
      <c r="A79" s="222">
        <v>69</v>
      </c>
      <c r="B79" s="223" t="s">
        <v>670</v>
      </c>
      <c r="C79" s="216">
        <v>0</v>
      </c>
      <c r="D79" s="211" t="s">
        <v>530</v>
      </c>
      <c r="E79" s="216">
        <v>1</v>
      </c>
      <c r="F79" s="224" t="str">
        <f>IFERROR(INDEX(Database!$B$2:$CT$473,MATCH(D79,Database!$A$2:$A$473,0),MATCH($C$5,Database!$B$1:$CT$1,0)),"")</f>
        <v/>
      </c>
      <c r="G79" s="224" t="str">
        <f>IFERROR(INDEX(Database!$B$2:$CT$473,MATCH(D79,Database!$A$2:$A$473,0),MATCH($G$5,Database!$B$1:$CT$1,0)),"")</f>
        <v/>
      </c>
      <c r="H79" s="211"/>
      <c r="I79" s="216"/>
      <c r="J79" s="224" t="str">
        <f>IFERROR(INDEX(Database!$B$2:$CT$473,MATCH(H79,Database!$A$2:$A$473,0),MATCH($C$5,Database!$B$1:$CT$1,0)),"")</f>
        <v/>
      </c>
      <c r="K79" s="224" t="str">
        <f>IFERROR(INDEX(Database!$B$2:$CT$473,MATCH(H79,Database!$A$2:$A$473,0),MATCH($G$5,Database!$B$1:$CT$1,0)),"")</f>
        <v/>
      </c>
      <c r="L79" s="211"/>
      <c r="M79" s="216"/>
      <c r="N79" s="224" t="str">
        <f>IFERROR(INDEX(Database!$B$2:$CT$473,MATCH(L79,Database!$A$2:$A$473,0),MATCH($C$5,Database!$B$1:$CT$1,0)),"")</f>
        <v/>
      </c>
      <c r="O79" s="224" t="str">
        <f>IFERROR(INDEX(Database!$B$2:$CT$473,MATCH(L79,Database!$A$2:$A$473,0),MATCH($G$5,Database!$B$1:$CT$1,0)),"")</f>
        <v/>
      </c>
      <c r="P79" s="225">
        <f t="shared" si="6"/>
        <v>0</v>
      </c>
      <c r="Q79" s="226">
        <f t="shared" si="7"/>
        <v>0</v>
      </c>
      <c r="R79" s="217">
        <f t="shared" si="8"/>
        <v>0</v>
      </c>
    </row>
    <row r="80" spans="1:18" ht="22.05" customHeight="1">
      <c r="A80" s="219">
        <v>70</v>
      </c>
      <c r="B80" s="227" t="s">
        <v>671</v>
      </c>
      <c r="C80" s="216">
        <v>0</v>
      </c>
      <c r="D80" s="211" t="s">
        <v>437</v>
      </c>
      <c r="E80" s="216">
        <v>1</v>
      </c>
      <c r="F80" s="224" t="str">
        <f>IFERROR(INDEX(Database!$B$2:$CT$473,MATCH(D80,Database!$A$2:$A$473,0),MATCH($C$5,Database!$B$1:$CT$1,0)),"")</f>
        <v/>
      </c>
      <c r="G80" s="224" t="str">
        <f>IFERROR(INDEX(Database!$B$2:$CT$473,MATCH(D80,Database!$A$2:$A$473,0),MATCH($G$5,Database!$B$1:$CT$1,0)),"")</f>
        <v/>
      </c>
      <c r="H80" s="211"/>
      <c r="I80" s="216"/>
      <c r="J80" s="224" t="str">
        <f>IFERROR(INDEX(Database!$B$2:$CT$473,MATCH(H80,Database!$A$2:$A$473,0),MATCH($C$5,Database!$B$1:$CT$1,0)),"")</f>
        <v/>
      </c>
      <c r="K80" s="224" t="str">
        <f>IFERROR(INDEX(Database!$B$2:$CT$473,MATCH(H80,Database!$A$2:$A$473,0),MATCH($G$5,Database!$B$1:$CT$1,0)),"")</f>
        <v/>
      </c>
      <c r="L80" s="211"/>
      <c r="M80" s="216"/>
      <c r="N80" s="224" t="str">
        <f>IFERROR(INDEX(Database!$B$2:$CT$473,MATCH(L80,Database!$A$2:$A$473,0),MATCH($C$5,Database!$B$1:$CT$1,0)),"")</f>
        <v/>
      </c>
      <c r="O80" s="224" t="str">
        <f>IFERROR(INDEX(Database!$B$2:$CT$473,MATCH(L80,Database!$A$2:$A$473,0),MATCH($G$5,Database!$B$1:$CT$1,0)),"")</f>
        <v/>
      </c>
      <c r="P80" s="225">
        <f t="shared" si="6"/>
        <v>0</v>
      </c>
      <c r="Q80" s="226">
        <f t="shared" si="7"/>
        <v>0</v>
      </c>
      <c r="R80" s="217">
        <f t="shared" si="8"/>
        <v>0</v>
      </c>
    </row>
    <row r="81" spans="1:18" ht="22.05" customHeight="1">
      <c r="A81" s="222">
        <v>71</v>
      </c>
      <c r="B81" s="223" t="s">
        <v>672</v>
      </c>
      <c r="C81" s="216">
        <v>0</v>
      </c>
      <c r="D81" s="211" t="s">
        <v>539</v>
      </c>
      <c r="E81" s="216">
        <v>1</v>
      </c>
      <c r="F81" s="224" t="str">
        <f>IFERROR(INDEX(Database!$B$2:$CT$473,MATCH(D81,Database!$A$2:$A$473,0),MATCH($C$5,Database!$B$1:$CT$1,0)),"")</f>
        <v/>
      </c>
      <c r="G81" s="224" t="str">
        <f>IFERROR(INDEX(Database!$B$2:$CT$473,MATCH(D81,Database!$A$2:$A$473,0),MATCH($G$5,Database!$B$1:$CT$1,0)),"")</f>
        <v/>
      </c>
      <c r="H81" s="211"/>
      <c r="I81" s="216"/>
      <c r="J81" s="224" t="str">
        <f>IFERROR(INDEX(Database!$B$2:$CT$473,MATCH(H81,Database!$A$2:$A$473,0),MATCH($C$5,Database!$B$1:$CT$1,0)),"")</f>
        <v/>
      </c>
      <c r="K81" s="224" t="str">
        <f>IFERROR(INDEX(Database!$B$2:$CT$473,MATCH(H81,Database!$A$2:$A$473,0),MATCH($G$5,Database!$B$1:$CT$1,0)),"")</f>
        <v/>
      </c>
      <c r="L81" s="211"/>
      <c r="M81" s="216"/>
      <c r="N81" s="224" t="str">
        <f>IFERROR(INDEX(Database!$B$2:$CT$473,MATCH(L81,Database!$A$2:$A$473,0),MATCH($C$5,Database!$B$1:$CT$1,0)),"")</f>
        <v/>
      </c>
      <c r="O81" s="224" t="str">
        <f>IFERROR(INDEX(Database!$B$2:$CT$473,MATCH(L81,Database!$A$2:$A$473,0),MATCH($G$5,Database!$B$1:$CT$1,0)),"")</f>
        <v/>
      </c>
      <c r="P81" s="225">
        <f t="shared" si="6"/>
        <v>0</v>
      </c>
      <c r="Q81" s="226">
        <f t="shared" si="7"/>
        <v>0</v>
      </c>
      <c r="R81" s="217">
        <f t="shared" si="8"/>
        <v>0</v>
      </c>
    </row>
    <row r="82" spans="1:18" ht="22.05" customHeight="1">
      <c r="A82" s="219">
        <v>72</v>
      </c>
      <c r="B82" s="227" t="s">
        <v>673</v>
      </c>
      <c r="C82" s="216">
        <v>0</v>
      </c>
      <c r="D82" s="211" t="s">
        <v>525</v>
      </c>
      <c r="E82" s="216">
        <v>0.5</v>
      </c>
      <c r="F82" s="224" t="str">
        <f>IFERROR(INDEX(Database!$B$2:$CT$473,MATCH(D82,Database!$A$2:$A$473,0),MATCH($C$5,Database!$B$1:$CT$1,0)),"")</f>
        <v/>
      </c>
      <c r="G82" s="224" t="str">
        <f>IFERROR(INDEX(Database!$B$2:$CT$473,MATCH(D82,Database!$A$2:$A$473,0),MATCH($G$5,Database!$B$1:$CT$1,0)),"")</f>
        <v/>
      </c>
      <c r="H82" s="211" t="s">
        <v>131</v>
      </c>
      <c r="I82" s="216">
        <v>0.5</v>
      </c>
      <c r="J82" s="224" t="str">
        <f>IFERROR(INDEX(Database!$B$2:$CT$473,MATCH(H82,Database!$A$2:$A$473,0),MATCH($C$5,Database!$B$1:$CT$1,0)),"")</f>
        <v/>
      </c>
      <c r="K82" s="224" t="str">
        <f>IFERROR(INDEX(Database!$B$2:$CT$473,MATCH(H82,Database!$A$2:$A$473,0),MATCH($G$5,Database!$B$1:$CT$1,0)),"")</f>
        <v/>
      </c>
      <c r="L82" s="211"/>
      <c r="M82" s="216"/>
      <c r="N82" s="224" t="str">
        <f>IFERROR(INDEX(Database!$B$2:$CT$473,MATCH(L82,Database!$A$2:$A$473,0),MATCH($C$5,Database!$B$1:$CT$1,0)),"")</f>
        <v/>
      </c>
      <c r="O82" s="224" t="str">
        <f>IFERROR(INDEX(Database!$B$2:$CT$473,MATCH(L82,Database!$A$2:$A$473,0),MATCH($G$5,Database!$B$1:$CT$1,0)),"")</f>
        <v/>
      </c>
      <c r="P82" s="225">
        <f t="shared" si="6"/>
        <v>0</v>
      </c>
      <c r="Q82" s="226">
        <f t="shared" si="7"/>
        <v>0</v>
      </c>
      <c r="R82" s="217">
        <f t="shared" si="8"/>
        <v>0</v>
      </c>
    </row>
    <row r="83" spans="1:18" ht="22.05" customHeight="1">
      <c r="A83" s="222">
        <v>73</v>
      </c>
      <c r="B83" s="223" t="s">
        <v>674</v>
      </c>
      <c r="C83" s="216">
        <v>0</v>
      </c>
      <c r="D83" s="211" t="s">
        <v>525</v>
      </c>
      <c r="E83" s="216">
        <v>0.5</v>
      </c>
      <c r="F83" s="224" t="str">
        <f>IFERROR(INDEX(Database!$B$2:$CT$473,MATCH(D83,Database!$A$2:$A$473,0),MATCH($C$5,Database!$B$1:$CT$1,0)),"")</f>
        <v/>
      </c>
      <c r="G83" s="224" t="str">
        <f>IFERROR(INDEX(Database!$B$2:$CT$473,MATCH(D83,Database!$A$2:$A$473,0),MATCH($G$5,Database!$B$1:$CT$1,0)),"")</f>
        <v/>
      </c>
      <c r="H83" s="211" t="s">
        <v>131</v>
      </c>
      <c r="I83" s="216">
        <v>0.5</v>
      </c>
      <c r="J83" s="224" t="str">
        <f>IFERROR(INDEX(Database!$B$2:$CT$473,MATCH(H83,Database!$A$2:$A$473,0),MATCH($C$5,Database!$B$1:$CT$1,0)),"")</f>
        <v/>
      </c>
      <c r="K83" s="224" t="str">
        <f>IFERROR(INDEX(Database!$B$2:$CT$473,MATCH(H83,Database!$A$2:$A$473,0),MATCH($G$5,Database!$B$1:$CT$1,0)),"")</f>
        <v/>
      </c>
      <c r="L83" s="211"/>
      <c r="M83" s="216"/>
      <c r="N83" s="224" t="str">
        <f>IFERROR(INDEX(Database!$B$2:$CT$473,MATCH(L83,Database!$A$2:$A$473,0),MATCH($C$5,Database!$B$1:$CT$1,0)),"")</f>
        <v/>
      </c>
      <c r="O83" s="224" t="str">
        <f>IFERROR(INDEX(Database!$B$2:$CT$473,MATCH(L83,Database!$A$2:$A$473,0),MATCH($G$5,Database!$B$1:$CT$1,0)),"")</f>
        <v/>
      </c>
      <c r="P83" s="225">
        <f t="shared" si="6"/>
        <v>0</v>
      </c>
      <c r="Q83" s="226">
        <f t="shared" si="7"/>
        <v>0</v>
      </c>
      <c r="R83" s="217">
        <f t="shared" si="8"/>
        <v>0</v>
      </c>
    </row>
    <row r="84" spans="1:18" ht="22.05" customHeight="1">
      <c r="A84" s="219">
        <v>74</v>
      </c>
      <c r="B84" s="227" t="s">
        <v>675</v>
      </c>
      <c r="C84" s="216">
        <v>0</v>
      </c>
      <c r="D84" s="211" t="s">
        <v>540</v>
      </c>
      <c r="E84" s="216">
        <v>0.5</v>
      </c>
      <c r="F84" s="224" t="str">
        <f>IFERROR(INDEX(Database!$B$2:$CT$473,MATCH(D84,Database!$A$2:$A$473,0),MATCH($C$5,Database!$B$1:$CT$1,0)),"")</f>
        <v/>
      </c>
      <c r="G84" s="224" t="str">
        <f>IFERROR(INDEX(Database!$B$2:$CT$473,MATCH(D84,Database!$A$2:$A$473,0),MATCH($G$5,Database!$B$1:$CT$1,0)),"")</f>
        <v/>
      </c>
      <c r="H84" s="211" t="s">
        <v>530</v>
      </c>
      <c r="I84" s="216">
        <v>0.5</v>
      </c>
      <c r="J84" s="224" t="str">
        <f>IFERROR(INDEX(Database!$B$2:$CT$473,MATCH(H84,Database!$A$2:$A$473,0),MATCH($C$5,Database!$B$1:$CT$1,0)),"")</f>
        <v/>
      </c>
      <c r="K84" s="224" t="str">
        <f>IFERROR(INDEX(Database!$B$2:$CT$473,MATCH(H84,Database!$A$2:$A$473,0),MATCH($G$5,Database!$B$1:$CT$1,0)),"")</f>
        <v/>
      </c>
      <c r="L84" s="211"/>
      <c r="M84" s="216"/>
      <c r="N84" s="224" t="str">
        <f>IFERROR(INDEX(Database!$B$2:$CT$473,MATCH(L84,Database!$A$2:$A$473,0),MATCH($C$5,Database!$B$1:$CT$1,0)),"")</f>
        <v/>
      </c>
      <c r="O84" s="224" t="str">
        <f>IFERROR(INDEX(Database!$B$2:$CT$473,MATCH(L84,Database!$A$2:$A$473,0),MATCH($G$5,Database!$B$1:$CT$1,0)),"")</f>
        <v/>
      </c>
      <c r="P84" s="225">
        <f t="shared" si="6"/>
        <v>0</v>
      </c>
      <c r="Q84" s="226">
        <f t="shared" si="7"/>
        <v>0</v>
      </c>
      <c r="R84" s="217">
        <f t="shared" si="8"/>
        <v>0</v>
      </c>
    </row>
    <row r="85" spans="1:18" ht="22.05" customHeight="1">
      <c r="A85" s="222">
        <v>75</v>
      </c>
      <c r="B85" s="223" t="s">
        <v>676</v>
      </c>
      <c r="C85" s="216">
        <v>0</v>
      </c>
      <c r="D85" s="211" t="s">
        <v>540</v>
      </c>
      <c r="E85" s="216">
        <v>1</v>
      </c>
      <c r="F85" s="224" t="str">
        <f>IFERROR(INDEX(Database!$B$2:$CT$473,MATCH(D85,Database!$A$2:$A$473,0),MATCH($C$5,Database!$B$1:$CT$1,0)),"")</f>
        <v/>
      </c>
      <c r="G85" s="224" t="str">
        <f>IFERROR(INDEX(Database!$B$2:$CT$473,MATCH(D85,Database!$A$2:$A$473,0),MATCH($G$5,Database!$B$1:$CT$1,0)),"")</f>
        <v/>
      </c>
      <c r="H85" s="211"/>
      <c r="I85" s="216"/>
      <c r="J85" s="224" t="str">
        <f>IFERROR(INDEX(Database!$B$2:$CT$473,MATCH(H85,Database!$A$2:$A$473,0),MATCH($C$5,Database!$B$1:$CT$1,0)),"")</f>
        <v/>
      </c>
      <c r="K85" s="224" t="str">
        <f>IFERROR(INDEX(Database!$B$2:$CT$473,MATCH(H85,Database!$A$2:$A$473,0),MATCH($G$5,Database!$B$1:$CT$1,0)),"")</f>
        <v/>
      </c>
      <c r="L85" s="211"/>
      <c r="M85" s="216"/>
      <c r="N85" s="224" t="str">
        <f>IFERROR(INDEX(Database!$B$2:$CT$473,MATCH(L85,Database!$A$2:$A$473,0),MATCH($C$5,Database!$B$1:$CT$1,0)),"")</f>
        <v/>
      </c>
      <c r="O85" s="224" t="str">
        <f>IFERROR(INDEX(Database!$B$2:$CT$473,MATCH(L85,Database!$A$2:$A$473,0),MATCH($G$5,Database!$B$1:$CT$1,0)),"")</f>
        <v/>
      </c>
      <c r="P85" s="225">
        <f t="shared" si="6"/>
        <v>0</v>
      </c>
      <c r="Q85" s="226">
        <f t="shared" si="7"/>
        <v>0</v>
      </c>
      <c r="R85" s="217">
        <f t="shared" si="8"/>
        <v>0</v>
      </c>
    </row>
    <row r="86" spans="1:18" ht="22.05" customHeight="1">
      <c r="A86" s="219">
        <v>76</v>
      </c>
      <c r="B86" s="227" t="s">
        <v>677</v>
      </c>
      <c r="C86" s="216">
        <v>0.65</v>
      </c>
      <c r="D86" s="211" t="s">
        <v>540</v>
      </c>
      <c r="E86" s="216">
        <v>0.35</v>
      </c>
      <c r="F86" s="224" t="str">
        <f>IFERROR(INDEX(Database!$B$2:$CT$473,MATCH(D86,Database!$A$2:$A$473,0),MATCH($C$5,Database!$B$1:$CT$1,0)),"")</f>
        <v/>
      </c>
      <c r="G86" s="224" t="str">
        <f>IFERROR(INDEX(Database!$B$2:$CT$473,MATCH(D86,Database!$A$2:$A$473,0),MATCH($G$5,Database!$B$1:$CT$1,0)),"")</f>
        <v/>
      </c>
      <c r="H86" s="211"/>
      <c r="I86" s="216"/>
      <c r="J86" s="224" t="str">
        <f>IFERROR(INDEX(Database!$B$2:$CT$473,MATCH(H86,Database!$A$2:$A$473,0),MATCH($C$5,Database!$B$1:$CT$1,0)),"")</f>
        <v/>
      </c>
      <c r="K86" s="224" t="str">
        <f>IFERROR(INDEX(Database!$B$2:$CT$473,MATCH(H86,Database!$A$2:$A$473,0),MATCH($G$5,Database!$B$1:$CT$1,0)),"")</f>
        <v/>
      </c>
      <c r="L86" s="211"/>
      <c r="M86" s="216"/>
      <c r="N86" s="224" t="str">
        <f>IFERROR(INDEX(Database!$B$2:$CT$473,MATCH(L86,Database!$A$2:$A$473,0),MATCH($C$5,Database!$B$1:$CT$1,0)),"")</f>
        <v/>
      </c>
      <c r="O86" s="224" t="str">
        <f>IFERROR(INDEX(Database!$B$2:$CT$473,MATCH(L86,Database!$A$2:$A$473,0),MATCH($G$5,Database!$B$1:$CT$1,0)),"")</f>
        <v/>
      </c>
      <c r="P86" s="225">
        <f t="shared" si="6"/>
        <v>0</v>
      </c>
      <c r="Q86" s="226">
        <f t="shared" si="7"/>
        <v>1.3870710278266223</v>
      </c>
      <c r="R86" s="217">
        <f t="shared" si="8"/>
        <v>1.3870710278266223</v>
      </c>
    </row>
    <row r="87" spans="1:18" ht="22.05" customHeight="1">
      <c r="A87" s="222">
        <v>77</v>
      </c>
      <c r="B87" s="223" t="s">
        <v>678</v>
      </c>
      <c r="C87" s="216">
        <v>0</v>
      </c>
      <c r="D87" s="211" t="s">
        <v>530</v>
      </c>
      <c r="E87" s="216">
        <v>1</v>
      </c>
      <c r="F87" s="224" t="str">
        <f>IFERROR(INDEX(Database!$B$2:$CT$473,MATCH(D87,Database!$A$2:$A$473,0),MATCH($C$5,Database!$B$1:$CT$1,0)),"")</f>
        <v/>
      </c>
      <c r="G87" s="224" t="str">
        <f>IFERROR(INDEX(Database!$B$2:$CT$473,MATCH(D87,Database!$A$2:$A$473,0),MATCH($G$5,Database!$B$1:$CT$1,0)),"")</f>
        <v/>
      </c>
      <c r="H87" s="211"/>
      <c r="I87" s="216"/>
      <c r="J87" s="224" t="str">
        <f>IFERROR(INDEX(Database!$B$2:$CT$473,MATCH(H87,Database!$A$2:$A$473,0),MATCH($C$5,Database!$B$1:$CT$1,0)),"")</f>
        <v/>
      </c>
      <c r="K87" s="224" t="str">
        <f>IFERROR(INDEX(Database!$B$2:$CT$473,MATCH(H87,Database!$A$2:$A$473,0),MATCH($G$5,Database!$B$1:$CT$1,0)),"")</f>
        <v/>
      </c>
      <c r="L87" s="211"/>
      <c r="M87" s="216"/>
      <c r="N87" s="224" t="str">
        <f>IFERROR(INDEX(Database!$B$2:$CT$473,MATCH(L87,Database!$A$2:$A$473,0),MATCH($C$5,Database!$B$1:$CT$1,0)),"")</f>
        <v/>
      </c>
      <c r="O87" s="224" t="str">
        <f>IFERROR(INDEX(Database!$B$2:$CT$473,MATCH(L87,Database!$A$2:$A$473,0),MATCH($G$5,Database!$B$1:$CT$1,0)),"")</f>
        <v/>
      </c>
      <c r="P87" s="225">
        <f t="shared" si="6"/>
        <v>0</v>
      </c>
      <c r="Q87" s="226">
        <f t="shared" si="7"/>
        <v>0</v>
      </c>
      <c r="R87" s="217">
        <f t="shared" si="8"/>
        <v>0</v>
      </c>
    </row>
    <row r="88" spans="1:18" ht="22.05" customHeight="1">
      <c r="A88" s="219">
        <v>78</v>
      </c>
      <c r="B88" s="227" t="s">
        <v>679</v>
      </c>
      <c r="C88" s="216">
        <v>0.85</v>
      </c>
      <c r="D88" s="211" t="s">
        <v>525</v>
      </c>
      <c r="E88" s="216">
        <v>0.15</v>
      </c>
      <c r="F88" s="224" t="str">
        <f>IFERROR(INDEX(Database!$B$2:$CT$473,MATCH(D88,Database!$A$2:$A$473,0),MATCH($C$5,Database!$B$1:$CT$1,0)),"")</f>
        <v/>
      </c>
      <c r="G88" s="224" t="str">
        <f>IFERROR(INDEX(Database!$B$2:$CT$473,MATCH(D88,Database!$A$2:$A$473,0),MATCH($G$5,Database!$B$1:$CT$1,0)),"")</f>
        <v/>
      </c>
      <c r="H88" s="211"/>
      <c r="I88" s="216"/>
      <c r="J88" s="224" t="str">
        <f>IFERROR(INDEX(Database!$B$2:$CT$473,MATCH(H88,Database!$A$2:$A$473,0),MATCH($C$5,Database!$B$1:$CT$1,0)),"")</f>
        <v/>
      </c>
      <c r="K88" s="224" t="str">
        <f>IFERROR(INDEX(Database!$B$2:$CT$473,MATCH(H88,Database!$A$2:$A$473,0),MATCH($G$5,Database!$B$1:$CT$1,0)),"")</f>
        <v/>
      </c>
      <c r="L88" s="211"/>
      <c r="M88" s="216"/>
      <c r="N88" s="224" t="str">
        <f>IFERROR(INDEX(Database!$B$2:$CT$473,MATCH(L88,Database!$A$2:$A$473,0),MATCH($C$5,Database!$B$1:$CT$1,0)),"")</f>
        <v/>
      </c>
      <c r="O88" s="224" t="str">
        <f>IFERROR(INDEX(Database!$B$2:$CT$473,MATCH(L88,Database!$A$2:$A$473,0),MATCH($G$5,Database!$B$1:$CT$1,0)),"")</f>
        <v/>
      </c>
      <c r="P88" s="225">
        <f t="shared" si="6"/>
        <v>0</v>
      </c>
      <c r="Q88" s="226">
        <f t="shared" si="7"/>
        <v>1.8138621133117365</v>
      </c>
      <c r="R88" s="217">
        <f t="shared" si="8"/>
        <v>1.8138621133117365</v>
      </c>
    </row>
    <row r="89" spans="1:18" ht="22.05" customHeight="1">
      <c r="A89" s="222">
        <v>79</v>
      </c>
      <c r="B89" s="223" t="s">
        <v>680</v>
      </c>
      <c r="C89" s="216">
        <v>0</v>
      </c>
      <c r="D89" s="211" t="s">
        <v>131</v>
      </c>
      <c r="E89" s="216">
        <v>1</v>
      </c>
      <c r="F89" s="224" t="str">
        <f>IFERROR(INDEX(Database!$B$2:$CT$473,MATCH(D89,Database!$A$2:$A$473,0),MATCH($C$5,Database!$B$1:$CT$1,0)),"")</f>
        <v/>
      </c>
      <c r="G89" s="224" t="str">
        <f>IFERROR(INDEX(Database!$B$2:$CT$473,MATCH(D89,Database!$A$2:$A$473,0),MATCH($G$5,Database!$B$1:$CT$1,0)),"")</f>
        <v/>
      </c>
      <c r="H89" s="211"/>
      <c r="I89" s="216"/>
      <c r="J89" s="224" t="str">
        <f>IFERROR(INDEX(Database!$B$2:$CT$473,MATCH(H89,Database!$A$2:$A$473,0),MATCH($C$5,Database!$B$1:$CT$1,0)),"")</f>
        <v/>
      </c>
      <c r="K89" s="224" t="str">
        <f>IFERROR(INDEX(Database!$B$2:$CT$473,MATCH(H89,Database!$A$2:$A$473,0),MATCH($G$5,Database!$B$1:$CT$1,0)),"")</f>
        <v/>
      </c>
      <c r="L89" s="211"/>
      <c r="M89" s="216"/>
      <c r="N89" s="224" t="str">
        <f>IFERROR(INDEX(Database!$B$2:$CT$473,MATCH(L89,Database!$A$2:$A$473,0),MATCH($C$5,Database!$B$1:$CT$1,0)),"")</f>
        <v/>
      </c>
      <c r="O89" s="224" t="str">
        <f>IFERROR(INDEX(Database!$B$2:$CT$473,MATCH(L89,Database!$A$2:$A$473,0),MATCH($G$5,Database!$B$1:$CT$1,0)),"")</f>
        <v/>
      </c>
      <c r="P89" s="225">
        <f t="shared" si="6"/>
        <v>0</v>
      </c>
      <c r="Q89" s="226">
        <f t="shared" si="7"/>
        <v>0</v>
      </c>
      <c r="R89" s="217">
        <f t="shared" si="8"/>
        <v>0</v>
      </c>
    </row>
    <row r="90" spans="1:18" ht="22.05" customHeight="1">
      <c r="A90" s="219">
        <v>80</v>
      </c>
      <c r="B90" s="227" t="s">
        <v>3088</v>
      </c>
      <c r="C90" s="216">
        <v>0.7</v>
      </c>
      <c r="D90" s="211" t="s">
        <v>530</v>
      </c>
      <c r="E90" s="216">
        <v>0.3</v>
      </c>
      <c r="F90" s="224" t="str">
        <f>IFERROR(INDEX(Database!$B$2:$CT$473,MATCH(D90,Database!$A$2:$A$473,0),MATCH($C$5,Database!$B$1:$CT$1,0)),"")</f>
        <v/>
      </c>
      <c r="G90" s="224" t="str">
        <f>IFERROR(INDEX(Database!$B$2:$CT$473,MATCH(D90,Database!$A$2:$A$473,0),MATCH($G$5,Database!$B$1:$CT$1,0)),"")</f>
        <v/>
      </c>
      <c r="H90" s="211"/>
      <c r="I90" s="216"/>
      <c r="J90" s="224" t="str">
        <f>IFERROR(INDEX(Database!$B$2:$CT$473,MATCH(H90,Database!$A$2:$A$473,0),MATCH($C$5,Database!$B$1:$CT$1,0)),"")</f>
        <v/>
      </c>
      <c r="K90" s="224" t="str">
        <f>IFERROR(INDEX(Database!$B$2:$CT$473,MATCH(H90,Database!$A$2:$A$473,0),MATCH($G$5,Database!$B$1:$CT$1,0)),"")</f>
        <v/>
      </c>
      <c r="L90" s="211"/>
      <c r="M90" s="216"/>
      <c r="N90" s="224" t="str">
        <f>IFERROR(INDEX(Database!$B$2:$CT$473,MATCH(L90,Database!$A$2:$A$473,0),MATCH($C$5,Database!$B$1:$CT$1,0)),"")</f>
        <v/>
      </c>
      <c r="O90" s="224" t="str">
        <f>IFERROR(INDEX(Database!$B$2:$CT$473,MATCH(L90,Database!$A$2:$A$473,0),MATCH($G$5,Database!$B$1:$CT$1,0)),"")</f>
        <v/>
      </c>
      <c r="P90" s="225">
        <f t="shared" si="6"/>
        <v>0</v>
      </c>
      <c r="Q90" s="226">
        <f t="shared" si="7"/>
        <v>1.4937687991979007</v>
      </c>
      <c r="R90" s="217">
        <f t="shared" si="8"/>
        <v>1.4937687991979007</v>
      </c>
    </row>
    <row r="91" spans="1:18" ht="22.05" customHeight="1">
      <c r="A91" s="222">
        <v>81</v>
      </c>
      <c r="B91" s="223" t="s">
        <v>682</v>
      </c>
      <c r="C91" s="216">
        <v>0</v>
      </c>
      <c r="D91" s="211" t="s">
        <v>534</v>
      </c>
      <c r="E91" s="216">
        <v>1</v>
      </c>
      <c r="F91" s="224" t="str">
        <f>IFERROR(INDEX(Database!$B$2:$CT$473,MATCH(D91,Database!$A$2:$A$473,0),MATCH($C$5,Database!$B$1:$CT$1,0)),"")</f>
        <v/>
      </c>
      <c r="G91" s="224" t="str">
        <f>IFERROR(INDEX(Database!$B$2:$CT$473,MATCH(D91,Database!$A$2:$A$473,0),MATCH($G$5,Database!$B$1:$CT$1,0)),"")</f>
        <v/>
      </c>
      <c r="H91" s="211"/>
      <c r="I91" s="216"/>
      <c r="J91" s="224" t="str">
        <f>IFERROR(INDEX(Database!$B$2:$CT$473,MATCH(H91,Database!$A$2:$A$473,0),MATCH($C$5,Database!$B$1:$CT$1,0)),"")</f>
        <v/>
      </c>
      <c r="K91" s="224" t="str">
        <f>IFERROR(INDEX(Database!$B$2:$CT$473,MATCH(H91,Database!$A$2:$A$473,0),MATCH($G$5,Database!$B$1:$CT$1,0)),"")</f>
        <v/>
      </c>
      <c r="L91" s="211"/>
      <c r="M91" s="216"/>
      <c r="N91" s="224" t="str">
        <f>IFERROR(INDEX(Database!$B$2:$CT$473,MATCH(L91,Database!$A$2:$A$473,0),MATCH($C$5,Database!$B$1:$CT$1,0)),"")</f>
        <v/>
      </c>
      <c r="O91" s="224" t="str">
        <f>IFERROR(INDEX(Database!$B$2:$CT$473,MATCH(L91,Database!$A$2:$A$473,0),MATCH($G$5,Database!$B$1:$CT$1,0)),"")</f>
        <v/>
      </c>
      <c r="P91" s="225">
        <f t="shared" si="6"/>
        <v>0</v>
      </c>
      <c r="Q91" s="226">
        <f t="shared" si="7"/>
        <v>0</v>
      </c>
      <c r="R91" s="217">
        <f t="shared" si="8"/>
        <v>0</v>
      </c>
    </row>
    <row r="92" spans="1:18" ht="22.05" customHeight="1">
      <c r="A92" s="219">
        <v>82</v>
      </c>
      <c r="B92" s="227" t="s">
        <v>683</v>
      </c>
      <c r="C92" s="216">
        <v>0</v>
      </c>
      <c r="D92" s="211" t="s">
        <v>528</v>
      </c>
      <c r="E92" s="216">
        <v>0.5</v>
      </c>
      <c r="F92" s="224" t="str">
        <f>IFERROR(INDEX(Database!$B$2:$CT$473,MATCH(D92,Database!$A$2:$A$473,0),MATCH($C$5,Database!$B$1:$CT$1,0)),"")</f>
        <v/>
      </c>
      <c r="G92" s="224" t="str">
        <f>IFERROR(INDEX(Database!$B$2:$CT$473,MATCH(D92,Database!$A$2:$A$473,0),MATCH($G$5,Database!$B$1:$CT$1,0)),"")</f>
        <v/>
      </c>
      <c r="H92" s="211" t="s">
        <v>537</v>
      </c>
      <c r="I92" s="216">
        <v>0.5</v>
      </c>
      <c r="J92" s="224" t="str">
        <f>IFERROR(INDEX(Database!$B$2:$CT$473,MATCH(H92,Database!$A$2:$A$473,0),MATCH($C$5,Database!$B$1:$CT$1,0)),"")</f>
        <v/>
      </c>
      <c r="K92" s="224" t="str">
        <f>IFERROR(INDEX(Database!$B$2:$CT$473,MATCH(H92,Database!$A$2:$A$473,0),MATCH($G$5,Database!$B$1:$CT$1,0)),"")</f>
        <v/>
      </c>
      <c r="L92" s="211"/>
      <c r="M92" s="216"/>
      <c r="N92" s="224" t="str">
        <f>IFERROR(INDEX(Database!$B$2:$CT$473,MATCH(L92,Database!$A$2:$A$473,0),MATCH($C$5,Database!$B$1:$CT$1,0)),"")</f>
        <v/>
      </c>
      <c r="O92" s="224" t="str">
        <f>IFERROR(INDEX(Database!$B$2:$CT$473,MATCH(L92,Database!$A$2:$A$473,0),MATCH($G$5,Database!$B$1:$CT$1,0)),"")</f>
        <v/>
      </c>
      <c r="P92" s="225">
        <f t="shared" si="6"/>
        <v>0</v>
      </c>
      <c r="Q92" s="226">
        <f t="shared" si="7"/>
        <v>0</v>
      </c>
      <c r="R92" s="217">
        <f t="shared" si="8"/>
        <v>0</v>
      </c>
    </row>
    <row r="93" spans="1:18" ht="22.05" customHeight="1">
      <c r="A93" s="222">
        <v>83</v>
      </c>
      <c r="B93" s="223" t="s">
        <v>684</v>
      </c>
      <c r="C93" s="216">
        <v>0</v>
      </c>
      <c r="D93" s="211" t="s">
        <v>513</v>
      </c>
      <c r="E93" s="216">
        <v>1</v>
      </c>
      <c r="F93" s="224" t="str">
        <f>IFERROR(INDEX(Database!$B$2:$CT$473,MATCH(D93,Database!$A$2:$A$473,0),MATCH($C$5,Database!$B$1:$CT$1,0)),"")</f>
        <v/>
      </c>
      <c r="G93" s="224" t="str">
        <f>IFERROR(INDEX(Database!$B$2:$CT$473,MATCH(D93,Database!$A$2:$A$473,0),MATCH($G$5,Database!$B$1:$CT$1,0)),"")</f>
        <v/>
      </c>
      <c r="H93" s="211"/>
      <c r="I93" s="216"/>
      <c r="J93" s="224" t="str">
        <f>IFERROR(INDEX(Database!$B$2:$CT$473,MATCH(H93,Database!$A$2:$A$473,0),MATCH($C$5,Database!$B$1:$CT$1,0)),"")</f>
        <v/>
      </c>
      <c r="K93" s="224" t="str">
        <f>IFERROR(INDEX(Database!$B$2:$CT$473,MATCH(H93,Database!$A$2:$A$473,0),MATCH($G$5,Database!$B$1:$CT$1,0)),"")</f>
        <v/>
      </c>
      <c r="L93" s="211"/>
      <c r="M93" s="216"/>
      <c r="N93" s="224" t="str">
        <f>IFERROR(INDEX(Database!$B$2:$CT$473,MATCH(L93,Database!$A$2:$A$473,0),MATCH($C$5,Database!$B$1:$CT$1,0)),"")</f>
        <v/>
      </c>
      <c r="O93" s="224" t="str">
        <f>IFERROR(INDEX(Database!$B$2:$CT$473,MATCH(L93,Database!$A$2:$A$473,0),MATCH($G$5,Database!$B$1:$CT$1,0)),"")</f>
        <v/>
      </c>
      <c r="P93" s="225">
        <f t="shared" si="6"/>
        <v>0</v>
      </c>
      <c r="Q93" s="226">
        <f t="shared" si="7"/>
        <v>0</v>
      </c>
      <c r="R93" s="217">
        <f t="shared" si="8"/>
        <v>0</v>
      </c>
    </row>
    <row r="94" spans="1:18" ht="22.05" customHeight="1">
      <c r="A94" s="219">
        <v>84</v>
      </c>
      <c r="B94" s="227" t="s">
        <v>685</v>
      </c>
      <c r="C94" s="216">
        <v>0.7</v>
      </c>
      <c r="D94" s="211" t="s">
        <v>131</v>
      </c>
      <c r="E94" s="216">
        <v>0.1</v>
      </c>
      <c r="F94" s="224" t="str">
        <f>IFERROR(INDEX(Database!$B$2:$CT$473,MATCH(D94,Database!$A$2:$A$473,0),MATCH($C$5,Database!$B$1:$CT$1,0)),"")</f>
        <v/>
      </c>
      <c r="G94" s="224" t="str">
        <f>IFERROR(INDEX(Database!$B$2:$CT$473,MATCH(D94,Database!$A$2:$A$473,0),MATCH($G$5,Database!$B$1:$CT$1,0)),"")</f>
        <v/>
      </c>
      <c r="H94" s="211" t="s">
        <v>172</v>
      </c>
      <c r="I94" s="216">
        <v>0.2</v>
      </c>
      <c r="J94" s="224" t="str">
        <f>IFERROR(INDEX(Database!$B$2:$CT$473,MATCH(H94,Database!$A$2:$A$473,0),MATCH($C$5,Database!$B$1:$CT$1,0)),"")</f>
        <v/>
      </c>
      <c r="K94" s="224" t="str">
        <f>IFERROR(INDEX(Database!$B$2:$CT$473,MATCH(H94,Database!$A$2:$A$473,0),MATCH($G$5,Database!$B$1:$CT$1,0)),"")</f>
        <v/>
      </c>
      <c r="L94" s="211"/>
      <c r="M94" s="216"/>
      <c r="N94" s="224" t="str">
        <f>IFERROR(INDEX(Database!$B$2:$CT$473,MATCH(L94,Database!$A$2:$A$473,0),MATCH($C$5,Database!$B$1:$CT$1,0)),"")</f>
        <v/>
      </c>
      <c r="O94" s="224" t="str">
        <f>IFERROR(INDEX(Database!$B$2:$CT$473,MATCH(L94,Database!$A$2:$A$473,0),MATCH($G$5,Database!$B$1:$CT$1,0)),"")</f>
        <v/>
      </c>
      <c r="P94" s="225">
        <f t="shared" si="6"/>
        <v>0</v>
      </c>
      <c r="Q94" s="226">
        <f t="shared" si="7"/>
        <v>1.4937687991979007</v>
      </c>
      <c r="R94" s="217">
        <f t="shared" si="8"/>
        <v>1.4937687991979007</v>
      </c>
    </row>
    <row r="95" spans="1:18" ht="22.05" customHeight="1">
      <c r="A95" s="222">
        <v>85</v>
      </c>
      <c r="B95" s="223" t="s">
        <v>686</v>
      </c>
      <c r="C95" s="216">
        <v>0.7</v>
      </c>
      <c r="D95" s="211" t="s">
        <v>525</v>
      </c>
      <c r="E95" s="216">
        <v>0.15</v>
      </c>
      <c r="F95" s="224" t="str">
        <f>IFERROR(INDEX(Database!$B$2:$CT$473,MATCH(D95,Database!$A$2:$A$473,0),MATCH($C$5,Database!$B$1:$CT$1,0)),"")</f>
        <v/>
      </c>
      <c r="G95" s="224" t="str">
        <f>IFERROR(INDEX(Database!$B$2:$CT$473,MATCH(D95,Database!$A$2:$A$473,0),MATCH($G$5,Database!$B$1:$CT$1,0)),"")</f>
        <v/>
      </c>
      <c r="H95" s="211" t="s">
        <v>123</v>
      </c>
      <c r="I95" s="216">
        <v>0.15</v>
      </c>
      <c r="J95" s="224" t="str">
        <f>IFERROR(INDEX(Database!$B$2:$CT$473,MATCH(H95,Database!$A$2:$A$473,0),MATCH($C$5,Database!$B$1:$CT$1,0)),"")</f>
        <v/>
      </c>
      <c r="K95" s="224" t="str">
        <f>IFERROR(INDEX(Database!$B$2:$CT$473,MATCH(H95,Database!$A$2:$A$473,0),MATCH($G$5,Database!$B$1:$CT$1,0)),"")</f>
        <v/>
      </c>
      <c r="L95" s="211"/>
      <c r="M95" s="216"/>
      <c r="N95" s="224" t="str">
        <f>IFERROR(INDEX(Database!$B$2:$CT$473,MATCH(L95,Database!$A$2:$A$473,0),MATCH($C$5,Database!$B$1:$CT$1,0)),"")</f>
        <v/>
      </c>
      <c r="O95" s="224" t="str">
        <f>IFERROR(INDEX(Database!$B$2:$CT$473,MATCH(L95,Database!$A$2:$A$473,0),MATCH($G$5,Database!$B$1:$CT$1,0)),"")</f>
        <v/>
      </c>
      <c r="P95" s="225">
        <f t="shared" si="6"/>
        <v>0</v>
      </c>
      <c r="Q95" s="226">
        <f t="shared" si="7"/>
        <v>1.4937687991979007</v>
      </c>
      <c r="R95" s="217">
        <f t="shared" si="8"/>
        <v>1.4937687991979007</v>
      </c>
    </row>
    <row r="96" spans="1:18" ht="22.05" customHeight="1">
      <c r="A96" s="219">
        <v>86</v>
      </c>
      <c r="B96" s="227" t="s">
        <v>687</v>
      </c>
      <c r="C96" s="216">
        <v>0.85</v>
      </c>
      <c r="D96" s="211" t="s">
        <v>123</v>
      </c>
      <c r="E96" s="216">
        <v>0.15</v>
      </c>
      <c r="F96" s="224" t="str">
        <f>IFERROR(INDEX(Database!$B$2:$CT$473,MATCH(D96,Database!$A$2:$A$473,0),MATCH($C$5,Database!$B$1:$CT$1,0)),"")</f>
        <v/>
      </c>
      <c r="G96" s="224" t="str">
        <f>IFERROR(INDEX(Database!$B$2:$CT$473,MATCH(D96,Database!$A$2:$A$473,0),MATCH($G$5,Database!$B$1:$CT$1,0)),"")</f>
        <v/>
      </c>
      <c r="H96" s="211"/>
      <c r="I96" s="216"/>
      <c r="J96" s="224" t="str">
        <f>IFERROR(INDEX(Database!$B$2:$CT$473,MATCH(H96,Database!$A$2:$A$473,0),MATCH($C$5,Database!$B$1:$CT$1,0)),"")</f>
        <v/>
      </c>
      <c r="K96" s="224" t="str">
        <f>IFERROR(INDEX(Database!$B$2:$CT$473,MATCH(H96,Database!$A$2:$A$473,0),MATCH($G$5,Database!$B$1:$CT$1,0)),"")</f>
        <v/>
      </c>
      <c r="L96" s="211"/>
      <c r="M96" s="216"/>
      <c r="N96" s="224" t="str">
        <f>IFERROR(INDEX(Database!$B$2:$CT$473,MATCH(L96,Database!$A$2:$A$473,0),MATCH($C$5,Database!$B$1:$CT$1,0)),"")</f>
        <v/>
      </c>
      <c r="O96" s="224" t="str">
        <f>IFERROR(INDEX(Database!$B$2:$CT$473,MATCH(L96,Database!$A$2:$A$473,0),MATCH($G$5,Database!$B$1:$CT$1,0)),"")</f>
        <v/>
      </c>
      <c r="P96" s="225">
        <f t="shared" si="6"/>
        <v>0</v>
      </c>
      <c r="Q96" s="226">
        <f t="shared" si="7"/>
        <v>1.8138621133117365</v>
      </c>
      <c r="R96" s="217">
        <f t="shared" si="8"/>
        <v>1.8138621133117365</v>
      </c>
    </row>
    <row r="97" spans="1:18" ht="22.05" customHeight="1">
      <c r="A97" s="222">
        <v>87</v>
      </c>
      <c r="B97" s="223" t="s">
        <v>688</v>
      </c>
      <c r="C97" s="216">
        <v>0</v>
      </c>
      <c r="D97" s="211" t="s">
        <v>531</v>
      </c>
      <c r="E97" s="216">
        <v>1</v>
      </c>
      <c r="F97" s="224" t="str">
        <f>IFERROR(INDEX(Database!$B$2:$CT$473,MATCH(D97,Database!$A$2:$A$473,0),MATCH($C$5,Database!$B$1:$CT$1,0)),"")</f>
        <v/>
      </c>
      <c r="G97" s="224" t="str">
        <f>IFERROR(INDEX(Database!$B$2:$CT$473,MATCH(D97,Database!$A$2:$A$473,0),MATCH($G$5,Database!$B$1:$CT$1,0)),"")</f>
        <v/>
      </c>
      <c r="H97" s="211"/>
      <c r="I97" s="216"/>
      <c r="J97" s="224" t="str">
        <f>IFERROR(INDEX(Database!$B$2:$CT$473,MATCH(H97,Database!$A$2:$A$473,0),MATCH($C$5,Database!$B$1:$CT$1,0)),"")</f>
        <v/>
      </c>
      <c r="K97" s="224" t="str">
        <f>IFERROR(INDEX(Database!$B$2:$CT$473,MATCH(H97,Database!$A$2:$A$473,0),MATCH($G$5,Database!$B$1:$CT$1,0)),"")</f>
        <v/>
      </c>
      <c r="L97" s="211"/>
      <c r="M97" s="216"/>
      <c r="N97" s="224" t="str">
        <f>IFERROR(INDEX(Database!$B$2:$CT$473,MATCH(L97,Database!$A$2:$A$473,0),MATCH($C$5,Database!$B$1:$CT$1,0)),"")</f>
        <v/>
      </c>
      <c r="O97" s="224" t="str">
        <f>IFERROR(INDEX(Database!$B$2:$CT$473,MATCH(L97,Database!$A$2:$A$473,0),MATCH($G$5,Database!$B$1:$CT$1,0)),"")</f>
        <v/>
      </c>
      <c r="P97" s="225">
        <f t="shared" si="6"/>
        <v>0</v>
      </c>
      <c r="Q97" s="226">
        <f t="shared" si="7"/>
        <v>0</v>
      </c>
      <c r="R97" s="217">
        <f t="shared" si="8"/>
        <v>0</v>
      </c>
    </row>
    <row r="98" spans="1:18" ht="22.05" customHeight="1">
      <c r="A98" s="219">
        <v>88</v>
      </c>
      <c r="B98" s="227" t="s">
        <v>689</v>
      </c>
      <c r="C98" s="216">
        <v>0</v>
      </c>
      <c r="D98" s="211" t="s">
        <v>538</v>
      </c>
      <c r="E98" s="216">
        <v>1</v>
      </c>
      <c r="F98" s="224" t="str">
        <f>IFERROR(INDEX(Database!$B$2:$CT$473,MATCH(D98,Database!$A$2:$A$473,0),MATCH($C$5,Database!$B$1:$CT$1,0)),"")</f>
        <v/>
      </c>
      <c r="G98" s="224" t="str">
        <f>IFERROR(INDEX(Database!$B$2:$CT$473,MATCH(D98,Database!$A$2:$A$473,0),MATCH($G$5,Database!$B$1:$CT$1,0)),"")</f>
        <v/>
      </c>
      <c r="H98" s="211"/>
      <c r="I98" s="216"/>
      <c r="J98" s="224" t="str">
        <f>IFERROR(INDEX(Database!$B$2:$CT$473,MATCH(H98,Database!$A$2:$A$473,0),MATCH($C$5,Database!$B$1:$CT$1,0)),"")</f>
        <v/>
      </c>
      <c r="K98" s="224" t="str">
        <f>IFERROR(INDEX(Database!$B$2:$CT$473,MATCH(H98,Database!$A$2:$A$473,0),MATCH($G$5,Database!$B$1:$CT$1,0)),"")</f>
        <v/>
      </c>
      <c r="L98" s="211"/>
      <c r="M98" s="216"/>
      <c r="N98" s="224" t="str">
        <f>IFERROR(INDEX(Database!$B$2:$CT$473,MATCH(L98,Database!$A$2:$A$473,0),MATCH($C$5,Database!$B$1:$CT$1,0)),"")</f>
        <v/>
      </c>
      <c r="O98" s="224" t="str">
        <f>IFERROR(INDEX(Database!$B$2:$CT$473,MATCH(L98,Database!$A$2:$A$473,0),MATCH($G$5,Database!$B$1:$CT$1,0)),"")</f>
        <v/>
      </c>
      <c r="P98" s="225">
        <f t="shared" si="6"/>
        <v>0</v>
      </c>
      <c r="Q98" s="226">
        <f t="shared" si="7"/>
        <v>0</v>
      </c>
      <c r="R98" s="217">
        <f t="shared" si="8"/>
        <v>0</v>
      </c>
    </row>
    <row r="99" spans="1:18" ht="22.05" customHeight="1">
      <c r="A99" s="222">
        <v>89</v>
      </c>
      <c r="B99" s="223" t="s">
        <v>690</v>
      </c>
      <c r="C99" s="216">
        <v>0.6</v>
      </c>
      <c r="D99" s="211" t="s">
        <v>525</v>
      </c>
      <c r="E99" s="216">
        <v>0.2</v>
      </c>
      <c r="F99" s="224" t="str">
        <f>IFERROR(INDEX(Database!$B$2:$CT$473,MATCH(D99,Database!$A$2:$A$473,0),MATCH($C$5,Database!$B$1:$CT$1,0)),"")</f>
        <v/>
      </c>
      <c r="G99" s="224" t="str">
        <f>IFERROR(INDEX(Database!$B$2:$CT$473,MATCH(D99,Database!$A$2:$A$473,0),MATCH($G$5,Database!$B$1:$CT$1,0)),"")</f>
        <v/>
      </c>
      <c r="H99" s="211" t="s">
        <v>123</v>
      </c>
      <c r="I99" s="216">
        <v>0.2</v>
      </c>
      <c r="J99" s="224" t="str">
        <f>IFERROR(INDEX(Database!$B$2:$CT$473,MATCH(H99,Database!$A$2:$A$473,0),MATCH($C$5,Database!$B$1:$CT$1,0)),"")</f>
        <v/>
      </c>
      <c r="K99" s="224" t="str">
        <f>IFERROR(INDEX(Database!$B$2:$CT$473,MATCH(H99,Database!$A$2:$A$473,0),MATCH($G$5,Database!$B$1:$CT$1,0)),"")</f>
        <v/>
      </c>
      <c r="L99" s="211"/>
      <c r="M99" s="216"/>
      <c r="N99" s="224" t="str">
        <f>IFERROR(INDEX(Database!$B$2:$CT$473,MATCH(L99,Database!$A$2:$A$473,0),MATCH($C$5,Database!$B$1:$CT$1,0)),"")</f>
        <v/>
      </c>
      <c r="O99" s="224" t="str">
        <f>IFERROR(INDEX(Database!$B$2:$CT$473,MATCH(L99,Database!$A$2:$A$473,0),MATCH($G$5,Database!$B$1:$CT$1,0)),"")</f>
        <v/>
      </c>
      <c r="P99" s="225">
        <f t="shared" si="6"/>
        <v>0</v>
      </c>
      <c r="Q99" s="226">
        <f t="shared" si="7"/>
        <v>1.2803732564553434</v>
      </c>
      <c r="R99" s="217">
        <f t="shared" si="8"/>
        <v>1.2803732564553434</v>
      </c>
    </row>
    <row r="100" spans="1:18" ht="22.05" customHeight="1">
      <c r="A100" s="219">
        <v>90</v>
      </c>
      <c r="B100" s="227" t="s">
        <v>691</v>
      </c>
      <c r="C100" s="216">
        <v>0.8</v>
      </c>
      <c r="D100" s="211" t="s">
        <v>123</v>
      </c>
      <c r="E100" s="216">
        <v>0.2</v>
      </c>
      <c r="F100" s="224" t="str">
        <f>IFERROR(INDEX(Database!$B$2:$CT$473,MATCH(D100,Database!$A$2:$A$473,0),MATCH($C$5,Database!$B$1:$CT$1,0)),"")</f>
        <v/>
      </c>
      <c r="G100" s="224" t="str">
        <f>IFERROR(INDEX(Database!$B$2:$CT$473,MATCH(D100,Database!$A$2:$A$473,0),MATCH($G$5,Database!$B$1:$CT$1,0)),"")</f>
        <v/>
      </c>
      <c r="H100" s="211"/>
      <c r="I100" s="216"/>
      <c r="J100" s="224" t="str">
        <f>IFERROR(INDEX(Database!$B$2:$CT$473,MATCH(H100,Database!$A$2:$A$473,0),MATCH($C$5,Database!$B$1:$CT$1,0)),"")</f>
        <v/>
      </c>
      <c r="K100" s="224" t="str">
        <f>IFERROR(INDEX(Database!$B$2:$CT$473,MATCH(H100,Database!$A$2:$A$473,0),MATCH($G$5,Database!$B$1:$CT$1,0)),"")</f>
        <v/>
      </c>
      <c r="L100" s="211"/>
      <c r="M100" s="216"/>
      <c r="N100" s="224" t="str">
        <f>IFERROR(INDEX(Database!$B$2:$CT$473,MATCH(L100,Database!$A$2:$A$473,0),MATCH($C$5,Database!$B$1:$CT$1,0)),"")</f>
        <v/>
      </c>
      <c r="O100" s="224" t="str">
        <f>IFERROR(INDEX(Database!$B$2:$CT$473,MATCH(L100,Database!$A$2:$A$473,0),MATCH($G$5,Database!$B$1:$CT$1,0)),"")</f>
        <v/>
      </c>
      <c r="P100" s="225">
        <f t="shared" si="6"/>
        <v>0</v>
      </c>
      <c r="Q100" s="226">
        <f t="shared" si="7"/>
        <v>1.7071643419404581</v>
      </c>
      <c r="R100" s="217">
        <f t="shared" si="8"/>
        <v>1.7071643419404581</v>
      </c>
    </row>
    <row r="101" spans="1:18" ht="22.05" customHeight="1">
      <c r="A101" s="222">
        <v>91</v>
      </c>
      <c r="B101" s="223" t="s">
        <v>692</v>
      </c>
      <c r="C101" s="216">
        <v>1</v>
      </c>
      <c r="D101" s="211"/>
      <c r="E101" s="216"/>
      <c r="F101" s="224" t="str">
        <f>IFERROR(INDEX(Database!$B$2:$CT$473,MATCH(D101,Database!$A$2:$A$473,0),MATCH($C$5,Database!$B$1:$CT$1,0)),"")</f>
        <v/>
      </c>
      <c r="G101" s="224" t="str">
        <f>IFERROR(INDEX(Database!$B$2:$CT$473,MATCH(D101,Database!$A$2:$A$473,0),MATCH($G$5,Database!$B$1:$CT$1,0)),"")</f>
        <v/>
      </c>
      <c r="H101" s="211"/>
      <c r="I101" s="216"/>
      <c r="J101" s="224" t="str">
        <f>IFERROR(INDEX(Database!$B$2:$CT$473,MATCH(H101,Database!$A$2:$A$473,0),MATCH($C$5,Database!$B$1:$CT$1,0)),"")</f>
        <v/>
      </c>
      <c r="K101" s="224" t="str">
        <f>IFERROR(INDEX(Database!$B$2:$CT$473,MATCH(H101,Database!$A$2:$A$473,0),MATCH($G$5,Database!$B$1:$CT$1,0)),"")</f>
        <v/>
      </c>
      <c r="L101" s="211"/>
      <c r="M101" s="216"/>
      <c r="N101" s="224" t="str">
        <f>IFERROR(INDEX(Database!$B$2:$CT$473,MATCH(L101,Database!$A$2:$A$473,0),MATCH($C$5,Database!$B$1:$CT$1,0)),"")</f>
        <v/>
      </c>
      <c r="O101" s="224" t="str">
        <f>IFERROR(INDEX(Database!$B$2:$CT$473,MATCH(L101,Database!$A$2:$A$473,0),MATCH($G$5,Database!$B$1:$CT$1,0)),"")</f>
        <v/>
      </c>
      <c r="P101" s="225">
        <f t="shared" si="6"/>
        <v>0</v>
      </c>
      <c r="Q101" s="226">
        <f t="shared" si="7"/>
        <v>2.1339554274255725</v>
      </c>
      <c r="R101" s="217">
        <f t="shared" si="8"/>
        <v>2.1339554274255725</v>
      </c>
    </row>
    <row r="102" spans="1:18" ht="22.05" customHeight="1">
      <c r="A102" s="219">
        <v>92</v>
      </c>
      <c r="B102" s="227" t="s">
        <v>693</v>
      </c>
      <c r="C102" s="216">
        <v>0.6</v>
      </c>
      <c r="D102" s="211" t="s">
        <v>525</v>
      </c>
      <c r="E102" s="216">
        <v>0.2</v>
      </c>
      <c r="F102" s="224" t="str">
        <f>IFERROR(INDEX(Database!$B$2:$CT$473,MATCH(D102,Database!$A$2:$A$473,0),MATCH($C$5,Database!$B$1:$CT$1,0)),"")</f>
        <v/>
      </c>
      <c r="G102" s="224" t="str">
        <f>IFERROR(INDEX(Database!$B$2:$CT$473,MATCH(D102,Database!$A$2:$A$473,0),MATCH($G$5,Database!$B$1:$CT$1,0)),"")</f>
        <v/>
      </c>
      <c r="H102" s="211" t="s">
        <v>123</v>
      </c>
      <c r="I102" s="216">
        <v>0.2</v>
      </c>
      <c r="J102" s="224" t="str">
        <f>IFERROR(INDEX(Database!$B$2:$CT$473,MATCH(H102,Database!$A$2:$A$473,0),MATCH($C$5,Database!$B$1:$CT$1,0)),"")</f>
        <v/>
      </c>
      <c r="K102" s="224" t="str">
        <f>IFERROR(INDEX(Database!$B$2:$CT$473,MATCH(H102,Database!$A$2:$A$473,0),MATCH($G$5,Database!$B$1:$CT$1,0)),"")</f>
        <v/>
      </c>
      <c r="L102" s="211"/>
      <c r="M102" s="216"/>
      <c r="N102" s="224" t="str">
        <f>IFERROR(INDEX(Database!$B$2:$CT$473,MATCH(L102,Database!$A$2:$A$473,0),MATCH($C$5,Database!$B$1:$CT$1,0)),"")</f>
        <v/>
      </c>
      <c r="O102" s="224" t="str">
        <f>IFERROR(INDEX(Database!$B$2:$CT$473,MATCH(L102,Database!$A$2:$A$473,0),MATCH($G$5,Database!$B$1:$CT$1,0)),"")</f>
        <v/>
      </c>
      <c r="P102" s="225">
        <f t="shared" si="6"/>
        <v>0</v>
      </c>
      <c r="Q102" s="226">
        <f t="shared" si="7"/>
        <v>1.2803732564553434</v>
      </c>
      <c r="R102" s="217">
        <f t="shared" si="8"/>
        <v>1.2803732564553434</v>
      </c>
    </row>
    <row r="103" spans="1:18" ht="22.05" customHeight="1">
      <c r="A103" s="222">
        <v>93</v>
      </c>
      <c r="B103" s="223" t="s">
        <v>694</v>
      </c>
      <c r="C103" s="216">
        <v>0.8</v>
      </c>
      <c r="D103" s="211" t="s">
        <v>123</v>
      </c>
      <c r="E103" s="216">
        <v>0.2</v>
      </c>
      <c r="F103" s="224" t="str">
        <f>IFERROR(INDEX(Database!$B$2:$CT$473,MATCH(D103,Database!$A$2:$A$473,0),MATCH($C$5,Database!$B$1:$CT$1,0)),"")</f>
        <v/>
      </c>
      <c r="G103" s="224" t="str">
        <f>IFERROR(INDEX(Database!$B$2:$CT$473,MATCH(D103,Database!$A$2:$A$473,0),MATCH($G$5,Database!$B$1:$CT$1,0)),"")</f>
        <v/>
      </c>
      <c r="H103" s="211"/>
      <c r="I103" s="216"/>
      <c r="J103" s="224" t="str">
        <f>IFERROR(INDEX(Database!$B$2:$CT$473,MATCH(H103,Database!$A$2:$A$473,0),MATCH($C$5,Database!$B$1:$CT$1,0)),"")</f>
        <v/>
      </c>
      <c r="K103" s="224" t="str">
        <f>IFERROR(INDEX(Database!$B$2:$CT$473,MATCH(H103,Database!$A$2:$A$473,0),MATCH($G$5,Database!$B$1:$CT$1,0)),"")</f>
        <v/>
      </c>
      <c r="L103" s="211"/>
      <c r="M103" s="216"/>
      <c r="N103" s="224" t="str">
        <f>IFERROR(INDEX(Database!$B$2:$CT$473,MATCH(L103,Database!$A$2:$A$473,0),MATCH($C$5,Database!$B$1:$CT$1,0)),"")</f>
        <v/>
      </c>
      <c r="O103" s="224" t="str">
        <f>IFERROR(INDEX(Database!$B$2:$CT$473,MATCH(L103,Database!$A$2:$A$473,0),MATCH($G$5,Database!$B$1:$CT$1,0)),"")</f>
        <v/>
      </c>
      <c r="P103" s="225">
        <f t="shared" si="6"/>
        <v>0</v>
      </c>
      <c r="Q103" s="226">
        <f t="shared" si="7"/>
        <v>1.7071643419404581</v>
      </c>
      <c r="R103" s="217">
        <f t="shared" si="8"/>
        <v>1.7071643419404581</v>
      </c>
    </row>
    <row r="104" spans="1:18" ht="22.05" customHeight="1">
      <c r="A104" s="219">
        <v>94</v>
      </c>
      <c r="B104" s="227" t="s">
        <v>695</v>
      </c>
      <c r="C104" s="216">
        <v>0</v>
      </c>
      <c r="D104" s="211" t="s">
        <v>131</v>
      </c>
      <c r="E104" s="216">
        <v>1</v>
      </c>
      <c r="F104" s="224" t="str">
        <f>IFERROR(INDEX(Database!$B$2:$CT$473,MATCH(D104,Database!$A$2:$A$473,0),MATCH($C$5,Database!$B$1:$CT$1,0)),"")</f>
        <v/>
      </c>
      <c r="G104" s="224" t="str">
        <f>IFERROR(INDEX(Database!$B$2:$CT$473,MATCH(D104,Database!$A$2:$A$473,0),MATCH($G$5,Database!$B$1:$CT$1,0)),"")</f>
        <v/>
      </c>
      <c r="H104" s="211"/>
      <c r="I104" s="216"/>
      <c r="J104" s="224" t="str">
        <f>IFERROR(INDEX(Database!$B$2:$CT$473,MATCH(H104,Database!$A$2:$A$473,0),MATCH($C$5,Database!$B$1:$CT$1,0)),"")</f>
        <v/>
      </c>
      <c r="K104" s="224" t="str">
        <f>IFERROR(INDEX(Database!$B$2:$CT$473,MATCH(H104,Database!$A$2:$A$473,0),MATCH($G$5,Database!$B$1:$CT$1,0)),"")</f>
        <v/>
      </c>
      <c r="L104" s="211"/>
      <c r="M104" s="216"/>
      <c r="N104" s="224" t="str">
        <f>IFERROR(INDEX(Database!$B$2:$CT$473,MATCH(L104,Database!$A$2:$A$473,0),MATCH($C$5,Database!$B$1:$CT$1,0)),"")</f>
        <v/>
      </c>
      <c r="O104" s="224" t="str">
        <f>IFERROR(INDEX(Database!$B$2:$CT$473,MATCH(L104,Database!$A$2:$A$473,0),MATCH($G$5,Database!$B$1:$CT$1,0)),"")</f>
        <v/>
      </c>
      <c r="P104" s="225">
        <f t="shared" si="6"/>
        <v>0</v>
      </c>
      <c r="Q104" s="226">
        <f t="shared" si="7"/>
        <v>0</v>
      </c>
      <c r="R104" s="217">
        <f t="shared" si="8"/>
        <v>0</v>
      </c>
    </row>
    <row r="105" spans="1:18" ht="22.05" customHeight="1">
      <c r="A105" s="222">
        <v>95</v>
      </c>
      <c r="B105" s="223" t="s">
        <v>696</v>
      </c>
      <c r="C105" s="216">
        <v>0</v>
      </c>
      <c r="D105" s="211" t="s">
        <v>140</v>
      </c>
      <c r="E105" s="216">
        <v>1</v>
      </c>
      <c r="F105" s="224" t="str">
        <f>IFERROR(INDEX(Database!$B$2:$CT$473,MATCH(D105,Database!$A$2:$A$473,0),MATCH($C$5,Database!$B$1:$CT$1,0)),"")</f>
        <v/>
      </c>
      <c r="G105" s="224" t="str">
        <f>IFERROR(INDEX(Database!$B$2:$CT$473,MATCH(D105,Database!$A$2:$A$473,0),MATCH($G$5,Database!$B$1:$CT$1,0)),"")</f>
        <v/>
      </c>
      <c r="H105" s="211"/>
      <c r="I105" s="216"/>
      <c r="J105" s="224" t="str">
        <f>IFERROR(INDEX(Database!$B$2:$CT$473,MATCH(H105,Database!$A$2:$A$473,0),MATCH($C$5,Database!$B$1:$CT$1,0)),"")</f>
        <v/>
      </c>
      <c r="K105" s="224" t="str">
        <f>IFERROR(INDEX(Database!$B$2:$CT$473,MATCH(H105,Database!$A$2:$A$473,0),MATCH($G$5,Database!$B$1:$CT$1,0)),"")</f>
        <v/>
      </c>
      <c r="L105" s="211"/>
      <c r="M105" s="216"/>
      <c r="N105" s="224" t="str">
        <f>IFERROR(INDEX(Database!$B$2:$CT$473,MATCH(L105,Database!$A$2:$A$473,0),MATCH($C$5,Database!$B$1:$CT$1,0)),"")</f>
        <v/>
      </c>
      <c r="O105" s="224" t="str">
        <f>IFERROR(INDEX(Database!$B$2:$CT$473,MATCH(L105,Database!$A$2:$A$473,0),MATCH($G$5,Database!$B$1:$CT$1,0)),"")</f>
        <v/>
      </c>
      <c r="P105" s="225">
        <f t="shared" si="6"/>
        <v>0</v>
      </c>
      <c r="Q105" s="226">
        <f t="shared" si="7"/>
        <v>0</v>
      </c>
      <c r="R105" s="217">
        <f t="shared" si="8"/>
        <v>0</v>
      </c>
    </row>
    <row r="106" spans="1:18" ht="22.05" customHeight="1">
      <c r="A106" s="219">
        <v>96</v>
      </c>
      <c r="B106" s="227" t="s">
        <v>697</v>
      </c>
      <c r="C106" s="216">
        <v>0</v>
      </c>
      <c r="D106" s="211" t="s">
        <v>140</v>
      </c>
      <c r="E106" s="216">
        <v>1</v>
      </c>
      <c r="F106" s="224" t="str">
        <f>IFERROR(INDEX(Database!$B$2:$CT$473,MATCH(D106,Database!$A$2:$A$473,0),MATCH($C$5,Database!$B$1:$CT$1,0)),"")</f>
        <v/>
      </c>
      <c r="G106" s="224" t="str">
        <f>IFERROR(INDEX(Database!$B$2:$CT$473,MATCH(D106,Database!$A$2:$A$473,0),MATCH($G$5,Database!$B$1:$CT$1,0)),"")</f>
        <v/>
      </c>
      <c r="H106" s="211"/>
      <c r="I106" s="216"/>
      <c r="J106" s="224" t="str">
        <f>IFERROR(INDEX(Database!$B$2:$CT$473,MATCH(H106,Database!$A$2:$A$473,0),MATCH($C$5,Database!$B$1:$CT$1,0)),"")</f>
        <v/>
      </c>
      <c r="K106" s="224" t="str">
        <f>IFERROR(INDEX(Database!$B$2:$CT$473,MATCH(H106,Database!$A$2:$A$473,0),MATCH($G$5,Database!$B$1:$CT$1,0)),"")</f>
        <v/>
      </c>
      <c r="L106" s="211"/>
      <c r="M106" s="216"/>
      <c r="N106" s="224" t="str">
        <f>IFERROR(INDEX(Database!$B$2:$CT$473,MATCH(L106,Database!$A$2:$A$473,0),MATCH($C$5,Database!$B$1:$CT$1,0)),"")</f>
        <v/>
      </c>
      <c r="O106" s="224" t="str">
        <f>IFERROR(INDEX(Database!$B$2:$CT$473,MATCH(L106,Database!$A$2:$A$473,0),MATCH($G$5,Database!$B$1:$CT$1,0)),"")</f>
        <v/>
      </c>
      <c r="P106" s="225">
        <f t="shared" si="6"/>
        <v>0</v>
      </c>
      <c r="Q106" s="226">
        <f t="shared" si="7"/>
        <v>0</v>
      </c>
      <c r="R106" s="217">
        <f t="shared" si="8"/>
        <v>0</v>
      </c>
    </row>
    <row r="107" spans="1:18" ht="22.05" customHeight="1">
      <c r="A107" s="222">
        <v>97</v>
      </c>
      <c r="B107" s="223" t="s">
        <v>698</v>
      </c>
      <c r="C107" s="216">
        <v>1</v>
      </c>
      <c r="D107" s="211"/>
      <c r="E107" s="216"/>
      <c r="F107" s="224" t="str">
        <f>IFERROR(INDEX(Database!$B$2:$CT$473,MATCH(D107,Database!$A$2:$A$473,0),MATCH($C$5,Database!$B$1:$CT$1,0)),"")</f>
        <v/>
      </c>
      <c r="G107" s="224" t="str">
        <f>IFERROR(INDEX(Database!$B$2:$CT$473,MATCH(D107,Database!$A$2:$A$473,0),MATCH($G$5,Database!$B$1:$CT$1,0)),"")</f>
        <v/>
      </c>
      <c r="H107" s="211"/>
      <c r="I107" s="216"/>
      <c r="J107" s="224" t="str">
        <f>IFERROR(INDEX(Database!$B$2:$CT$473,MATCH(H107,Database!$A$2:$A$473,0),MATCH($C$5,Database!$B$1:$CT$1,0)),"")</f>
        <v/>
      </c>
      <c r="K107" s="224" t="str">
        <f>IFERROR(INDEX(Database!$B$2:$CT$473,MATCH(H107,Database!$A$2:$A$473,0),MATCH($G$5,Database!$B$1:$CT$1,0)),"")</f>
        <v/>
      </c>
      <c r="L107" s="211"/>
      <c r="M107" s="216"/>
      <c r="N107" s="224" t="str">
        <f>IFERROR(INDEX(Database!$B$2:$CT$473,MATCH(L107,Database!$A$2:$A$473,0),MATCH($C$5,Database!$B$1:$CT$1,0)),"")</f>
        <v/>
      </c>
      <c r="O107" s="224" t="str">
        <f>IFERROR(INDEX(Database!$B$2:$CT$473,MATCH(L107,Database!$A$2:$A$473,0),MATCH($G$5,Database!$B$1:$CT$1,0)),"")</f>
        <v/>
      </c>
      <c r="P107" s="225">
        <f t="shared" ref="P107:P138" si="9">IF(OR(F107="",F107=0),0,(G107/F107)*E107)+IF(OR(J107="",J107=0),0,(K107/J107)*I107)+IF(OR(N107="",N107=0),0,(O107/N107)*M107)</f>
        <v>0</v>
      </c>
      <c r="Q107" s="226">
        <f t="shared" ref="Q107:Q133" si="10">IF(OR($C$6=0,$C$6=""),0,($G$6/$C$6)*C107)</f>
        <v>2.1339554274255725</v>
      </c>
      <c r="R107" s="217">
        <f t="shared" ref="R107:R138" si="11">P107+Q107</f>
        <v>2.1339554274255725</v>
      </c>
    </row>
    <row r="108" spans="1:18" ht="22.05" customHeight="1">
      <c r="A108" s="219">
        <v>98</v>
      </c>
      <c r="B108" s="227" t="s">
        <v>699</v>
      </c>
      <c r="C108" s="216">
        <v>0</v>
      </c>
      <c r="D108" s="211" t="s">
        <v>534</v>
      </c>
      <c r="E108" s="216">
        <v>1</v>
      </c>
      <c r="F108" s="224" t="str">
        <f>IFERROR(INDEX(Database!$B$2:$CT$473,MATCH(D108,Database!$A$2:$A$473,0),MATCH($C$5,Database!$B$1:$CT$1,0)),"")</f>
        <v/>
      </c>
      <c r="G108" s="224" t="str">
        <f>IFERROR(INDEX(Database!$B$2:$CT$473,MATCH(D108,Database!$A$2:$A$473,0),MATCH($G$5,Database!$B$1:$CT$1,0)),"")</f>
        <v/>
      </c>
      <c r="H108" s="211"/>
      <c r="I108" s="216"/>
      <c r="J108" s="224" t="str">
        <f>IFERROR(INDEX(Database!$B$2:$CT$473,MATCH(H108,Database!$A$2:$A$473,0),MATCH($C$5,Database!$B$1:$CT$1,0)),"")</f>
        <v/>
      </c>
      <c r="K108" s="224" t="str">
        <f>IFERROR(INDEX(Database!$B$2:$CT$473,MATCH(H108,Database!$A$2:$A$473,0),MATCH($G$5,Database!$B$1:$CT$1,0)),"")</f>
        <v/>
      </c>
      <c r="L108" s="211"/>
      <c r="M108" s="216"/>
      <c r="N108" s="224" t="str">
        <f>IFERROR(INDEX(Database!$B$2:$CT$473,MATCH(L108,Database!$A$2:$A$473,0),MATCH($C$5,Database!$B$1:$CT$1,0)),"")</f>
        <v/>
      </c>
      <c r="O108" s="224" t="str">
        <f>IFERROR(INDEX(Database!$B$2:$CT$473,MATCH(L108,Database!$A$2:$A$473,0),MATCH($G$5,Database!$B$1:$CT$1,0)),"")</f>
        <v/>
      </c>
      <c r="P108" s="225">
        <f t="shared" si="9"/>
        <v>0</v>
      </c>
      <c r="Q108" s="226">
        <f t="shared" si="10"/>
        <v>0</v>
      </c>
      <c r="R108" s="217">
        <f t="shared" si="11"/>
        <v>0</v>
      </c>
    </row>
    <row r="109" spans="1:18" ht="22.05" customHeight="1">
      <c r="A109" s="222">
        <v>99</v>
      </c>
      <c r="B109" s="223" t="s">
        <v>3089</v>
      </c>
      <c r="C109" s="216">
        <v>0.7</v>
      </c>
      <c r="D109" s="211" t="s">
        <v>534</v>
      </c>
      <c r="E109" s="216">
        <v>0.3</v>
      </c>
      <c r="F109" s="224" t="str">
        <f>IFERROR(INDEX(Database!$B$2:$CT$473,MATCH(D109,Database!$A$2:$A$473,0),MATCH($C$5,Database!$B$1:$CT$1,0)),"")</f>
        <v/>
      </c>
      <c r="G109" s="224" t="str">
        <f>IFERROR(INDEX(Database!$B$2:$CT$473,MATCH(D109,Database!$A$2:$A$473,0),MATCH($G$5,Database!$B$1:$CT$1,0)),"")</f>
        <v/>
      </c>
      <c r="H109" s="211"/>
      <c r="I109" s="216"/>
      <c r="J109" s="224" t="str">
        <f>IFERROR(INDEX(Database!$B$2:$CT$473,MATCH(H109,Database!$A$2:$A$473,0),MATCH($C$5,Database!$B$1:$CT$1,0)),"")</f>
        <v/>
      </c>
      <c r="K109" s="224" t="str">
        <f>IFERROR(INDEX(Database!$B$2:$CT$473,MATCH(H109,Database!$A$2:$A$473,0),MATCH($G$5,Database!$B$1:$CT$1,0)),"")</f>
        <v/>
      </c>
      <c r="L109" s="211"/>
      <c r="M109" s="216"/>
      <c r="N109" s="224" t="str">
        <f>IFERROR(INDEX(Database!$B$2:$CT$473,MATCH(L109,Database!$A$2:$A$473,0),MATCH($C$5,Database!$B$1:$CT$1,0)),"")</f>
        <v/>
      </c>
      <c r="O109" s="224" t="str">
        <f>IFERROR(INDEX(Database!$B$2:$CT$473,MATCH(L109,Database!$A$2:$A$473,0),MATCH($G$5,Database!$B$1:$CT$1,0)),"")</f>
        <v/>
      </c>
      <c r="P109" s="225">
        <f t="shared" si="9"/>
        <v>0</v>
      </c>
      <c r="Q109" s="226">
        <f t="shared" si="10"/>
        <v>1.4937687991979007</v>
      </c>
      <c r="R109" s="217">
        <f t="shared" si="11"/>
        <v>1.4937687991979007</v>
      </c>
    </row>
    <row r="110" spans="1:18" ht="22.05" customHeight="1">
      <c r="A110" s="219">
        <v>100</v>
      </c>
      <c r="B110" s="227" t="s">
        <v>701</v>
      </c>
      <c r="C110" s="216">
        <v>0</v>
      </c>
      <c r="D110" s="211" t="s">
        <v>512</v>
      </c>
      <c r="E110" s="216">
        <v>1</v>
      </c>
      <c r="F110" s="224" t="str">
        <f>IFERROR(INDEX(Database!$B$2:$CT$473,MATCH(D110,Database!$A$2:$A$473,0),MATCH($C$5,Database!$B$1:$CT$1,0)),"")</f>
        <v/>
      </c>
      <c r="G110" s="224" t="str">
        <f>IFERROR(INDEX(Database!$B$2:$CT$473,MATCH(D110,Database!$A$2:$A$473,0),MATCH($G$5,Database!$B$1:$CT$1,0)),"")</f>
        <v/>
      </c>
      <c r="H110" s="211"/>
      <c r="I110" s="216"/>
      <c r="J110" s="224" t="str">
        <f>IFERROR(INDEX(Database!$B$2:$CT$473,MATCH(H110,Database!$A$2:$A$473,0),MATCH($C$5,Database!$B$1:$CT$1,0)),"")</f>
        <v/>
      </c>
      <c r="K110" s="224" t="str">
        <f>IFERROR(INDEX(Database!$B$2:$CT$473,MATCH(H110,Database!$A$2:$A$473,0),MATCH($G$5,Database!$B$1:$CT$1,0)),"")</f>
        <v/>
      </c>
      <c r="L110" s="211"/>
      <c r="M110" s="216"/>
      <c r="N110" s="224" t="str">
        <f>IFERROR(INDEX(Database!$B$2:$CT$473,MATCH(L110,Database!$A$2:$A$473,0),MATCH($C$5,Database!$B$1:$CT$1,0)),"")</f>
        <v/>
      </c>
      <c r="O110" s="224" t="str">
        <f>IFERROR(INDEX(Database!$B$2:$CT$473,MATCH(L110,Database!$A$2:$A$473,0),MATCH($G$5,Database!$B$1:$CT$1,0)),"")</f>
        <v/>
      </c>
      <c r="P110" s="225">
        <f t="shared" si="9"/>
        <v>0</v>
      </c>
      <c r="Q110" s="226">
        <f t="shared" si="10"/>
        <v>0</v>
      </c>
      <c r="R110" s="217">
        <f t="shared" si="11"/>
        <v>0</v>
      </c>
    </row>
    <row r="111" spans="1:18" ht="22.05" customHeight="1">
      <c r="A111" s="222">
        <v>101</v>
      </c>
      <c r="B111" s="223" t="s">
        <v>702</v>
      </c>
      <c r="C111" s="216">
        <v>0.7</v>
      </c>
      <c r="D111" s="211" t="s">
        <v>534</v>
      </c>
      <c r="E111" s="216">
        <v>0.3</v>
      </c>
      <c r="F111" s="224" t="str">
        <f>IFERROR(INDEX(Database!$B$2:$CT$473,MATCH(D111,Database!$A$2:$A$473,0),MATCH($C$5,Database!$B$1:$CT$1,0)),"")</f>
        <v/>
      </c>
      <c r="G111" s="224" t="str">
        <f>IFERROR(INDEX(Database!$B$2:$CT$473,MATCH(D111,Database!$A$2:$A$473,0),MATCH($G$5,Database!$B$1:$CT$1,0)),"")</f>
        <v/>
      </c>
      <c r="H111" s="211"/>
      <c r="I111" s="216"/>
      <c r="J111" s="224" t="str">
        <f>IFERROR(INDEX(Database!$B$2:$CT$473,MATCH(H111,Database!$A$2:$A$473,0),MATCH($C$5,Database!$B$1:$CT$1,0)),"")</f>
        <v/>
      </c>
      <c r="K111" s="224" t="str">
        <f>IFERROR(INDEX(Database!$B$2:$CT$473,MATCH(H111,Database!$A$2:$A$473,0),MATCH($G$5,Database!$B$1:$CT$1,0)),"")</f>
        <v/>
      </c>
      <c r="L111" s="211"/>
      <c r="M111" s="216"/>
      <c r="N111" s="224" t="str">
        <f>IFERROR(INDEX(Database!$B$2:$CT$473,MATCH(L111,Database!$A$2:$A$473,0),MATCH($C$5,Database!$B$1:$CT$1,0)),"")</f>
        <v/>
      </c>
      <c r="O111" s="224" t="str">
        <f>IFERROR(INDEX(Database!$B$2:$CT$473,MATCH(L111,Database!$A$2:$A$473,0),MATCH($G$5,Database!$B$1:$CT$1,0)),"")</f>
        <v/>
      </c>
      <c r="P111" s="225">
        <f t="shared" si="9"/>
        <v>0</v>
      </c>
      <c r="Q111" s="226">
        <f t="shared" si="10"/>
        <v>1.4937687991979007</v>
      </c>
      <c r="R111" s="217">
        <f t="shared" si="11"/>
        <v>1.4937687991979007</v>
      </c>
    </row>
    <row r="112" spans="1:18" ht="22.05" customHeight="1">
      <c r="A112" s="219">
        <v>102</v>
      </c>
      <c r="B112" s="227" t="s">
        <v>703</v>
      </c>
      <c r="C112" s="216">
        <v>0</v>
      </c>
      <c r="D112" s="211" t="s">
        <v>514</v>
      </c>
      <c r="E112" s="216">
        <v>1</v>
      </c>
      <c r="F112" s="224" t="str">
        <f>IFERROR(INDEX(Database!$B$2:$CT$473,MATCH(D112,Database!$A$2:$A$473,0),MATCH($C$5,Database!$B$1:$CT$1,0)),"")</f>
        <v/>
      </c>
      <c r="G112" s="224" t="str">
        <f>IFERROR(INDEX(Database!$B$2:$CT$473,MATCH(D112,Database!$A$2:$A$473,0),MATCH($G$5,Database!$B$1:$CT$1,0)),"")</f>
        <v/>
      </c>
      <c r="H112" s="211"/>
      <c r="I112" s="216"/>
      <c r="J112" s="224" t="str">
        <f>IFERROR(INDEX(Database!$B$2:$CT$473,MATCH(H112,Database!$A$2:$A$473,0),MATCH($C$5,Database!$B$1:$CT$1,0)),"")</f>
        <v/>
      </c>
      <c r="K112" s="224" t="str">
        <f>IFERROR(INDEX(Database!$B$2:$CT$473,MATCH(H112,Database!$A$2:$A$473,0),MATCH($G$5,Database!$B$1:$CT$1,0)),"")</f>
        <v/>
      </c>
      <c r="L112" s="211"/>
      <c r="M112" s="216"/>
      <c r="N112" s="224" t="str">
        <f>IFERROR(INDEX(Database!$B$2:$CT$473,MATCH(L112,Database!$A$2:$A$473,0),MATCH($C$5,Database!$B$1:$CT$1,0)),"")</f>
        <v/>
      </c>
      <c r="O112" s="224" t="str">
        <f>IFERROR(INDEX(Database!$B$2:$CT$473,MATCH(L112,Database!$A$2:$A$473,0),MATCH($G$5,Database!$B$1:$CT$1,0)),"")</f>
        <v/>
      </c>
      <c r="P112" s="225">
        <f t="shared" si="9"/>
        <v>0</v>
      </c>
      <c r="Q112" s="226">
        <f t="shared" si="10"/>
        <v>0</v>
      </c>
      <c r="R112" s="217">
        <f t="shared" si="11"/>
        <v>0</v>
      </c>
    </row>
    <row r="113" spans="1:18" ht="22.05" customHeight="1">
      <c r="A113" s="222">
        <v>103</v>
      </c>
      <c r="B113" s="223" t="s">
        <v>704</v>
      </c>
      <c r="C113" s="216">
        <v>0</v>
      </c>
      <c r="D113" s="211" t="s">
        <v>534</v>
      </c>
      <c r="E113" s="216">
        <v>1</v>
      </c>
      <c r="F113" s="224" t="str">
        <f>IFERROR(INDEX(Database!$B$2:$CT$473,MATCH(D113,Database!$A$2:$A$473,0),MATCH($C$5,Database!$B$1:$CT$1,0)),"")</f>
        <v/>
      </c>
      <c r="G113" s="224" t="str">
        <f>IFERROR(INDEX(Database!$B$2:$CT$473,MATCH(D113,Database!$A$2:$A$473,0),MATCH($G$5,Database!$B$1:$CT$1,0)),"")</f>
        <v/>
      </c>
      <c r="H113" s="211"/>
      <c r="I113" s="216"/>
      <c r="J113" s="224" t="str">
        <f>IFERROR(INDEX(Database!$B$2:$CT$473,MATCH(H113,Database!$A$2:$A$473,0),MATCH($C$5,Database!$B$1:$CT$1,0)),"")</f>
        <v/>
      </c>
      <c r="K113" s="224" t="str">
        <f>IFERROR(INDEX(Database!$B$2:$CT$473,MATCH(H113,Database!$A$2:$A$473,0),MATCH($G$5,Database!$B$1:$CT$1,0)),"")</f>
        <v/>
      </c>
      <c r="L113" s="211"/>
      <c r="M113" s="216"/>
      <c r="N113" s="224" t="str">
        <f>IFERROR(INDEX(Database!$B$2:$CT$473,MATCH(L113,Database!$A$2:$A$473,0),MATCH($C$5,Database!$B$1:$CT$1,0)),"")</f>
        <v/>
      </c>
      <c r="O113" s="224" t="str">
        <f>IFERROR(INDEX(Database!$B$2:$CT$473,MATCH(L113,Database!$A$2:$A$473,0),MATCH($G$5,Database!$B$1:$CT$1,0)),"")</f>
        <v/>
      </c>
      <c r="P113" s="225">
        <f t="shared" si="9"/>
        <v>0</v>
      </c>
      <c r="Q113" s="226">
        <f t="shared" si="10"/>
        <v>0</v>
      </c>
      <c r="R113" s="217">
        <f t="shared" si="11"/>
        <v>0</v>
      </c>
    </row>
    <row r="114" spans="1:18" ht="22.05" customHeight="1">
      <c r="A114" s="219">
        <v>104</v>
      </c>
      <c r="B114" s="227" t="s">
        <v>705</v>
      </c>
      <c r="C114" s="216">
        <v>0.7</v>
      </c>
      <c r="D114" s="211" t="s">
        <v>514</v>
      </c>
      <c r="E114" s="216">
        <v>0.3</v>
      </c>
      <c r="F114" s="224" t="str">
        <f>IFERROR(INDEX(Database!$B$2:$CT$473,MATCH(D114,Database!$A$2:$A$473,0),MATCH($C$5,Database!$B$1:$CT$1,0)),"")</f>
        <v/>
      </c>
      <c r="G114" s="224" t="str">
        <f>IFERROR(INDEX(Database!$B$2:$CT$473,MATCH(D114,Database!$A$2:$A$473,0),MATCH($G$5,Database!$B$1:$CT$1,0)),"")</f>
        <v/>
      </c>
      <c r="H114" s="211"/>
      <c r="I114" s="216"/>
      <c r="J114" s="224" t="str">
        <f>IFERROR(INDEX(Database!$B$2:$CT$473,MATCH(H114,Database!$A$2:$A$473,0),MATCH($C$5,Database!$B$1:$CT$1,0)),"")</f>
        <v/>
      </c>
      <c r="K114" s="224" t="str">
        <f>IFERROR(INDEX(Database!$B$2:$CT$473,MATCH(H114,Database!$A$2:$A$473,0),MATCH($G$5,Database!$B$1:$CT$1,0)),"")</f>
        <v/>
      </c>
      <c r="L114" s="211"/>
      <c r="M114" s="216"/>
      <c r="N114" s="224" t="str">
        <f>IFERROR(INDEX(Database!$B$2:$CT$473,MATCH(L114,Database!$A$2:$A$473,0),MATCH($C$5,Database!$B$1:$CT$1,0)),"")</f>
        <v/>
      </c>
      <c r="O114" s="224" t="str">
        <f>IFERROR(INDEX(Database!$B$2:$CT$473,MATCH(L114,Database!$A$2:$A$473,0),MATCH($G$5,Database!$B$1:$CT$1,0)),"")</f>
        <v/>
      </c>
      <c r="P114" s="225">
        <f t="shared" si="9"/>
        <v>0</v>
      </c>
      <c r="Q114" s="226">
        <f t="shared" si="10"/>
        <v>1.4937687991979007</v>
      </c>
      <c r="R114" s="217">
        <f t="shared" si="11"/>
        <v>1.4937687991979007</v>
      </c>
    </row>
    <row r="115" spans="1:18" ht="22.05" customHeight="1">
      <c r="A115" s="222">
        <v>105</v>
      </c>
      <c r="B115" s="223" t="s">
        <v>706</v>
      </c>
      <c r="C115" s="216">
        <v>0.8</v>
      </c>
      <c r="D115" s="211" t="s">
        <v>131</v>
      </c>
      <c r="E115" s="216">
        <v>0.2</v>
      </c>
      <c r="F115" s="224" t="str">
        <f>IFERROR(INDEX(Database!$B$2:$CT$473,MATCH(D115,Database!$A$2:$A$473,0),MATCH($C$5,Database!$B$1:$CT$1,0)),"")</f>
        <v/>
      </c>
      <c r="G115" s="224" t="str">
        <f>IFERROR(INDEX(Database!$B$2:$CT$473,MATCH(D115,Database!$A$2:$A$473,0),MATCH($G$5,Database!$B$1:$CT$1,0)),"")</f>
        <v/>
      </c>
      <c r="H115" s="211"/>
      <c r="I115" s="216"/>
      <c r="J115" s="224" t="str">
        <f>IFERROR(INDEX(Database!$B$2:$CT$473,MATCH(H115,Database!$A$2:$A$473,0),MATCH($C$5,Database!$B$1:$CT$1,0)),"")</f>
        <v/>
      </c>
      <c r="K115" s="224" t="str">
        <f>IFERROR(INDEX(Database!$B$2:$CT$473,MATCH(H115,Database!$A$2:$A$473,0),MATCH($G$5,Database!$B$1:$CT$1,0)),"")</f>
        <v/>
      </c>
      <c r="L115" s="211"/>
      <c r="M115" s="216"/>
      <c r="N115" s="224" t="str">
        <f>IFERROR(INDEX(Database!$B$2:$CT$473,MATCH(L115,Database!$A$2:$A$473,0),MATCH($C$5,Database!$B$1:$CT$1,0)),"")</f>
        <v/>
      </c>
      <c r="O115" s="224" t="str">
        <f>IFERROR(INDEX(Database!$B$2:$CT$473,MATCH(L115,Database!$A$2:$A$473,0),MATCH($G$5,Database!$B$1:$CT$1,0)),"")</f>
        <v/>
      </c>
      <c r="P115" s="225">
        <f t="shared" si="9"/>
        <v>0</v>
      </c>
      <c r="Q115" s="226">
        <f t="shared" si="10"/>
        <v>1.7071643419404581</v>
      </c>
      <c r="R115" s="217">
        <f t="shared" si="11"/>
        <v>1.7071643419404581</v>
      </c>
    </row>
    <row r="116" spans="1:18" ht="22.05" customHeight="1">
      <c r="A116" s="219">
        <v>106</v>
      </c>
      <c r="B116" s="227" t="s">
        <v>707</v>
      </c>
      <c r="C116" s="216">
        <v>1</v>
      </c>
      <c r="D116" s="211"/>
      <c r="E116" s="216"/>
      <c r="F116" s="224" t="str">
        <f>IFERROR(INDEX(Database!$B$2:$CT$473,MATCH(D116,Database!$A$2:$A$473,0),MATCH($C$5,Database!$B$1:$CT$1,0)),"")</f>
        <v/>
      </c>
      <c r="G116" s="224" t="str">
        <f>IFERROR(INDEX(Database!$B$2:$CT$473,MATCH(D116,Database!$A$2:$A$473,0),MATCH($G$5,Database!$B$1:$CT$1,0)),"")</f>
        <v/>
      </c>
      <c r="H116" s="211"/>
      <c r="I116" s="216"/>
      <c r="J116" s="224" t="str">
        <f>IFERROR(INDEX(Database!$B$2:$CT$473,MATCH(H116,Database!$A$2:$A$473,0),MATCH($C$5,Database!$B$1:$CT$1,0)),"")</f>
        <v/>
      </c>
      <c r="K116" s="224" t="str">
        <f>IFERROR(INDEX(Database!$B$2:$CT$473,MATCH(H116,Database!$A$2:$A$473,0),MATCH($G$5,Database!$B$1:$CT$1,0)),"")</f>
        <v/>
      </c>
      <c r="L116" s="211"/>
      <c r="M116" s="216"/>
      <c r="N116" s="224" t="str">
        <f>IFERROR(INDEX(Database!$B$2:$CT$473,MATCH(L116,Database!$A$2:$A$473,0),MATCH($C$5,Database!$B$1:$CT$1,0)),"")</f>
        <v/>
      </c>
      <c r="O116" s="224" t="str">
        <f>IFERROR(INDEX(Database!$B$2:$CT$473,MATCH(L116,Database!$A$2:$A$473,0),MATCH($G$5,Database!$B$1:$CT$1,0)),"")</f>
        <v/>
      </c>
      <c r="P116" s="225">
        <f t="shared" si="9"/>
        <v>0</v>
      </c>
      <c r="Q116" s="226">
        <f t="shared" si="10"/>
        <v>2.1339554274255725</v>
      </c>
      <c r="R116" s="217">
        <f t="shared" si="11"/>
        <v>2.1339554274255725</v>
      </c>
    </row>
    <row r="117" spans="1:18" ht="22.05" customHeight="1">
      <c r="A117" s="222">
        <v>107</v>
      </c>
      <c r="B117" s="223" t="s">
        <v>708</v>
      </c>
      <c r="C117" s="216">
        <v>0.9</v>
      </c>
      <c r="D117" s="211" t="s">
        <v>525</v>
      </c>
      <c r="E117" s="216">
        <v>0.1</v>
      </c>
      <c r="F117" s="224" t="str">
        <f>IFERROR(INDEX(Database!$B$2:$CT$473,MATCH(D117,Database!$A$2:$A$473,0),MATCH($C$5,Database!$B$1:$CT$1,0)),"")</f>
        <v/>
      </c>
      <c r="G117" s="224" t="str">
        <f>IFERROR(INDEX(Database!$B$2:$CT$473,MATCH(D117,Database!$A$2:$A$473,0),MATCH($G$5,Database!$B$1:$CT$1,0)),"")</f>
        <v/>
      </c>
      <c r="H117" s="211"/>
      <c r="I117" s="216"/>
      <c r="J117" s="224" t="str">
        <f>IFERROR(INDEX(Database!$B$2:$CT$473,MATCH(H117,Database!$A$2:$A$473,0),MATCH($C$5,Database!$B$1:$CT$1,0)),"")</f>
        <v/>
      </c>
      <c r="K117" s="224" t="str">
        <f>IFERROR(INDEX(Database!$B$2:$CT$473,MATCH(H117,Database!$A$2:$A$473,0),MATCH($G$5,Database!$B$1:$CT$1,0)),"")</f>
        <v/>
      </c>
      <c r="L117" s="211"/>
      <c r="M117" s="216"/>
      <c r="N117" s="224" t="str">
        <f>IFERROR(INDEX(Database!$B$2:$CT$473,MATCH(L117,Database!$A$2:$A$473,0),MATCH($C$5,Database!$B$1:$CT$1,0)),"")</f>
        <v/>
      </c>
      <c r="O117" s="224" t="str">
        <f>IFERROR(INDEX(Database!$B$2:$CT$473,MATCH(L117,Database!$A$2:$A$473,0),MATCH($G$5,Database!$B$1:$CT$1,0)),"")</f>
        <v/>
      </c>
      <c r="P117" s="225">
        <f t="shared" si="9"/>
        <v>0</v>
      </c>
      <c r="Q117" s="226">
        <f t="shared" si="10"/>
        <v>1.9205598846830154</v>
      </c>
      <c r="R117" s="217">
        <f t="shared" si="11"/>
        <v>1.9205598846830154</v>
      </c>
    </row>
    <row r="118" spans="1:18" ht="22.05" customHeight="1">
      <c r="A118" s="219">
        <v>108</v>
      </c>
      <c r="B118" s="227" t="s">
        <v>709</v>
      </c>
      <c r="C118" s="216">
        <v>0</v>
      </c>
      <c r="D118" s="211" t="s">
        <v>522</v>
      </c>
      <c r="E118" s="216">
        <v>1</v>
      </c>
      <c r="F118" s="224" t="str">
        <f>IFERROR(INDEX(Database!$B$2:$CT$473,MATCH(D118,Database!$A$2:$A$473,0),MATCH($C$5,Database!$B$1:$CT$1,0)),"")</f>
        <v/>
      </c>
      <c r="G118" s="224" t="str">
        <f>IFERROR(INDEX(Database!$B$2:$CT$473,MATCH(D118,Database!$A$2:$A$473,0),MATCH($G$5,Database!$B$1:$CT$1,0)),"")</f>
        <v/>
      </c>
      <c r="H118" s="211"/>
      <c r="I118" s="216"/>
      <c r="J118" s="224" t="str">
        <f>IFERROR(INDEX(Database!$B$2:$CT$473,MATCH(H118,Database!$A$2:$A$473,0),MATCH($C$5,Database!$B$1:$CT$1,0)),"")</f>
        <v/>
      </c>
      <c r="K118" s="224" t="str">
        <f>IFERROR(INDEX(Database!$B$2:$CT$473,MATCH(H118,Database!$A$2:$A$473,0),MATCH($G$5,Database!$B$1:$CT$1,0)),"")</f>
        <v/>
      </c>
      <c r="L118" s="211"/>
      <c r="M118" s="216"/>
      <c r="N118" s="224" t="str">
        <f>IFERROR(INDEX(Database!$B$2:$CT$473,MATCH(L118,Database!$A$2:$A$473,0),MATCH($C$5,Database!$B$1:$CT$1,0)),"")</f>
        <v/>
      </c>
      <c r="O118" s="224" t="str">
        <f>IFERROR(INDEX(Database!$B$2:$CT$473,MATCH(L118,Database!$A$2:$A$473,0),MATCH($G$5,Database!$B$1:$CT$1,0)),"")</f>
        <v/>
      </c>
      <c r="P118" s="225">
        <f t="shared" si="9"/>
        <v>0</v>
      </c>
      <c r="Q118" s="226">
        <f t="shared" si="10"/>
        <v>0</v>
      </c>
      <c r="R118" s="217">
        <f t="shared" si="11"/>
        <v>0</v>
      </c>
    </row>
    <row r="119" spans="1:18" ht="22.05" customHeight="1">
      <c r="A119" s="222">
        <v>109</v>
      </c>
      <c r="B119" s="223" t="s">
        <v>710</v>
      </c>
      <c r="C119" s="216">
        <v>1</v>
      </c>
      <c r="D119" s="211"/>
      <c r="E119" s="216"/>
      <c r="F119" s="224" t="str">
        <f>IFERROR(INDEX(Database!$B$2:$CT$473,MATCH(D119,Database!$A$2:$A$473,0),MATCH($C$5,Database!$B$1:$CT$1,0)),"")</f>
        <v/>
      </c>
      <c r="G119" s="224" t="str">
        <f>IFERROR(INDEX(Database!$B$2:$CT$473,MATCH(D119,Database!$A$2:$A$473,0),MATCH($G$5,Database!$B$1:$CT$1,0)),"")</f>
        <v/>
      </c>
      <c r="H119" s="211"/>
      <c r="I119" s="216"/>
      <c r="J119" s="224" t="str">
        <f>IFERROR(INDEX(Database!$B$2:$CT$473,MATCH(H119,Database!$A$2:$A$473,0),MATCH($C$5,Database!$B$1:$CT$1,0)),"")</f>
        <v/>
      </c>
      <c r="K119" s="224" t="str">
        <f>IFERROR(INDEX(Database!$B$2:$CT$473,MATCH(H119,Database!$A$2:$A$473,0),MATCH($G$5,Database!$B$1:$CT$1,0)),"")</f>
        <v/>
      </c>
      <c r="L119" s="211"/>
      <c r="M119" s="216"/>
      <c r="N119" s="224" t="str">
        <f>IFERROR(INDEX(Database!$B$2:$CT$473,MATCH(L119,Database!$A$2:$A$473,0),MATCH($C$5,Database!$B$1:$CT$1,0)),"")</f>
        <v/>
      </c>
      <c r="O119" s="224" t="str">
        <f>IFERROR(INDEX(Database!$B$2:$CT$473,MATCH(L119,Database!$A$2:$A$473,0),MATCH($G$5,Database!$B$1:$CT$1,0)),"")</f>
        <v/>
      </c>
      <c r="P119" s="225">
        <f t="shared" si="9"/>
        <v>0</v>
      </c>
      <c r="Q119" s="226">
        <f t="shared" si="10"/>
        <v>2.1339554274255725</v>
      </c>
      <c r="R119" s="217">
        <f t="shared" si="11"/>
        <v>2.1339554274255725</v>
      </c>
    </row>
    <row r="120" spans="1:18" ht="22.05" customHeight="1">
      <c r="A120" s="219">
        <v>110</v>
      </c>
      <c r="B120" s="227" t="s">
        <v>711</v>
      </c>
      <c r="C120" s="216">
        <v>1</v>
      </c>
      <c r="D120" s="211"/>
      <c r="E120" s="216"/>
      <c r="F120" s="224" t="str">
        <f>IFERROR(INDEX(Database!$B$2:$CT$473,MATCH(D120,Database!$A$2:$A$473,0),MATCH($C$5,Database!$B$1:$CT$1,0)),"")</f>
        <v/>
      </c>
      <c r="G120" s="224" t="str">
        <f>IFERROR(INDEX(Database!$B$2:$CT$473,MATCH(D120,Database!$A$2:$A$473,0),MATCH($G$5,Database!$B$1:$CT$1,0)),"")</f>
        <v/>
      </c>
      <c r="H120" s="211"/>
      <c r="I120" s="216"/>
      <c r="J120" s="224" t="str">
        <f>IFERROR(INDEX(Database!$B$2:$CT$473,MATCH(H120,Database!$A$2:$A$473,0),MATCH($C$5,Database!$B$1:$CT$1,0)),"")</f>
        <v/>
      </c>
      <c r="K120" s="224" t="str">
        <f>IFERROR(INDEX(Database!$B$2:$CT$473,MATCH(H120,Database!$A$2:$A$473,0),MATCH($G$5,Database!$B$1:$CT$1,0)),"")</f>
        <v/>
      </c>
      <c r="L120" s="211"/>
      <c r="M120" s="216"/>
      <c r="N120" s="224" t="str">
        <f>IFERROR(INDEX(Database!$B$2:$CT$473,MATCH(L120,Database!$A$2:$A$473,0),MATCH($C$5,Database!$B$1:$CT$1,0)),"")</f>
        <v/>
      </c>
      <c r="O120" s="224" t="str">
        <f>IFERROR(INDEX(Database!$B$2:$CT$473,MATCH(L120,Database!$A$2:$A$473,0),MATCH($G$5,Database!$B$1:$CT$1,0)),"")</f>
        <v/>
      </c>
      <c r="P120" s="225">
        <f t="shared" si="9"/>
        <v>0</v>
      </c>
      <c r="Q120" s="226">
        <f t="shared" si="10"/>
        <v>2.1339554274255725</v>
      </c>
      <c r="R120" s="217">
        <f t="shared" si="11"/>
        <v>2.1339554274255725</v>
      </c>
    </row>
    <row r="121" spans="1:18" ht="22.05" customHeight="1">
      <c r="A121" s="222">
        <v>111</v>
      </c>
      <c r="B121" s="223" t="s">
        <v>712</v>
      </c>
      <c r="C121" s="216">
        <v>1</v>
      </c>
      <c r="D121" s="211"/>
      <c r="E121" s="216"/>
      <c r="F121" s="224" t="str">
        <f>IFERROR(INDEX(Database!$B$2:$CT$473,MATCH(D121,Database!$A$2:$A$473,0),MATCH($C$5,Database!$B$1:$CT$1,0)),"")</f>
        <v/>
      </c>
      <c r="G121" s="224" t="str">
        <f>IFERROR(INDEX(Database!$B$2:$CT$473,MATCH(D121,Database!$A$2:$A$473,0),MATCH($G$5,Database!$B$1:$CT$1,0)),"")</f>
        <v/>
      </c>
      <c r="H121" s="211"/>
      <c r="I121" s="216"/>
      <c r="J121" s="224" t="str">
        <f>IFERROR(INDEX(Database!$B$2:$CT$473,MATCH(H121,Database!$A$2:$A$473,0),MATCH($C$5,Database!$B$1:$CT$1,0)),"")</f>
        <v/>
      </c>
      <c r="K121" s="224" t="str">
        <f>IFERROR(INDEX(Database!$B$2:$CT$473,MATCH(H121,Database!$A$2:$A$473,0),MATCH($G$5,Database!$B$1:$CT$1,0)),"")</f>
        <v/>
      </c>
      <c r="L121" s="211"/>
      <c r="M121" s="216"/>
      <c r="N121" s="224" t="str">
        <f>IFERROR(INDEX(Database!$B$2:$CT$473,MATCH(L121,Database!$A$2:$A$473,0),MATCH($C$5,Database!$B$1:$CT$1,0)),"")</f>
        <v/>
      </c>
      <c r="O121" s="224" t="str">
        <f>IFERROR(INDEX(Database!$B$2:$CT$473,MATCH(L121,Database!$A$2:$A$473,0),MATCH($G$5,Database!$B$1:$CT$1,0)),"")</f>
        <v/>
      </c>
      <c r="P121" s="225">
        <f t="shared" si="9"/>
        <v>0</v>
      </c>
      <c r="Q121" s="226">
        <f t="shared" si="10"/>
        <v>2.1339554274255725</v>
      </c>
      <c r="R121" s="217">
        <f t="shared" si="11"/>
        <v>2.1339554274255725</v>
      </c>
    </row>
    <row r="122" spans="1:18" ht="22.05" customHeight="1">
      <c r="A122" s="219">
        <v>112</v>
      </c>
      <c r="B122" s="227" t="s">
        <v>713</v>
      </c>
      <c r="C122" s="216">
        <v>1</v>
      </c>
      <c r="D122" s="211"/>
      <c r="E122" s="216"/>
      <c r="F122" s="224" t="str">
        <f>IFERROR(INDEX(Database!$B$2:$CT$473,MATCH(D122,Database!$A$2:$A$473,0),MATCH($C$5,Database!$B$1:$CT$1,0)),"")</f>
        <v/>
      </c>
      <c r="G122" s="224" t="str">
        <f>IFERROR(INDEX(Database!$B$2:$CT$473,MATCH(D122,Database!$A$2:$A$473,0),MATCH($G$5,Database!$B$1:$CT$1,0)),"")</f>
        <v/>
      </c>
      <c r="H122" s="211"/>
      <c r="I122" s="216"/>
      <c r="J122" s="224" t="str">
        <f>IFERROR(INDEX(Database!$B$2:$CT$473,MATCH(H122,Database!$A$2:$A$473,0),MATCH($C$5,Database!$B$1:$CT$1,0)),"")</f>
        <v/>
      </c>
      <c r="K122" s="224" t="str">
        <f>IFERROR(INDEX(Database!$B$2:$CT$473,MATCH(H122,Database!$A$2:$A$473,0),MATCH($G$5,Database!$B$1:$CT$1,0)),"")</f>
        <v/>
      </c>
      <c r="L122" s="211"/>
      <c r="M122" s="216"/>
      <c r="N122" s="224" t="str">
        <f>IFERROR(INDEX(Database!$B$2:$CT$473,MATCH(L122,Database!$A$2:$A$473,0),MATCH($C$5,Database!$B$1:$CT$1,0)),"")</f>
        <v/>
      </c>
      <c r="O122" s="224" t="str">
        <f>IFERROR(INDEX(Database!$B$2:$CT$473,MATCH(L122,Database!$A$2:$A$473,0),MATCH($G$5,Database!$B$1:$CT$1,0)),"")</f>
        <v/>
      </c>
      <c r="P122" s="225">
        <f t="shared" si="9"/>
        <v>0</v>
      </c>
      <c r="Q122" s="226">
        <f t="shared" si="10"/>
        <v>2.1339554274255725</v>
      </c>
      <c r="R122" s="217">
        <f t="shared" si="11"/>
        <v>2.1339554274255725</v>
      </c>
    </row>
    <row r="123" spans="1:18" ht="22.05" customHeight="1">
      <c r="A123" s="222">
        <v>113</v>
      </c>
      <c r="B123" s="223" t="s">
        <v>714</v>
      </c>
      <c r="C123" s="216">
        <v>0.4</v>
      </c>
      <c r="D123" s="211" t="s">
        <v>528</v>
      </c>
      <c r="E123" s="216">
        <v>0.4</v>
      </c>
      <c r="F123" s="224" t="str">
        <f>IFERROR(INDEX(Database!$B$2:$CT$473,MATCH(D123,Database!$A$2:$A$473,0),MATCH($C$5,Database!$B$1:$CT$1,0)),"")</f>
        <v/>
      </c>
      <c r="G123" s="224" t="str">
        <f>IFERROR(INDEX(Database!$B$2:$CT$473,MATCH(D123,Database!$A$2:$A$473,0),MATCH($G$5,Database!$B$1:$CT$1,0)),"")</f>
        <v/>
      </c>
      <c r="H123" s="211" t="s">
        <v>537</v>
      </c>
      <c r="I123" s="216">
        <v>0.2</v>
      </c>
      <c r="J123" s="224" t="str">
        <f>IFERROR(INDEX(Database!$B$2:$CT$473,MATCH(H123,Database!$A$2:$A$473,0),MATCH($C$5,Database!$B$1:$CT$1,0)),"")</f>
        <v/>
      </c>
      <c r="K123" s="224" t="str">
        <f>IFERROR(INDEX(Database!$B$2:$CT$473,MATCH(H123,Database!$A$2:$A$473,0),MATCH($G$5,Database!$B$1:$CT$1,0)),"")</f>
        <v/>
      </c>
      <c r="L123" s="211"/>
      <c r="M123" s="216"/>
      <c r="N123" s="224" t="str">
        <f>IFERROR(INDEX(Database!$B$2:$CT$473,MATCH(L123,Database!$A$2:$A$473,0),MATCH($C$5,Database!$B$1:$CT$1,0)),"")</f>
        <v/>
      </c>
      <c r="O123" s="224" t="str">
        <f>IFERROR(INDEX(Database!$B$2:$CT$473,MATCH(L123,Database!$A$2:$A$473,0),MATCH($G$5,Database!$B$1:$CT$1,0)),"")</f>
        <v/>
      </c>
      <c r="P123" s="225">
        <f t="shared" si="9"/>
        <v>0</v>
      </c>
      <c r="Q123" s="226">
        <f t="shared" si="10"/>
        <v>0.85358217097022904</v>
      </c>
      <c r="R123" s="217">
        <f t="shared" si="11"/>
        <v>0.85358217097022904</v>
      </c>
    </row>
    <row r="124" spans="1:18" ht="22.05" customHeight="1">
      <c r="A124" s="219">
        <v>114</v>
      </c>
      <c r="B124" s="227" t="s">
        <v>715</v>
      </c>
      <c r="C124" s="216">
        <v>0</v>
      </c>
      <c r="D124" s="211" t="s">
        <v>521</v>
      </c>
      <c r="E124" s="216">
        <v>1</v>
      </c>
      <c r="F124" s="224" t="str">
        <f>IFERROR(INDEX(Database!$B$2:$CT$473,MATCH(D124,Database!$A$2:$A$473,0),MATCH($C$5,Database!$B$1:$CT$1,0)),"")</f>
        <v/>
      </c>
      <c r="G124" s="224" t="str">
        <f>IFERROR(INDEX(Database!$B$2:$CT$473,MATCH(D124,Database!$A$2:$A$473,0),MATCH($G$5,Database!$B$1:$CT$1,0)),"")</f>
        <v/>
      </c>
      <c r="H124" s="211"/>
      <c r="I124" s="216"/>
      <c r="J124" s="224" t="str">
        <f>IFERROR(INDEX(Database!$B$2:$CT$473,MATCH(H124,Database!$A$2:$A$473,0),MATCH($C$5,Database!$B$1:$CT$1,0)),"")</f>
        <v/>
      </c>
      <c r="K124" s="224" t="str">
        <f>IFERROR(INDEX(Database!$B$2:$CT$473,MATCH(H124,Database!$A$2:$A$473,0),MATCH($G$5,Database!$B$1:$CT$1,0)),"")</f>
        <v/>
      </c>
      <c r="L124" s="211"/>
      <c r="M124" s="216"/>
      <c r="N124" s="224" t="str">
        <f>IFERROR(INDEX(Database!$B$2:$CT$473,MATCH(L124,Database!$A$2:$A$473,0),MATCH($C$5,Database!$B$1:$CT$1,0)),"")</f>
        <v/>
      </c>
      <c r="O124" s="224" t="str">
        <f>IFERROR(INDEX(Database!$B$2:$CT$473,MATCH(L124,Database!$A$2:$A$473,0),MATCH($G$5,Database!$B$1:$CT$1,0)),"")</f>
        <v/>
      </c>
      <c r="P124" s="225">
        <f t="shared" si="9"/>
        <v>0</v>
      </c>
      <c r="Q124" s="226">
        <f t="shared" si="10"/>
        <v>0</v>
      </c>
      <c r="R124" s="217">
        <f t="shared" si="11"/>
        <v>0</v>
      </c>
    </row>
    <row r="125" spans="1:18" ht="22.05" customHeight="1">
      <c r="A125" s="222">
        <v>115</v>
      </c>
      <c r="B125" s="223" t="s">
        <v>716</v>
      </c>
      <c r="C125" s="216">
        <v>1</v>
      </c>
      <c r="D125" s="211"/>
      <c r="E125" s="216"/>
      <c r="F125" s="224" t="str">
        <f>IFERROR(INDEX(Database!$B$2:$CT$473,MATCH(D125,Database!$A$2:$A$473,0),MATCH($C$5,Database!$B$1:$CT$1,0)),"")</f>
        <v/>
      </c>
      <c r="G125" s="224" t="str">
        <f>IFERROR(INDEX(Database!$B$2:$CT$473,MATCH(D125,Database!$A$2:$A$473,0),MATCH($G$5,Database!$B$1:$CT$1,0)),"")</f>
        <v/>
      </c>
      <c r="H125" s="211"/>
      <c r="I125" s="216"/>
      <c r="J125" s="224" t="str">
        <f>IFERROR(INDEX(Database!$B$2:$CT$473,MATCH(H125,Database!$A$2:$A$473,0),MATCH($C$5,Database!$B$1:$CT$1,0)),"")</f>
        <v/>
      </c>
      <c r="K125" s="224" t="str">
        <f>IFERROR(INDEX(Database!$B$2:$CT$473,MATCH(H125,Database!$A$2:$A$473,0),MATCH($G$5,Database!$B$1:$CT$1,0)),"")</f>
        <v/>
      </c>
      <c r="L125" s="211"/>
      <c r="M125" s="216"/>
      <c r="N125" s="224" t="str">
        <f>IFERROR(INDEX(Database!$B$2:$CT$473,MATCH(L125,Database!$A$2:$A$473,0),MATCH($C$5,Database!$B$1:$CT$1,0)),"")</f>
        <v/>
      </c>
      <c r="O125" s="224" t="str">
        <f>IFERROR(INDEX(Database!$B$2:$CT$473,MATCH(L125,Database!$A$2:$A$473,0),MATCH($G$5,Database!$B$1:$CT$1,0)),"")</f>
        <v/>
      </c>
      <c r="P125" s="225">
        <f t="shared" si="9"/>
        <v>0</v>
      </c>
      <c r="Q125" s="226">
        <f t="shared" si="10"/>
        <v>2.1339554274255725</v>
      </c>
      <c r="R125" s="217">
        <f t="shared" si="11"/>
        <v>2.1339554274255725</v>
      </c>
    </row>
    <row r="126" spans="1:18" ht="22.05" customHeight="1">
      <c r="A126" s="219">
        <v>116</v>
      </c>
      <c r="B126" s="227" t="s">
        <v>717</v>
      </c>
      <c r="C126" s="216">
        <v>1</v>
      </c>
      <c r="D126" s="211"/>
      <c r="E126" s="216"/>
      <c r="F126" s="224" t="str">
        <f>IFERROR(INDEX(Database!$B$2:$CT$473,MATCH(D126,Database!$A$2:$A$473,0),MATCH($C$5,Database!$B$1:$CT$1,0)),"")</f>
        <v/>
      </c>
      <c r="G126" s="224" t="str">
        <f>IFERROR(INDEX(Database!$B$2:$CT$473,MATCH(D126,Database!$A$2:$A$473,0),MATCH($G$5,Database!$B$1:$CT$1,0)),"")</f>
        <v/>
      </c>
      <c r="H126" s="211"/>
      <c r="I126" s="216"/>
      <c r="J126" s="224" t="str">
        <f>IFERROR(INDEX(Database!$B$2:$CT$473,MATCH(H126,Database!$A$2:$A$473,0),MATCH($C$5,Database!$B$1:$CT$1,0)),"")</f>
        <v/>
      </c>
      <c r="K126" s="224" t="str">
        <f>IFERROR(INDEX(Database!$B$2:$CT$473,MATCH(H126,Database!$A$2:$A$473,0),MATCH($G$5,Database!$B$1:$CT$1,0)),"")</f>
        <v/>
      </c>
      <c r="L126" s="211"/>
      <c r="M126" s="216"/>
      <c r="N126" s="224" t="str">
        <f>IFERROR(INDEX(Database!$B$2:$CT$473,MATCH(L126,Database!$A$2:$A$473,0),MATCH($C$5,Database!$B$1:$CT$1,0)),"")</f>
        <v/>
      </c>
      <c r="O126" s="224" t="str">
        <f>IFERROR(INDEX(Database!$B$2:$CT$473,MATCH(L126,Database!$A$2:$A$473,0),MATCH($G$5,Database!$B$1:$CT$1,0)),"")</f>
        <v/>
      </c>
      <c r="P126" s="225">
        <f t="shared" si="9"/>
        <v>0</v>
      </c>
      <c r="Q126" s="226">
        <f t="shared" si="10"/>
        <v>2.1339554274255725</v>
      </c>
      <c r="R126" s="217">
        <f t="shared" si="11"/>
        <v>2.1339554274255725</v>
      </c>
    </row>
    <row r="127" spans="1:18" ht="22.05" customHeight="1">
      <c r="A127" s="222">
        <v>117</v>
      </c>
      <c r="B127" s="223" t="s">
        <v>838</v>
      </c>
      <c r="C127" s="216">
        <v>0</v>
      </c>
      <c r="D127" s="211" t="s">
        <v>126</v>
      </c>
      <c r="E127" s="216">
        <v>1</v>
      </c>
      <c r="F127" s="224" t="str">
        <f>IFERROR(INDEX(Database!$B$2:$CT$473,MATCH(D127,Database!$A$2:$A$473,0),MATCH($C$5,Database!$B$1:$CT$1,0)),"")</f>
        <v/>
      </c>
      <c r="G127" s="224" t="str">
        <f>IFERROR(INDEX(Database!$B$2:$CT$473,MATCH(D127,Database!$A$2:$A$473,0),MATCH($G$5,Database!$B$1:$CT$1,0)),"")</f>
        <v/>
      </c>
      <c r="H127" s="211"/>
      <c r="I127" s="216"/>
      <c r="J127" s="224" t="str">
        <f>IFERROR(INDEX(Database!$B$2:$CT$473,MATCH(H127,Database!$A$2:$A$473,0),MATCH($C$5,Database!$B$1:$CT$1,0)),"")</f>
        <v/>
      </c>
      <c r="K127" s="224" t="str">
        <f>IFERROR(INDEX(Database!$B$2:$CT$473,MATCH(H127,Database!$A$2:$A$473,0),MATCH($G$5,Database!$B$1:$CT$1,0)),"")</f>
        <v/>
      </c>
      <c r="L127" s="211"/>
      <c r="M127" s="216"/>
      <c r="N127" s="224" t="str">
        <f>IFERROR(INDEX(Database!$B$2:$CT$473,MATCH(L127,Database!$A$2:$A$473,0),MATCH($C$5,Database!$B$1:$CT$1,0)),"")</f>
        <v/>
      </c>
      <c r="O127" s="224" t="str">
        <f>IFERROR(INDEX(Database!$B$2:$CT$473,MATCH(L127,Database!$A$2:$A$473,0),MATCH($G$5,Database!$B$1:$CT$1,0)),"")</f>
        <v/>
      </c>
      <c r="P127" s="225">
        <f t="shared" si="9"/>
        <v>0</v>
      </c>
      <c r="Q127" s="226">
        <f t="shared" si="10"/>
        <v>0</v>
      </c>
      <c r="R127" s="217">
        <f t="shared" si="11"/>
        <v>0</v>
      </c>
    </row>
    <row r="128" spans="1:18" ht="22.05" customHeight="1">
      <c r="A128" s="219">
        <v>118</v>
      </c>
      <c r="B128" s="227" t="s">
        <v>719</v>
      </c>
      <c r="C128" s="216">
        <v>0</v>
      </c>
      <c r="D128" s="211" t="s">
        <v>538</v>
      </c>
      <c r="E128" s="216">
        <v>1</v>
      </c>
      <c r="F128" s="224" t="str">
        <f>IFERROR(INDEX(Database!$B$2:$CT$473,MATCH(D128,Database!$A$2:$A$473,0),MATCH($C$5,Database!$B$1:$CT$1,0)),"")</f>
        <v/>
      </c>
      <c r="G128" s="224" t="str">
        <f>IFERROR(INDEX(Database!$B$2:$CT$473,MATCH(D128,Database!$A$2:$A$473,0),MATCH($G$5,Database!$B$1:$CT$1,0)),"")</f>
        <v/>
      </c>
      <c r="H128" s="211"/>
      <c r="I128" s="216"/>
      <c r="J128" s="224" t="str">
        <f>IFERROR(INDEX(Database!$B$2:$CT$473,MATCH(H128,Database!$A$2:$A$473,0),MATCH($C$5,Database!$B$1:$CT$1,0)),"")</f>
        <v/>
      </c>
      <c r="K128" s="224" t="str">
        <f>IFERROR(INDEX(Database!$B$2:$CT$473,MATCH(H128,Database!$A$2:$A$473,0),MATCH($G$5,Database!$B$1:$CT$1,0)),"")</f>
        <v/>
      </c>
      <c r="L128" s="211"/>
      <c r="M128" s="216"/>
      <c r="N128" s="224" t="str">
        <f>IFERROR(INDEX(Database!$B$2:$CT$473,MATCH(L128,Database!$A$2:$A$473,0),MATCH($C$5,Database!$B$1:$CT$1,0)),"")</f>
        <v/>
      </c>
      <c r="O128" s="224" t="str">
        <f>IFERROR(INDEX(Database!$B$2:$CT$473,MATCH(L128,Database!$A$2:$A$473,0),MATCH($G$5,Database!$B$1:$CT$1,0)),"")</f>
        <v/>
      </c>
      <c r="P128" s="225">
        <f t="shared" si="9"/>
        <v>0</v>
      </c>
      <c r="Q128" s="226">
        <f t="shared" si="10"/>
        <v>0</v>
      </c>
      <c r="R128" s="217">
        <f t="shared" si="11"/>
        <v>0</v>
      </c>
    </row>
    <row r="129" spans="1:18" ht="22.05" customHeight="1">
      <c r="A129" s="222">
        <v>119</v>
      </c>
      <c r="B129" s="223" t="s">
        <v>720</v>
      </c>
      <c r="C129" s="216">
        <v>0</v>
      </c>
      <c r="D129" s="211" t="s">
        <v>538</v>
      </c>
      <c r="E129" s="216">
        <v>1</v>
      </c>
      <c r="F129" s="224" t="str">
        <f>IFERROR(INDEX(Database!$B$2:$CT$473,MATCH(D129,Database!$A$2:$A$473,0),MATCH($C$5,Database!$B$1:$CT$1,0)),"")</f>
        <v/>
      </c>
      <c r="G129" s="224" t="str">
        <f>IFERROR(INDEX(Database!$B$2:$CT$473,MATCH(D129,Database!$A$2:$A$473,0),MATCH($G$5,Database!$B$1:$CT$1,0)),"")</f>
        <v/>
      </c>
      <c r="H129" s="211"/>
      <c r="I129" s="216"/>
      <c r="J129" s="224" t="str">
        <f>IFERROR(INDEX(Database!$B$2:$CT$473,MATCH(H129,Database!$A$2:$A$473,0),MATCH($C$5,Database!$B$1:$CT$1,0)),"")</f>
        <v/>
      </c>
      <c r="K129" s="224" t="str">
        <f>IFERROR(INDEX(Database!$B$2:$CT$473,MATCH(H129,Database!$A$2:$A$473,0),MATCH($G$5,Database!$B$1:$CT$1,0)),"")</f>
        <v/>
      </c>
      <c r="L129" s="211"/>
      <c r="M129" s="216"/>
      <c r="N129" s="224" t="str">
        <f>IFERROR(INDEX(Database!$B$2:$CT$473,MATCH(L129,Database!$A$2:$A$473,0),MATCH($C$5,Database!$B$1:$CT$1,0)),"")</f>
        <v/>
      </c>
      <c r="O129" s="224" t="str">
        <f>IFERROR(INDEX(Database!$B$2:$CT$473,MATCH(L129,Database!$A$2:$A$473,0),MATCH($G$5,Database!$B$1:$CT$1,0)),"")</f>
        <v/>
      </c>
      <c r="P129" s="225">
        <f t="shared" si="9"/>
        <v>0</v>
      </c>
      <c r="Q129" s="226">
        <f t="shared" si="10"/>
        <v>0</v>
      </c>
      <c r="R129" s="217">
        <f t="shared" si="11"/>
        <v>0</v>
      </c>
    </row>
    <row r="130" spans="1:18" ht="22.05" customHeight="1">
      <c r="A130" s="219">
        <v>120</v>
      </c>
      <c r="B130" s="227" t="s">
        <v>721</v>
      </c>
      <c r="C130" s="216">
        <v>0</v>
      </c>
      <c r="D130" s="211" t="s">
        <v>538</v>
      </c>
      <c r="E130" s="216">
        <v>1</v>
      </c>
      <c r="F130" s="224" t="str">
        <f>IFERROR(INDEX(Database!$B$2:$CT$473,MATCH(D130,Database!$A$2:$A$473,0),MATCH($C$5,Database!$B$1:$CT$1,0)),"")</f>
        <v/>
      </c>
      <c r="G130" s="224" t="str">
        <f>IFERROR(INDEX(Database!$B$2:$CT$473,MATCH(D130,Database!$A$2:$A$473,0),MATCH($G$5,Database!$B$1:$CT$1,0)),"")</f>
        <v/>
      </c>
      <c r="H130" s="211"/>
      <c r="I130" s="216"/>
      <c r="J130" s="224" t="str">
        <f>IFERROR(INDEX(Database!$B$2:$CT$473,MATCH(H130,Database!$A$2:$A$473,0),MATCH($C$5,Database!$B$1:$CT$1,0)),"")</f>
        <v/>
      </c>
      <c r="K130" s="224" t="str">
        <f>IFERROR(INDEX(Database!$B$2:$CT$473,MATCH(H130,Database!$A$2:$A$473,0),MATCH($G$5,Database!$B$1:$CT$1,0)),"")</f>
        <v/>
      </c>
      <c r="L130" s="211"/>
      <c r="M130" s="216"/>
      <c r="N130" s="224" t="str">
        <f>IFERROR(INDEX(Database!$B$2:$CT$473,MATCH(L130,Database!$A$2:$A$473,0),MATCH($C$5,Database!$B$1:$CT$1,0)),"")</f>
        <v/>
      </c>
      <c r="O130" s="224" t="str">
        <f>IFERROR(INDEX(Database!$B$2:$CT$473,MATCH(L130,Database!$A$2:$A$473,0),MATCH($G$5,Database!$B$1:$CT$1,0)),"")</f>
        <v/>
      </c>
      <c r="P130" s="225">
        <f t="shared" si="9"/>
        <v>0</v>
      </c>
      <c r="Q130" s="226">
        <f t="shared" si="10"/>
        <v>0</v>
      </c>
      <c r="R130" s="217">
        <f t="shared" si="11"/>
        <v>0</v>
      </c>
    </row>
    <row r="131" spans="1:18" ht="22.05" customHeight="1">
      <c r="A131" s="222">
        <v>121</v>
      </c>
      <c r="B131" s="223" t="s">
        <v>722</v>
      </c>
      <c r="C131" s="216">
        <v>0</v>
      </c>
      <c r="D131" s="211" t="s">
        <v>123</v>
      </c>
      <c r="E131" s="216">
        <v>1</v>
      </c>
      <c r="F131" s="224" t="str">
        <f>IFERROR(INDEX(Database!$B$2:$CT$473,MATCH(D131,Database!$A$2:$A$473,0),MATCH($C$5,Database!$B$1:$CT$1,0)),"")</f>
        <v/>
      </c>
      <c r="G131" s="224" t="str">
        <f>IFERROR(INDEX(Database!$B$2:$CT$473,MATCH(D131,Database!$A$2:$A$473,0),MATCH($G$5,Database!$B$1:$CT$1,0)),"")</f>
        <v/>
      </c>
      <c r="H131" s="211"/>
      <c r="I131" s="216"/>
      <c r="J131" s="224" t="str">
        <f>IFERROR(INDEX(Database!$B$2:$CT$473,MATCH(H131,Database!$A$2:$A$473,0),MATCH($C$5,Database!$B$1:$CT$1,0)),"")</f>
        <v/>
      </c>
      <c r="K131" s="224" t="str">
        <f>IFERROR(INDEX(Database!$B$2:$CT$473,MATCH(H131,Database!$A$2:$A$473,0),MATCH($G$5,Database!$B$1:$CT$1,0)),"")</f>
        <v/>
      </c>
      <c r="L131" s="211"/>
      <c r="M131" s="216"/>
      <c r="N131" s="224" t="str">
        <f>IFERROR(INDEX(Database!$B$2:$CT$473,MATCH(L131,Database!$A$2:$A$473,0),MATCH($C$5,Database!$B$1:$CT$1,0)),"")</f>
        <v/>
      </c>
      <c r="O131" s="224" t="str">
        <f>IFERROR(INDEX(Database!$B$2:$CT$473,MATCH(L131,Database!$A$2:$A$473,0),MATCH($G$5,Database!$B$1:$CT$1,0)),"")</f>
        <v/>
      </c>
      <c r="P131" s="225">
        <f t="shared" si="9"/>
        <v>0</v>
      </c>
      <c r="Q131" s="226">
        <f t="shared" si="10"/>
        <v>0</v>
      </c>
      <c r="R131" s="217">
        <f t="shared" si="11"/>
        <v>0</v>
      </c>
    </row>
    <row r="132" spans="1:18" ht="22.05" customHeight="1">
      <c r="A132" s="219">
        <v>122</v>
      </c>
      <c r="B132" s="227" t="s">
        <v>723</v>
      </c>
      <c r="C132" s="216">
        <v>0.5</v>
      </c>
      <c r="D132" s="211" t="s">
        <v>123</v>
      </c>
      <c r="E132" s="216">
        <v>0.5</v>
      </c>
      <c r="F132" s="224" t="str">
        <f>IFERROR(INDEX(Database!$B$2:$CT$473,MATCH(D132,Database!$A$2:$A$473,0),MATCH($C$5,Database!$B$1:$CT$1,0)),"")</f>
        <v/>
      </c>
      <c r="G132" s="224" t="str">
        <f>IFERROR(INDEX(Database!$B$2:$CT$473,MATCH(D132,Database!$A$2:$A$473,0),MATCH($G$5,Database!$B$1:$CT$1,0)),"")</f>
        <v/>
      </c>
      <c r="H132" s="211"/>
      <c r="I132" s="216"/>
      <c r="J132" s="224" t="str">
        <f>IFERROR(INDEX(Database!$B$2:$CT$473,MATCH(H132,Database!$A$2:$A$473,0),MATCH($C$5,Database!$B$1:$CT$1,0)),"")</f>
        <v/>
      </c>
      <c r="K132" s="224" t="str">
        <f>IFERROR(INDEX(Database!$B$2:$CT$473,MATCH(H132,Database!$A$2:$A$473,0),MATCH($G$5,Database!$B$1:$CT$1,0)),"")</f>
        <v/>
      </c>
      <c r="L132" s="211"/>
      <c r="M132" s="216"/>
      <c r="N132" s="224" t="str">
        <f>IFERROR(INDEX(Database!$B$2:$CT$473,MATCH(L132,Database!$A$2:$A$473,0),MATCH($C$5,Database!$B$1:$CT$1,0)),"")</f>
        <v/>
      </c>
      <c r="O132" s="224" t="str">
        <f>IFERROR(INDEX(Database!$B$2:$CT$473,MATCH(L132,Database!$A$2:$A$473,0),MATCH($G$5,Database!$B$1:$CT$1,0)),"")</f>
        <v/>
      </c>
      <c r="P132" s="225">
        <f t="shared" si="9"/>
        <v>0</v>
      </c>
      <c r="Q132" s="226">
        <f t="shared" si="10"/>
        <v>1.0669777137127863</v>
      </c>
      <c r="R132" s="217">
        <f t="shared" si="11"/>
        <v>1.0669777137127863</v>
      </c>
    </row>
    <row r="133" spans="1:18" ht="22.05" customHeight="1">
      <c r="A133" s="222">
        <v>123</v>
      </c>
      <c r="B133" s="223" t="s">
        <v>724</v>
      </c>
      <c r="C133" s="216">
        <v>0</v>
      </c>
      <c r="D133" s="211" t="s">
        <v>441</v>
      </c>
      <c r="E133" s="216">
        <v>1</v>
      </c>
      <c r="F133" s="224" t="str">
        <f>IFERROR(INDEX(Database!$B$2:$CT$473,MATCH(D133,Database!$A$2:$A$473,0),MATCH($C$5,Database!$B$1:$CT$1,0)),"")</f>
        <v/>
      </c>
      <c r="G133" s="224" t="str">
        <f>IFERROR(INDEX(Database!$B$2:$CT$473,MATCH(D133,Database!$A$2:$A$473,0),MATCH($G$5,Database!$B$1:$CT$1,0)),"")</f>
        <v/>
      </c>
      <c r="H133" s="211"/>
      <c r="I133" s="216"/>
      <c r="J133" s="224" t="str">
        <f>IFERROR(INDEX(Database!$B$2:$CT$473,MATCH(H133,Database!$A$2:$A$473,0),MATCH($C$5,Database!$B$1:$CT$1,0)),"")</f>
        <v/>
      </c>
      <c r="K133" s="224" t="str">
        <f>IFERROR(INDEX(Database!$B$2:$CT$473,MATCH(H133,Database!$A$2:$A$473,0),MATCH($G$5,Database!$B$1:$CT$1,0)),"")</f>
        <v/>
      </c>
      <c r="L133" s="211"/>
      <c r="M133" s="216"/>
      <c r="N133" s="224" t="str">
        <f>IFERROR(INDEX(Database!$B$2:$CT$473,MATCH(L133,Database!$A$2:$A$473,0),MATCH($C$5,Database!$B$1:$CT$1,0)),"")</f>
        <v/>
      </c>
      <c r="O133" s="224" t="str">
        <f>IFERROR(INDEX(Database!$B$2:$CT$473,MATCH(L133,Database!$A$2:$A$473,0),MATCH($G$5,Database!$B$1:$CT$1,0)),"")</f>
        <v/>
      </c>
      <c r="P133" s="225">
        <f t="shared" si="9"/>
        <v>0</v>
      </c>
      <c r="Q133" s="226">
        <f t="shared" si="10"/>
        <v>0</v>
      </c>
      <c r="R133" s="217">
        <f t="shared" si="11"/>
        <v>0</v>
      </c>
    </row>
    <row r="135" spans="1:18">
      <c r="A135" s="314" t="s">
        <v>3090</v>
      </c>
      <c r="B135" s="314"/>
      <c r="C135" s="314"/>
      <c r="D135" s="314"/>
      <c r="E135" s="314"/>
      <c r="F135" s="314"/>
      <c r="G135" s="314"/>
      <c r="H135" s="314"/>
      <c r="I135" s="314"/>
      <c r="J135" s="314"/>
      <c r="K135" s="314"/>
      <c r="L135" s="314"/>
      <c r="M135" s="314"/>
      <c r="N135" s="314"/>
      <c r="O135" s="314"/>
      <c r="P135" s="314"/>
      <c r="Q135" s="314"/>
      <c r="R135" s="314"/>
    </row>
  </sheetData>
  <mergeCells count="22">
    <mergeCell ref="A1:R1"/>
    <mergeCell ref="A9:B9"/>
    <mergeCell ref="H6:J6"/>
    <mergeCell ref="A135:R135"/>
    <mergeCell ref="E6:F6"/>
    <mergeCell ref="H9:K9"/>
    <mergeCell ref="H5:J5"/>
    <mergeCell ref="A5:B5"/>
    <mergeCell ref="M5:O5"/>
    <mergeCell ref="P9:R9"/>
    <mergeCell ref="A6:B6"/>
    <mergeCell ref="H7:J7"/>
    <mergeCell ref="A7:B7"/>
    <mergeCell ref="A2:R2"/>
    <mergeCell ref="A4:F4"/>
    <mergeCell ref="G4:L4"/>
    <mergeCell ref="M4:R4"/>
    <mergeCell ref="D9:G9"/>
    <mergeCell ref="L9:O9"/>
    <mergeCell ref="E5:F5"/>
    <mergeCell ref="M7:O7"/>
    <mergeCell ref="M6:O6"/>
  </mergeCells>
  <pageMargins left="0.75" right="0.75" top="1" bottom="1" header="0.5" footer="0.5"/>
  <extLst>
    <ext xmlns:x14="http://schemas.microsoft.com/office/spreadsheetml/2009/9/main" uri="{CCE6A557-97BC-4b89-ADB6-D9C93CAAB3DF}">
      <x14:dataValidations xmlns:xm="http://schemas.microsoft.com/office/excel/2006/main" count="2">
        <x14:dataValidation type="list" promptTitle="دوره" prompt="یک دوره انتخاب کنید" xr:uid="{00000000-0002-0000-1B00-000000000000}">
          <x14:formula1>
            <xm:f>'فهرست مراجع'!$A$2:$A$98</xm:f>
          </x14:formula1>
          <xm:sqref>C5 G5</xm:sqref>
        </x14:dataValidation>
        <x14:dataValidation type="list" allowBlank="1" promptTitle="فصل" prompt="فصل شاخص انتخاب کنید" xr:uid="{00000000-0002-0000-1B00-000001000000}">
          <x14:formula1>
            <xm:f>'فهرست مراجع'!$B$2:$B$473</xm:f>
          </x14:formula1>
          <xm:sqref>D11 D12 D13 D14 D15 D16 D17 D18 D19 D20 D21 D22 D23 D24 D25 D26 D27 D28 D29 D30 D31 D32 D33 D34 D35 D36 D37 D38 D39 D40 D41 D42 D43 D44 D45 D46 D47 D48 D49 D50 D51 D52 D53 D54 D55 D56 D57 D58 D59 D60 D61 D62 D63 D64 D65 D66 D67 D68 D69 D70 D71 D72 D73 D74 D75 D76 D77 D78 D79 D80 D81 D82 D83 D84 D85 D86 D87 D88 D89 D90 D91 D92 D93 D94 D95 D96 D97 D98 D99 D100 D101 D102 D103 D104 D105 D106 D107 D108 D109 D110 D111 D112 D113 D114 D115 D116 D117 D118 D119 D120 D121 D122 D123 D124 D125 D126 D127 D128 D129 D130 D131 D132 D133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H96 H97 H98 H99 H100 H101 H102 H103 H104 H105 H106 H107 H108 H109 H110 H111 H112 H113 H114 H115 H116 H117 H118 H119 H120 H121 H122 H123 H124 H125 H126 H127 H128 H129 H130 H131 H132 H133 L11 L12 L13 L14 L15 L16 L17 L18 L19 L20 L21 L22 L23 L24 L25 L26 L27 L28 L29 L30 L31 L32 L33 L34 L35 L36 L37 L38 L39 L40 L41 L42 L43 L44 L45 L46 L47 L48 L49 L50 L51 L52 L53 L54 L55 L56 L57 L58 L59 L60 L61 L62 L63 L64 L65 L66 L67 L68 L69 L70 L71 L72 L73 L74 L75 L76 L77 L78 L79 L80 L81 L82 L83 L84 L85 L86 L87 L88 L89 L90 L91 L92 L93 L94 L95 L96 L97 L98 L99 L100 L101 L102 L103 L104 L105 L106 L107 L108 L109 L110 L111 L112 L113 L114 L115 L116 L117 L118 L119 L120 L121 L122 L123 L124 L125 L126 L127 L128 L129 L130 L131 L132 L133</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P189"/>
  <sheetViews>
    <sheetView rightToLeft="1" workbookViewId="0">
      <pane xSplit="2" ySplit="5" topLeftCell="C34" activePane="bottomRight" state="frozen"/>
      <selection pane="topRight"/>
      <selection pane="bottomLeft"/>
      <selection pane="bottomRight" sqref="A1:P1"/>
    </sheetView>
  </sheetViews>
  <sheetFormatPr defaultRowHeight="13.5"/>
  <cols>
    <col min="1" max="1" width="6" customWidth="1"/>
    <col min="2" max="2" width="16" customWidth="1"/>
    <col min="3" max="3" width="20" customWidth="1"/>
    <col min="4" max="4" width="14" customWidth="1"/>
    <col min="5" max="5" width="6" customWidth="1"/>
    <col min="6" max="6" width="16" customWidth="1"/>
    <col min="7" max="7" width="18" customWidth="1"/>
    <col min="8" max="10" width="10" customWidth="1"/>
    <col min="11" max="15" width="14" customWidth="1"/>
    <col min="16" max="16" width="16" customWidth="1"/>
  </cols>
  <sheetData>
    <row r="1" spans="1:16" ht="48" customHeight="1">
      <c r="A1" s="316" t="s">
        <v>3091</v>
      </c>
      <c r="B1" s="316"/>
      <c r="C1" s="316"/>
      <c r="D1" s="316"/>
      <c r="E1" s="316"/>
      <c r="F1" s="316"/>
      <c r="G1" s="316"/>
      <c r="H1" s="316"/>
      <c r="I1" s="316"/>
      <c r="J1" s="316"/>
      <c r="K1" s="316"/>
      <c r="L1" s="316"/>
      <c r="M1" s="316"/>
      <c r="N1" s="316"/>
      <c r="O1" s="316"/>
      <c r="P1" s="316"/>
    </row>
    <row r="2" spans="1:16" ht="24" customHeight="1">
      <c r="A2" s="322" t="s">
        <v>3092</v>
      </c>
      <c r="B2" s="322"/>
      <c r="C2" s="322"/>
      <c r="D2" s="322"/>
      <c r="E2" s="322"/>
      <c r="F2" s="322"/>
      <c r="G2" s="322"/>
      <c r="H2" s="322"/>
      <c r="I2" s="322"/>
      <c r="J2" s="322"/>
      <c r="K2" s="322"/>
      <c r="L2" s="322"/>
      <c r="M2" s="322"/>
      <c r="N2" s="322"/>
      <c r="O2" s="322"/>
      <c r="P2" s="322"/>
    </row>
    <row r="4" spans="1:16" ht="32" customHeight="1">
      <c r="A4" s="313" t="s">
        <v>3093</v>
      </c>
      <c r="B4" s="313"/>
      <c r="C4" s="313"/>
      <c r="D4" s="313"/>
      <c r="E4" s="313"/>
      <c r="F4" s="313"/>
      <c r="G4" s="313"/>
      <c r="H4" s="313"/>
      <c r="I4" s="313"/>
      <c r="J4" s="313"/>
      <c r="K4" s="313"/>
      <c r="L4" s="313"/>
      <c r="M4" s="313"/>
      <c r="N4" s="313"/>
      <c r="O4" s="313"/>
      <c r="P4" s="313"/>
    </row>
    <row r="5" spans="1:16" ht="30" customHeight="1">
      <c r="A5" s="221" t="s">
        <v>2920</v>
      </c>
      <c r="B5" s="221" t="s">
        <v>3094</v>
      </c>
      <c r="C5" s="221" t="s">
        <v>3095</v>
      </c>
      <c r="D5" s="221" t="s">
        <v>3096</v>
      </c>
      <c r="E5" s="221" t="s">
        <v>2977</v>
      </c>
      <c r="F5" s="221" t="s">
        <v>2978</v>
      </c>
      <c r="G5" s="221" t="s">
        <v>2979</v>
      </c>
      <c r="H5" s="221" t="s">
        <v>2980</v>
      </c>
      <c r="I5" s="221" t="s">
        <v>2981</v>
      </c>
      <c r="J5" s="221" t="s">
        <v>2926</v>
      </c>
      <c r="K5" s="221" t="s">
        <v>3097</v>
      </c>
      <c r="L5" s="221" t="s">
        <v>3098</v>
      </c>
      <c r="M5" s="221" t="s">
        <v>3099</v>
      </c>
      <c r="N5" s="221" t="s">
        <v>3100</v>
      </c>
      <c r="O5" s="221" t="s">
        <v>3101</v>
      </c>
      <c r="P5" s="221" t="s">
        <v>3102</v>
      </c>
    </row>
    <row r="6" spans="1:16" ht="24" customHeight="1">
      <c r="A6" s="222">
        <v>1</v>
      </c>
      <c r="B6" s="228" t="s">
        <v>516</v>
      </c>
      <c r="C6" s="229" t="s">
        <v>2983</v>
      </c>
      <c r="D6" s="222" t="s">
        <v>3103</v>
      </c>
      <c r="E6" s="222">
        <v>17</v>
      </c>
      <c r="F6" s="230">
        <v>-11.877682908487509</v>
      </c>
      <c r="G6" s="217">
        <v>1.5731037671757879</v>
      </c>
      <c r="H6" s="230">
        <v>0.1436834842438256</v>
      </c>
      <c r="I6" s="231">
        <v>10.94839657776039</v>
      </c>
      <c r="J6" s="225">
        <v>0.88877963557922757</v>
      </c>
      <c r="K6" s="232" t="s">
        <v>3104</v>
      </c>
      <c r="L6" s="233">
        <v>0.19478916706509081</v>
      </c>
      <c r="M6" s="234">
        <v>6.9257561872337448E-2</v>
      </c>
      <c r="N6" s="233">
        <v>-9.9718314931116936E-2</v>
      </c>
      <c r="O6" s="222" t="s">
        <v>3067</v>
      </c>
      <c r="P6" s="228" t="s">
        <v>3105</v>
      </c>
    </row>
    <row r="7" spans="1:16" ht="24" customHeight="1">
      <c r="A7" s="219">
        <v>2</v>
      </c>
      <c r="B7" s="213" t="s">
        <v>140</v>
      </c>
      <c r="C7" s="229" t="s">
        <v>3106</v>
      </c>
      <c r="D7" s="219" t="s">
        <v>3007</v>
      </c>
      <c r="E7" s="219">
        <v>17</v>
      </c>
      <c r="F7" s="235">
        <v>-10.730311242335871</v>
      </c>
      <c r="G7" s="217">
        <v>1.5066714410602191</v>
      </c>
      <c r="H7" s="235">
        <v>0.19664287853302739</v>
      </c>
      <c r="I7" s="231">
        <v>7.6619679914173142</v>
      </c>
      <c r="J7" s="236">
        <v>0.79648807199690785</v>
      </c>
      <c r="K7" s="232" t="s">
        <v>3104</v>
      </c>
      <c r="L7" s="233">
        <v>0.1538876696180953</v>
      </c>
      <c r="M7" s="233">
        <v>8.5658450640188732E-2</v>
      </c>
      <c r="N7" s="233">
        <v>-5.8489162190372923E-2</v>
      </c>
      <c r="O7" s="219" t="s">
        <v>3067</v>
      </c>
      <c r="P7" s="237" t="s">
        <v>3107</v>
      </c>
    </row>
    <row r="8" spans="1:16" ht="24" customHeight="1">
      <c r="A8" s="222">
        <v>3</v>
      </c>
      <c r="B8" s="228" t="s">
        <v>533</v>
      </c>
      <c r="C8" s="229" t="s">
        <v>2988</v>
      </c>
      <c r="D8" s="222" t="s">
        <v>3103</v>
      </c>
      <c r="E8" s="222">
        <v>17</v>
      </c>
      <c r="F8" s="230">
        <v>-10.004356610487321</v>
      </c>
      <c r="G8" s="217">
        <v>1.448251058525224</v>
      </c>
      <c r="H8" s="230">
        <v>0.1872385897254519</v>
      </c>
      <c r="I8" s="231">
        <v>7.7347893970404069</v>
      </c>
      <c r="J8" s="236">
        <v>0.7995375117010135</v>
      </c>
      <c r="K8" s="232" t="s">
        <v>3104</v>
      </c>
      <c r="L8" s="234">
        <v>7.0106751551119117E-2</v>
      </c>
      <c r="M8" s="233">
        <v>-4.0198920844831683E-2</v>
      </c>
      <c r="N8" s="233">
        <v>-8.1362925152484777E-2</v>
      </c>
      <c r="O8" s="222" t="s">
        <v>3067</v>
      </c>
      <c r="P8" s="228" t="s">
        <v>3105</v>
      </c>
    </row>
    <row r="9" spans="1:16" ht="24" customHeight="1">
      <c r="A9" s="219">
        <v>4</v>
      </c>
      <c r="B9" s="213" t="s">
        <v>138</v>
      </c>
      <c r="C9" s="229" t="s">
        <v>3108</v>
      </c>
      <c r="D9" s="219" t="s">
        <v>3007</v>
      </c>
      <c r="E9" s="219">
        <v>17</v>
      </c>
      <c r="F9" s="235">
        <v>-9.4131347872583397</v>
      </c>
      <c r="G9" s="217">
        <v>1.4344476962170709</v>
      </c>
      <c r="H9" s="235">
        <v>0.1944937452138342</v>
      </c>
      <c r="I9" s="231">
        <v>7.3752895993646597</v>
      </c>
      <c r="J9" s="236">
        <v>0.7838457765798037</v>
      </c>
      <c r="K9" s="232" t="s">
        <v>3104</v>
      </c>
      <c r="L9" s="233">
        <v>0.1279314401511833</v>
      </c>
      <c r="M9" s="234">
        <v>5.1478029876090403E-2</v>
      </c>
      <c r="N9" s="233">
        <v>-8.3810415740348532E-2</v>
      </c>
      <c r="O9" s="219" t="s">
        <v>3067</v>
      </c>
      <c r="P9" s="213" t="s">
        <v>3105</v>
      </c>
    </row>
    <row r="10" spans="1:16" ht="24" customHeight="1">
      <c r="A10" s="222">
        <v>5</v>
      </c>
      <c r="B10" s="228" t="s">
        <v>512</v>
      </c>
      <c r="C10" s="229" t="s">
        <v>2990</v>
      </c>
      <c r="D10" s="222" t="s">
        <v>3103</v>
      </c>
      <c r="E10" s="222">
        <v>17</v>
      </c>
      <c r="F10" s="230">
        <v>-9.076021638577382</v>
      </c>
      <c r="G10" s="217">
        <v>1.399143791202244</v>
      </c>
      <c r="H10" s="230">
        <v>0.15919879168853909</v>
      </c>
      <c r="I10" s="231">
        <v>8.788658358284323</v>
      </c>
      <c r="J10" s="225">
        <v>0.83738165512308815</v>
      </c>
      <c r="K10" s="232" t="s">
        <v>3104</v>
      </c>
      <c r="L10" s="233">
        <v>0.1044828510129179</v>
      </c>
      <c r="M10" s="238">
        <v>-7.9990199561716935E-3</v>
      </c>
      <c r="N10" s="238">
        <v>-5.253023879982166E-3</v>
      </c>
      <c r="O10" s="222" t="s">
        <v>3067</v>
      </c>
      <c r="P10" s="228" t="s">
        <v>3105</v>
      </c>
    </row>
    <row r="11" spans="1:16" ht="24" customHeight="1">
      <c r="A11" s="219">
        <v>6</v>
      </c>
      <c r="B11" s="213" t="s">
        <v>116</v>
      </c>
      <c r="C11" s="229" t="s">
        <v>3109</v>
      </c>
      <c r="D11" s="219" t="s">
        <v>3007</v>
      </c>
      <c r="E11" s="219">
        <v>17</v>
      </c>
      <c r="F11" s="235">
        <v>-8.939549579371894</v>
      </c>
      <c r="G11" s="217">
        <v>1.3711047003204091</v>
      </c>
      <c r="H11" s="235">
        <v>0.18803073160608669</v>
      </c>
      <c r="I11" s="231">
        <v>7.2919181274728668</v>
      </c>
      <c r="J11" s="236">
        <v>0.77996854129710413</v>
      </c>
      <c r="K11" s="232" t="s">
        <v>3104</v>
      </c>
      <c r="L11" s="233">
        <v>0.185913255688547</v>
      </c>
      <c r="M11" s="233">
        <v>0.1051555061251062</v>
      </c>
      <c r="N11" s="238">
        <v>-3.9823737018997107E-2</v>
      </c>
      <c r="O11" s="219" t="s">
        <v>3067</v>
      </c>
      <c r="P11" s="237" t="s">
        <v>3107</v>
      </c>
    </row>
    <row r="12" spans="1:16" ht="24" customHeight="1">
      <c r="A12" s="222">
        <v>7</v>
      </c>
      <c r="B12" s="228" t="s">
        <v>517</v>
      </c>
      <c r="C12" s="229" t="s">
        <v>3000</v>
      </c>
      <c r="D12" s="222" t="s">
        <v>3103</v>
      </c>
      <c r="E12" s="222">
        <v>17</v>
      </c>
      <c r="F12" s="230">
        <v>-8.7169252969702811</v>
      </c>
      <c r="G12" s="217">
        <v>1.3658796994218121</v>
      </c>
      <c r="H12" s="230">
        <v>0.1670776251512717</v>
      </c>
      <c r="I12" s="231">
        <v>8.1751203860190582</v>
      </c>
      <c r="J12" s="225">
        <v>0.81669895343204102</v>
      </c>
      <c r="K12" s="232" t="s">
        <v>3104</v>
      </c>
      <c r="L12" s="238">
        <v>3.502471616121916E-2</v>
      </c>
      <c r="M12" s="233">
        <v>-7.5503135358289342E-2</v>
      </c>
      <c r="N12" s="238">
        <v>1.0369415992466101E-2</v>
      </c>
      <c r="O12" s="222" t="s">
        <v>3067</v>
      </c>
      <c r="P12" s="228" t="s">
        <v>3105</v>
      </c>
    </row>
    <row r="13" spans="1:16" ht="24" customHeight="1">
      <c r="A13" s="219">
        <v>8</v>
      </c>
      <c r="B13" s="213" t="s">
        <v>535</v>
      </c>
      <c r="C13" s="229" t="s">
        <v>3110</v>
      </c>
      <c r="D13" s="219" t="s">
        <v>3111</v>
      </c>
      <c r="E13" s="219">
        <v>17</v>
      </c>
      <c r="F13" s="235">
        <v>-9.1028387909527062</v>
      </c>
      <c r="G13" s="217">
        <v>1.359525902457142</v>
      </c>
      <c r="H13" s="235">
        <v>0.16398415863281909</v>
      </c>
      <c r="I13" s="231">
        <v>8.2905929072166611</v>
      </c>
      <c r="J13" s="225">
        <v>0.82086115072964327</v>
      </c>
      <c r="K13" s="232" t="s">
        <v>3104</v>
      </c>
      <c r="L13" s="233">
        <v>0.15813771973402349</v>
      </c>
      <c r="M13" s="233">
        <v>8.6914448250348997E-2</v>
      </c>
      <c r="N13" s="233">
        <v>-5.0053366036813429E-2</v>
      </c>
      <c r="O13" s="219" t="s">
        <v>3067</v>
      </c>
      <c r="P13" s="237" t="s">
        <v>3107</v>
      </c>
    </row>
    <row r="14" spans="1:16" ht="24" customHeight="1">
      <c r="A14" s="222">
        <v>9</v>
      </c>
      <c r="B14" s="228" t="s">
        <v>124</v>
      </c>
      <c r="C14" s="229" t="s">
        <v>3112</v>
      </c>
      <c r="D14" s="222" t="s">
        <v>3007</v>
      </c>
      <c r="E14" s="222">
        <v>17</v>
      </c>
      <c r="F14" s="230">
        <v>-9.1761366053614815</v>
      </c>
      <c r="G14" s="217">
        <v>1.3511274307650361</v>
      </c>
      <c r="H14" s="230">
        <v>0.16775720674096131</v>
      </c>
      <c r="I14" s="231">
        <v>8.0540649013747032</v>
      </c>
      <c r="J14" s="225">
        <v>0.81219002300303444</v>
      </c>
      <c r="K14" s="232" t="s">
        <v>3104</v>
      </c>
      <c r="L14" s="233">
        <v>0.1019853362879353</v>
      </c>
      <c r="M14" s="238">
        <v>3.024698964332018E-2</v>
      </c>
      <c r="N14" s="233">
        <v>-7.8834109899162286E-2</v>
      </c>
      <c r="O14" s="222" t="s">
        <v>3067</v>
      </c>
      <c r="P14" s="228" t="s">
        <v>3105</v>
      </c>
    </row>
    <row r="15" spans="1:16" ht="24" customHeight="1">
      <c r="A15" s="219">
        <v>10</v>
      </c>
      <c r="B15" s="213" t="s">
        <v>539</v>
      </c>
      <c r="C15" s="229" t="s">
        <v>3002</v>
      </c>
      <c r="D15" s="219" t="s">
        <v>3103</v>
      </c>
      <c r="E15" s="219">
        <v>17</v>
      </c>
      <c r="F15" s="235">
        <v>-8.0905247111796506</v>
      </c>
      <c r="G15" s="217">
        <v>1.343649447468493</v>
      </c>
      <c r="H15" s="235">
        <v>0.13946553450613461</v>
      </c>
      <c r="I15" s="231">
        <v>9.6342759680843653</v>
      </c>
      <c r="J15" s="225">
        <v>0.86087830567833001</v>
      </c>
      <c r="K15" s="232" t="s">
        <v>3104</v>
      </c>
      <c r="L15" s="233">
        <v>0.1449505306344534</v>
      </c>
      <c r="M15" s="238">
        <v>8.2762497595076923E-3</v>
      </c>
      <c r="N15" s="233">
        <v>-0.10831961920510121</v>
      </c>
      <c r="O15" s="219" t="s">
        <v>3067</v>
      </c>
      <c r="P15" s="213" t="s">
        <v>3105</v>
      </c>
    </row>
    <row r="16" spans="1:16" ht="24" customHeight="1">
      <c r="A16" s="222">
        <v>11</v>
      </c>
      <c r="B16" s="228" t="s">
        <v>528</v>
      </c>
      <c r="C16" s="229" t="s">
        <v>2994</v>
      </c>
      <c r="D16" s="222" t="s">
        <v>3103</v>
      </c>
      <c r="E16" s="222">
        <v>17</v>
      </c>
      <c r="F16" s="230">
        <v>-8.4789928960094105</v>
      </c>
      <c r="G16" s="217">
        <v>1.3186497138426669</v>
      </c>
      <c r="H16" s="230">
        <v>0.14286174150097891</v>
      </c>
      <c r="I16" s="231">
        <v>9.2302508704447774</v>
      </c>
      <c r="J16" s="225">
        <v>0.85029571257250613</v>
      </c>
      <c r="K16" s="232" t="s">
        <v>3104</v>
      </c>
      <c r="L16" s="234">
        <v>6.5929475130047877E-2</v>
      </c>
      <c r="M16" s="234">
        <v>4.5316557565856293E-2</v>
      </c>
      <c r="N16" s="238">
        <v>2.0161980864337181E-3</v>
      </c>
      <c r="O16" s="222" t="s">
        <v>3067</v>
      </c>
      <c r="P16" s="228" t="s">
        <v>3105</v>
      </c>
    </row>
    <row r="17" spans="1:16" ht="24" customHeight="1">
      <c r="A17" s="219">
        <v>12</v>
      </c>
      <c r="B17" s="213" t="s">
        <v>522</v>
      </c>
      <c r="C17" s="229" t="s">
        <v>2992</v>
      </c>
      <c r="D17" s="219" t="s">
        <v>3103</v>
      </c>
      <c r="E17" s="219">
        <v>17</v>
      </c>
      <c r="F17" s="235">
        <v>-8.2944935334890175</v>
      </c>
      <c r="G17" s="217">
        <v>1.3162154017963521</v>
      </c>
      <c r="H17" s="235">
        <v>0.14382824454360291</v>
      </c>
      <c r="I17" s="231">
        <v>9.151299913121921</v>
      </c>
      <c r="J17" s="225">
        <v>0.84809555898424183</v>
      </c>
      <c r="K17" s="232" t="s">
        <v>3104</v>
      </c>
      <c r="L17" s="233">
        <v>0.1222876615182571</v>
      </c>
      <c r="M17" s="234">
        <v>5.8431067388879043E-2</v>
      </c>
      <c r="N17" s="238">
        <v>-1.432206858133789E-2</v>
      </c>
      <c r="O17" s="219" t="s">
        <v>3067</v>
      </c>
      <c r="P17" s="213" t="s">
        <v>3105</v>
      </c>
    </row>
    <row r="18" spans="1:16" ht="24" customHeight="1">
      <c r="A18" s="222">
        <v>13</v>
      </c>
      <c r="B18" s="228" t="s">
        <v>131</v>
      </c>
      <c r="C18" s="229" t="s">
        <v>3113</v>
      </c>
      <c r="D18" s="222" t="s">
        <v>3007</v>
      </c>
      <c r="E18" s="222">
        <v>17</v>
      </c>
      <c r="F18" s="230">
        <v>-8.1505511873890093</v>
      </c>
      <c r="G18" s="217">
        <v>1.2898712476268159</v>
      </c>
      <c r="H18" s="230">
        <v>0.15964767220204479</v>
      </c>
      <c r="I18" s="231">
        <v>8.0794867211994053</v>
      </c>
      <c r="J18" s="225">
        <v>0.81314955213111251</v>
      </c>
      <c r="K18" s="232" t="s">
        <v>3104</v>
      </c>
      <c r="L18" s="234">
        <v>6.9747869427295939E-2</v>
      </c>
      <c r="M18" s="238">
        <v>-4.2880030454561791E-4</v>
      </c>
      <c r="N18" s="233">
        <v>-6.4010848363869499E-2</v>
      </c>
      <c r="O18" s="222" t="s">
        <v>3067</v>
      </c>
      <c r="P18" s="228" t="s">
        <v>3105</v>
      </c>
    </row>
    <row r="19" spans="1:16" ht="24" customHeight="1">
      <c r="A19" s="219">
        <v>14</v>
      </c>
      <c r="B19" s="213" t="s">
        <v>531</v>
      </c>
      <c r="C19" s="229" t="s">
        <v>2998</v>
      </c>
      <c r="D19" s="219" t="s">
        <v>3103</v>
      </c>
      <c r="E19" s="219">
        <v>17</v>
      </c>
      <c r="F19" s="235">
        <v>-7.1002251991207821</v>
      </c>
      <c r="G19" s="217">
        <v>1.2553358995374719</v>
      </c>
      <c r="H19" s="235">
        <v>0.1126232806489221</v>
      </c>
      <c r="I19" s="231">
        <v>11.146326872245011</v>
      </c>
      <c r="J19" s="225">
        <v>0.89227280186583846</v>
      </c>
      <c r="K19" s="232" t="s">
        <v>3104</v>
      </c>
      <c r="L19" s="233">
        <v>0.14430779015694381</v>
      </c>
      <c r="M19" s="234">
        <v>4.2192564796861731E-2</v>
      </c>
      <c r="N19" s="233">
        <v>-8.6915251474467325E-2</v>
      </c>
      <c r="O19" s="219" t="s">
        <v>3067</v>
      </c>
      <c r="P19" s="213" t="s">
        <v>3105</v>
      </c>
    </row>
    <row r="20" spans="1:16" ht="24" customHeight="1">
      <c r="A20" s="222">
        <v>15</v>
      </c>
      <c r="B20" s="228" t="s">
        <v>534</v>
      </c>
      <c r="C20" s="229" t="s">
        <v>3003</v>
      </c>
      <c r="D20" s="222" t="s">
        <v>3103</v>
      </c>
      <c r="E20" s="222">
        <v>17</v>
      </c>
      <c r="F20" s="230">
        <v>-6.7573030277878878</v>
      </c>
      <c r="G20" s="217">
        <v>1.248395692937166</v>
      </c>
      <c r="H20" s="230">
        <v>0.13620254140960861</v>
      </c>
      <c r="I20" s="231">
        <v>9.1657298022274372</v>
      </c>
      <c r="J20" s="225">
        <v>0.84850107387814533</v>
      </c>
      <c r="K20" s="232" t="s">
        <v>3104</v>
      </c>
      <c r="L20" s="233">
        <v>0.11547356303361769</v>
      </c>
      <c r="M20" s="238">
        <v>-1.9320383115745798E-2</v>
      </c>
      <c r="N20" s="233">
        <v>-0.13175267055310869</v>
      </c>
      <c r="O20" s="222" t="s">
        <v>3067</v>
      </c>
      <c r="P20" s="228" t="s">
        <v>3105</v>
      </c>
    </row>
    <row r="21" spans="1:16" ht="24" customHeight="1">
      <c r="A21" s="219">
        <v>16</v>
      </c>
      <c r="B21" s="213" t="s">
        <v>123</v>
      </c>
      <c r="C21" s="229" t="s">
        <v>3114</v>
      </c>
      <c r="D21" s="219" t="s">
        <v>3007</v>
      </c>
      <c r="E21" s="219">
        <v>17</v>
      </c>
      <c r="F21" s="235">
        <v>-6.3841329189980929</v>
      </c>
      <c r="G21" s="217">
        <v>1.173390016003256</v>
      </c>
      <c r="H21" s="235">
        <v>0.1204875832148605</v>
      </c>
      <c r="I21" s="231">
        <v>9.7386799925333225</v>
      </c>
      <c r="J21" s="225">
        <v>0.86344007487909424</v>
      </c>
      <c r="K21" s="232" t="s">
        <v>3104</v>
      </c>
      <c r="L21" s="234">
        <v>6.0367926702214803E-2</v>
      </c>
      <c r="M21" s="238">
        <v>-1.272588909639261E-2</v>
      </c>
      <c r="N21" s="233">
        <v>-8.8005081413468744E-2</v>
      </c>
      <c r="O21" s="219" t="s">
        <v>3067</v>
      </c>
      <c r="P21" s="213" t="s">
        <v>3105</v>
      </c>
    </row>
    <row r="22" spans="1:16" ht="24" customHeight="1">
      <c r="A22" s="222">
        <v>17</v>
      </c>
      <c r="B22" s="228" t="s">
        <v>525</v>
      </c>
      <c r="C22" s="229" t="s">
        <v>3012</v>
      </c>
      <c r="D22" s="222" t="s">
        <v>3103</v>
      </c>
      <c r="E22" s="222">
        <v>17</v>
      </c>
      <c r="F22" s="230">
        <v>-6.5488344379972698</v>
      </c>
      <c r="G22" s="217">
        <v>1.1680179874733041</v>
      </c>
      <c r="H22" s="230">
        <v>0.1619925915112346</v>
      </c>
      <c r="I22" s="231">
        <v>7.2103173149884379</v>
      </c>
      <c r="J22" s="236">
        <v>0.77608155670021894</v>
      </c>
      <c r="K22" s="232" t="s">
        <v>3104</v>
      </c>
      <c r="L22" s="234">
        <v>7.396809696158968E-2</v>
      </c>
      <c r="M22" s="238">
        <v>-1.5694538509553269E-2</v>
      </c>
      <c r="N22" s="233">
        <v>-0.12865276813901971</v>
      </c>
      <c r="O22" s="222" t="s">
        <v>3067</v>
      </c>
      <c r="P22" s="228" t="s">
        <v>3105</v>
      </c>
    </row>
    <row r="23" spans="1:16" ht="24" customHeight="1">
      <c r="A23" s="219">
        <v>18</v>
      </c>
      <c r="B23" s="213" t="s">
        <v>540</v>
      </c>
      <c r="C23" s="229" t="s">
        <v>3004</v>
      </c>
      <c r="D23" s="219" t="s">
        <v>3103</v>
      </c>
      <c r="E23" s="219">
        <v>17</v>
      </c>
      <c r="F23" s="235">
        <v>-5.4157797714745541</v>
      </c>
      <c r="G23" s="217">
        <v>1.1097665019873679</v>
      </c>
      <c r="H23" s="235">
        <v>0.149237960456753</v>
      </c>
      <c r="I23" s="231">
        <v>7.4362213111922193</v>
      </c>
      <c r="J23" s="236">
        <v>0.78662080402797219</v>
      </c>
      <c r="K23" s="232" t="s">
        <v>3104</v>
      </c>
      <c r="L23" s="233">
        <v>0.16009477062440419</v>
      </c>
      <c r="M23" s="234">
        <v>6.4396288951352076E-2</v>
      </c>
      <c r="N23" s="238">
        <v>-2.33233715086083E-2</v>
      </c>
      <c r="O23" s="219" t="s">
        <v>3067</v>
      </c>
      <c r="P23" s="237" t="s">
        <v>3107</v>
      </c>
    </row>
    <row r="24" spans="1:16" ht="24" customHeight="1">
      <c r="A24" s="222">
        <v>19</v>
      </c>
      <c r="B24" s="228" t="s">
        <v>142</v>
      </c>
      <c r="C24" s="229" t="s">
        <v>3002</v>
      </c>
      <c r="D24" s="222" t="s">
        <v>3007</v>
      </c>
      <c r="E24" s="222">
        <v>17</v>
      </c>
      <c r="F24" s="230">
        <v>-5.421262814951664</v>
      </c>
      <c r="G24" s="217">
        <v>1.0822087478655269</v>
      </c>
      <c r="H24" s="230">
        <v>0.1133996667442546</v>
      </c>
      <c r="I24" s="231">
        <v>9.5433150637575146</v>
      </c>
      <c r="J24" s="225">
        <v>0.85859043641676169</v>
      </c>
      <c r="K24" s="232" t="s">
        <v>3104</v>
      </c>
      <c r="L24" s="234">
        <v>4.7488741155550677E-2</v>
      </c>
      <c r="M24" s="238">
        <v>-3.5294037493120101E-2</v>
      </c>
      <c r="N24" s="238">
        <v>-3.0387153538969262E-2</v>
      </c>
      <c r="O24" s="222" t="s">
        <v>3067</v>
      </c>
      <c r="P24" s="228" t="s">
        <v>3105</v>
      </c>
    </row>
    <row r="25" spans="1:16" ht="24" customHeight="1">
      <c r="A25" s="219">
        <v>20</v>
      </c>
      <c r="B25" s="213" t="s">
        <v>510</v>
      </c>
      <c r="C25" s="229" t="s">
        <v>3109</v>
      </c>
      <c r="D25" s="219" t="s">
        <v>3103</v>
      </c>
      <c r="E25" s="219">
        <v>17</v>
      </c>
      <c r="F25" s="235">
        <v>-4.6864937374809594</v>
      </c>
      <c r="G25" s="217">
        <v>1.043187913169771</v>
      </c>
      <c r="H25" s="235">
        <v>0.10289970634744749</v>
      </c>
      <c r="I25" s="231">
        <v>10.137909525682989</v>
      </c>
      <c r="J25" s="225">
        <v>0.87264089498129072</v>
      </c>
      <c r="K25" s="232" t="s">
        <v>3104</v>
      </c>
      <c r="L25" s="233">
        <v>9.5889580234482352E-2</v>
      </c>
      <c r="M25" s="238">
        <v>1.8777551193220889E-3</v>
      </c>
      <c r="N25" s="233">
        <v>-0.1076098960498815</v>
      </c>
      <c r="O25" s="219" t="s">
        <v>3067</v>
      </c>
      <c r="P25" s="213" t="s">
        <v>3105</v>
      </c>
    </row>
    <row r="26" spans="1:16" ht="24" customHeight="1">
      <c r="A26" s="222">
        <v>21</v>
      </c>
      <c r="B26" s="228" t="s">
        <v>511</v>
      </c>
      <c r="C26" s="229" t="s">
        <v>3015</v>
      </c>
      <c r="D26" s="222" t="s">
        <v>3103</v>
      </c>
      <c r="E26" s="222">
        <v>17</v>
      </c>
      <c r="F26" s="230">
        <v>-4.2471371431531493</v>
      </c>
      <c r="G26" s="217">
        <v>1.028846322017718</v>
      </c>
      <c r="H26" s="230">
        <v>0.14051638656279711</v>
      </c>
      <c r="I26" s="231">
        <v>7.3218956677193257</v>
      </c>
      <c r="J26" s="236">
        <v>0.78137347533422474</v>
      </c>
      <c r="K26" s="232" t="s">
        <v>3104</v>
      </c>
      <c r="L26" s="233">
        <v>9.2672252350546103E-2</v>
      </c>
      <c r="M26" s="238">
        <v>1.2081798964132419E-2</v>
      </c>
      <c r="N26" s="238">
        <v>-2.1681237245413602E-2</v>
      </c>
      <c r="O26" s="222" t="s">
        <v>3067</v>
      </c>
      <c r="P26" s="228" t="s">
        <v>3105</v>
      </c>
    </row>
    <row r="27" spans="1:16" ht="24" customHeight="1">
      <c r="A27" s="219">
        <v>22</v>
      </c>
      <c r="B27" s="213" t="s">
        <v>514</v>
      </c>
      <c r="C27" s="229" t="s">
        <v>3115</v>
      </c>
      <c r="D27" s="219" t="s">
        <v>3103</v>
      </c>
      <c r="E27" s="219">
        <v>17</v>
      </c>
      <c r="F27" s="235">
        <v>-4.6326182258216946</v>
      </c>
      <c r="G27" s="217">
        <v>0.96493991403461754</v>
      </c>
      <c r="H27" s="235">
        <v>0.10239415080307521</v>
      </c>
      <c r="I27" s="231">
        <v>9.4237796443118427</v>
      </c>
      <c r="J27" s="225">
        <v>0.85550194101691368</v>
      </c>
      <c r="K27" s="232" t="s">
        <v>3104</v>
      </c>
      <c r="L27" s="233">
        <v>0.1445391033892349</v>
      </c>
      <c r="M27" s="234">
        <v>6.7842506098269695E-2</v>
      </c>
      <c r="N27" s="233">
        <v>8.8417398459053942E-2</v>
      </c>
      <c r="O27" s="219" t="s">
        <v>3067</v>
      </c>
      <c r="P27" s="237" t="s">
        <v>3107</v>
      </c>
    </row>
    <row r="28" spans="1:16" ht="24" customHeight="1">
      <c r="A28" s="222">
        <v>23</v>
      </c>
      <c r="B28" s="228" t="s">
        <v>523</v>
      </c>
      <c r="C28" s="229" t="s">
        <v>3016</v>
      </c>
      <c r="D28" s="222" t="s">
        <v>3103</v>
      </c>
      <c r="E28" s="222">
        <v>17</v>
      </c>
      <c r="F28" s="230">
        <v>-3.2644046257368622</v>
      </c>
      <c r="G28" s="217">
        <v>0.85917125040281894</v>
      </c>
      <c r="H28" s="230">
        <v>0.1052145742982022</v>
      </c>
      <c r="I28" s="231">
        <v>8.1658958004024313</v>
      </c>
      <c r="J28" s="225">
        <v>0.81636068203042356</v>
      </c>
      <c r="K28" s="232" t="s">
        <v>3104</v>
      </c>
      <c r="L28" s="234">
        <v>6.7838713625469893E-2</v>
      </c>
      <c r="M28" s="238">
        <v>4.3311109060963906E-3</v>
      </c>
      <c r="N28" s="238">
        <v>-7.664989473017414E-4</v>
      </c>
      <c r="O28" s="222" t="s">
        <v>3067</v>
      </c>
      <c r="P28" s="228" t="s">
        <v>3105</v>
      </c>
    </row>
    <row r="29" spans="1:16" ht="24" customHeight="1">
      <c r="A29" s="219">
        <v>24</v>
      </c>
      <c r="B29" s="213" t="s">
        <v>122</v>
      </c>
      <c r="C29" s="229" t="s">
        <v>3116</v>
      </c>
      <c r="D29" s="219" t="s">
        <v>3117</v>
      </c>
      <c r="E29" s="219">
        <v>17</v>
      </c>
      <c r="F29" s="235">
        <v>5.2614737260103057</v>
      </c>
      <c r="G29" s="218">
        <v>4.8363921616196917E-2</v>
      </c>
      <c r="H29" s="235">
        <v>5.7920702110630306E-3</v>
      </c>
      <c r="I29" s="231">
        <v>8.3500233688155845</v>
      </c>
      <c r="J29" s="225">
        <v>0.82295221569998878</v>
      </c>
      <c r="K29" s="239" t="s">
        <v>3118</v>
      </c>
      <c r="L29" s="238">
        <v>3.6604808467064491E-3</v>
      </c>
      <c r="M29" s="238">
        <v>2.3790299201404959E-3</v>
      </c>
      <c r="N29" s="238">
        <v>-9.4035128328506801E-5</v>
      </c>
      <c r="O29" s="219" t="s">
        <v>3067</v>
      </c>
      <c r="P29" s="213" t="s">
        <v>3105</v>
      </c>
    </row>
    <row r="30" spans="1:16" ht="24" customHeight="1">
      <c r="A30" s="222">
        <v>25</v>
      </c>
      <c r="B30" s="228" t="s">
        <v>538</v>
      </c>
      <c r="C30" s="229" t="s">
        <v>3119</v>
      </c>
      <c r="D30" s="222" t="s">
        <v>3111</v>
      </c>
      <c r="E30" s="222">
        <v>17</v>
      </c>
      <c r="F30" s="230">
        <v>6.2351900413099308</v>
      </c>
      <c r="G30" s="240">
        <v>-9.0819360027401368E-3</v>
      </c>
      <c r="H30" s="230">
        <v>0.24666787892864209</v>
      </c>
      <c r="I30" s="241">
        <v>-3.6818478523372833E-2</v>
      </c>
      <c r="J30" s="226">
        <v>9.0365190779317928E-5</v>
      </c>
      <c r="K30" s="239" t="s">
        <v>3118</v>
      </c>
      <c r="L30" s="233">
        <v>-5.3238703580872133E-2</v>
      </c>
      <c r="M30" s="233">
        <v>-5.0158589022614393E-2</v>
      </c>
      <c r="N30" s="233">
        <v>-4.6861509808149293E-2</v>
      </c>
      <c r="O30" s="222" t="s">
        <v>3067</v>
      </c>
      <c r="P30" s="228" t="s">
        <v>3105</v>
      </c>
    </row>
    <row r="55" spans="1:16" ht="32" customHeight="1">
      <c r="A55" s="313" t="s">
        <v>3120</v>
      </c>
      <c r="B55" s="313"/>
      <c r="C55" s="313"/>
      <c r="D55" s="313"/>
      <c r="E55" s="313"/>
      <c r="F55" s="313"/>
      <c r="G55" s="313"/>
      <c r="H55" s="313"/>
      <c r="I55" s="313"/>
      <c r="J55" s="313"/>
      <c r="K55" s="313"/>
      <c r="L55" s="313"/>
      <c r="M55" s="313"/>
      <c r="N55" s="313"/>
      <c r="O55" s="313"/>
      <c r="P55" s="313"/>
    </row>
    <row r="56" spans="1:16" ht="28.05" customHeight="1">
      <c r="A56" s="321" t="s">
        <v>3121</v>
      </c>
      <c r="B56" s="321"/>
      <c r="C56" s="321"/>
      <c r="D56" s="321"/>
      <c r="E56" s="321"/>
      <c r="F56" s="321"/>
      <c r="G56" s="321"/>
      <c r="H56" s="321"/>
      <c r="I56" s="321"/>
      <c r="J56" s="321"/>
      <c r="K56" s="321"/>
      <c r="L56" s="321"/>
    </row>
    <row r="57" spans="1:16" ht="24" customHeight="1">
      <c r="A57" s="242" t="s">
        <v>2920</v>
      </c>
      <c r="B57" s="242" t="s">
        <v>3026</v>
      </c>
      <c r="C57" s="242" t="s">
        <v>3122</v>
      </c>
      <c r="D57" s="242" t="s">
        <v>3027</v>
      </c>
      <c r="E57" s="242" t="s">
        <v>3028</v>
      </c>
      <c r="F57" s="242" t="s">
        <v>3029</v>
      </c>
      <c r="G57" s="242" t="s">
        <v>3123</v>
      </c>
      <c r="H57" s="242" t="s">
        <v>3031</v>
      </c>
      <c r="I57" s="242" t="s">
        <v>3032</v>
      </c>
      <c r="J57" s="242" t="s">
        <v>3124</v>
      </c>
      <c r="K57" s="242" t="s">
        <v>3034</v>
      </c>
      <c r="L57" s="242" t="s">
        <v>3125</v>
      </c>
    </row>
    <row r="58" spans="1:16" ht="20" customHeight="1">
      <c r="A58" s="222">
        <v>1</v>
      </c>
      <c r="B58" s="222" t="s">
        <v>72</v>
      </c>
      <c r="C58" s="247">
        <v>162538.00000000009</v>
      </c>
      <c r="D58" s="230">
        <v>11.99866709956803</v>
      </c>
      <c r="E58" s="230">
        <v>7.2966166379235213</v>
      </c>
      <c r="F58" s="230">
        <v>7.4658245600023179</v>
      </c>
      <c r="G58" s="249">
        <v>-0.16920792207879651</v>
      </c>
      <c r="H58" s="244">
        <v>0.16920792207879651</v>
      </c>
      <c r="I58" s="245">
        <v>1475.3</v>
      </c>
      <c r="J58" s="245">
        <v>1747.295704543124</v>
      </c>
      <c r="K58" s="252">
        <v>0.1843663692422719</v>
      </c>
      <c r="L58" s="248">
        <v>-0.16920792207879651</v>
      </c>
    </row>
    <row r="59" spans="1:16" ht="20" customHeight="1">
      <c r="A59" s="219">
        <v>2</v>
      </c>
      <c r="B59" s="219" t="s">
        <v>73</v>
      </c>
      <c r="C59" s="253">
        <v>306848</v>
      </c>
      <c r="D59" s="235">
        <v>12.63410778995341</v>
      </c>
      <c r="E59" s="235">
        <v>7.7922250518664562</v>
      </c>
      <c r="F59" s="235">
        <v>8.2080307163448971</v>
      </c>
      <c r="G59" s="249">
        <v>-0.41580566447844092</v>
      </c>
      <c r="H59" s="250">
        <v>0.41580566447844092</v>
      </c>
      <c r="I59" s="251">
        <v>2421.6999999999998</v>
      </c>
      <c r="J59" s="251">
        <v>3670.3074682162919</v>
      </c>
      <c r="K59" s="252">
        <v>0.51559130702246025</v>
      </c>
      <c r="L59" s="254">
        <v>-0.58501358655723745</v>
      </c>
    </row>
    <row r="60" spans="1:16" ht="20" customHeight="1">
      <c r="A60" s="222">
        <v>3</v>
      </c>
      <c r="B60" s="222" t="s">
        <v>75</v>
      </c>
      <c r="C60" s="247">
        <v>295437</v>
      </c>
      <c r="D60" s="230">
        <v>12.596210895128831</v>
      </c>
      <c r="E60" s="230">
        <v>7.7970447353533494</v>
      </c>
      <c r="F60" s="230">
        <v>8.1637664615204049</v>
      </c>
      <c r="G60" s="249">
        <v>-0.36672172616705628</v>
      </c>
      <c r="H60" s="244">
        <v>0.36672172616705628</v>
      </c>
      <c r="I60" s="245">
        <v>2433.4</v>
      </c>
      <c r="J60" s="245">
        <v>3511.38723322346</v>
      </c>
      <c r="K60" s="252">
        <v>0.44299631512429533</v>
      </c>
      <c r="L60" s="248">
        <v>-0.95173531272429379</v>
      </c>
    </row>
    <row r="61" spans="1:16" ht="20" customHeight="1">
      <c r="A61" s="219">
        <v>4</v>
      </c>
      <c r="B61" s="219" t="s">
        <v>78</v>
      </c>
      <c r="C61" s="253">
        <v>263066.00000000017</v>
      </c>
      <c r="D61" s="235">
        <v>12.480160230247421</v>
      </c>
      <c r="E61" s="235">
        <v>8.0252547433687287</v>
      </c>
      <c r="F61" s="235">
        <v>8.0282171974806804</v>
      </c>
      <c r="G61" s="255">
        <v>-2.9624541119517289E-3</v>
      </c>
      <c r="H61" s="250">
        <v>2.9624541119517289E-3</v>
      </c>
      <c r="I61" s="251">
        <v>3057.1999999999989</v>
      </c>
      <c r="J61" s="251">
        <v>3066.2702431671701</v>
      </c>
      <c r="K61" s="256">
        <v>2.9668465154948009E-3</v>
      </c>
      <c r="L61" s="254">
        <v>-0.95469776683624552</v>
      </c>
    </row>
    <row r="62" spans="1:16" ht="20" customHeight="1">
      <c r="A62" s="222">
        <v>5</v>
      </c>
      <c r="B62" s="222" t="s">
        <v>79</v>
      </c>
      <c r="C62" s="247">
        <v>266747.99999999988</v>
      </c>
      <c r="D62" s="230">
        <v>12.49405967147891</v>
      </c>
      <c r="E62" s="230">
        <v>8.0618968774427273</v>
      </c>
      <c r="F62" s="230">
        <v>8.0444519948548923</v>
      </c>
      <c r="G62" s="255">
        <v>1.744488258783505E-2</v>
      </c>
      <c r="H62" s="244">
        <v>1.744488258783505E-2</v>
      </c>
      <c r="I62" s="245">
        <v>3171.3000000000011</v>
      </c>
      <c r="J62" s="245">
        <v>3116.456801264957</v>
      </c>
      <c r="K62" s="256">
        <v>-1.729360159399744E-2</v>
      </c>
      <c r="L62" s="248">
        <v>-0.93725288424841047</v>
      </c>
    </row>
    <row r="63" spans="1:16" ht="20" customHeight="1">
      <c r="A63" s="219">
        <v>6</v>
      </c>
      <c r="B63" s="219" t="s">
        <v>80</v>
      </c>
      <c r="C63" s="253">
        <v>270165</v>
      </c>
      <c r="D63" s="235">
        <v>12.506788162439269</v>
      </c>
      <c r="E63" s="235">
        <v>8.0776334095372437</v>
      </c>
      <c r="F63" s="235">
        <v>8.0593191012499812</v>
      </c>
      <c r="G63" s="255">
        <v>1.8314308287262548E-2</v>
      </c>
      <c r="H63" s="250">
        <v>1.8314308287262548E-2</v>
      </c>
      <c r="I63" s="251">
        <v>3221.5999999999981</v>
      </c>
      <c r="J63" s="251">
        <v>3163.1356258455812</v>
      </c>
      <c r="K63" s="256">
        <v>-1.814762048498152E-2</v>
      </c>
      <c r="L63" s="254">
        <v>-0.91893857596114792</v>
      </c>
    </row>
    <row r="64" spans="1:16" ht="20" customHeight="1">
      <c r="A64" s="222">
        <v>7</v>
      </c>
      <c r="B64" s="222" t="s">
        <v>81</v>
      </c>
      <c r="C64" s="247">
        <v>274363.99999999988</v>
      </c>
      <c r="D64" s="230">
        <v>12.522210970891731</v>
      </c>
      <c r="E64" s="230">
        <v>8.1125577390485493</v>
      </c>
      <c r="F64" s="230">
        <v>8.0773332189398115</v>
      </c>
      <c r="G64" s="255">
        <v>3.5224520108737778E-2</v>
      </c>
      <c r="H64" s="244">
        <v>3.5224520108737778E-2</v>
      </c>
      <c r="I64" s="245">
        <v>3336.0999999999972</v>
      </c>
      <c r="J64" s="245">
        <v>3220.6330511130541</v>
      </c>
      <c r="K64" s="256">
        <v>-3.4611357239574252E-2</v>
      </c>
      <c r="L64" s="248">
        <v>-0.88371405585241014</v>
      </c>
    </row>
    <row r="65" spans="1:12" ht="20" customHeight="1">
      <c r="A65" s="219">
        <v>8</v>
      </c>
      <c r="B65" s="219" t="s">
        <v>82</v>
      </c>
      <c r="C65" s="253">
        <v>264646.99999999988</v>
      </c>
      <c r="D65" s="235">
        <v>12.486152141495451</v>
      </c>
      <c r="E65" s="235">
        <v>8.3059040975490337</v>
      </c>
      <c r="F65" s="235">
        <v>8.0352158575977288</v>
      </c>
      <c r="G65" s="249">
        <v>0.27068823995130492</v>
      </c>
      <c r="H65" s="250">
        <v>0.27068823995130492</v>
      </c>
      <c r="I65" s="251">
        <v>4047.7000000000021</v>
      </c>
      <c r="J65" s="251">
        <v>3087.8052967854842</v>
      </c>
      <c r="K65" s="252">
        <v>-0.23714571317402899</v>
      </c>
      <c r="L65" s="254">
        <v>-0.61302581590110528</v>
      </c>
    </row>
    <row r="66" spans="1:12" ht="20" customHeight="1">
      <c r="A66" s="222">
        <v>9</v>
      </c>
      <c r="B66" s="222" t="s">
        <v>83</v>
      </c>
      <c r="C66" s="247">
        <v>268978.00000000017</v>
      </c>
      <c r="D66" s="230">
        <v>12.502384870852829</v>
      </c>
      <c r="E66" s="230">
        <v>8.3138032465888649</v>
      </c>
      <c r="F66" s="230">
        <v>8.0541759774729371</v>
      </c>
      <c r="G66" s="249">
        <v>0.25962726911592782</v>
      </c>
      <c r="H66" s="244">
        <v>0.25962726911592782</v>
      </c>
      <c r="I66" s="245">
        <v>4079.8000000000038</v>
      </c>
      <c r="J66" s="245">
        <v>3146.9089913616172</v>
      </c>
      <c r="K66" s="252">
        <v>-0.22866096589008919</v>
      </c>
      <c r="L66" s="248">
        <v>-0.35339854678517751</v>
      </c>
    </row>
    <row r="67" spans="1:12" ht="20" customHeight="1">
      <c r="A67" s="219">
        <v>10</v>
      </c>
      <c r="B67" s="219" t="s">
        <v>84</v>
      </c>
      <c r="C67" s="253">
        <v>281118.99999999983</v>
      </c>
      <c r="D67" s="235">
        <v>12.546533346214821</v>
      </c>
      <c r="E67" s="235">
        <v>8.3939402229168234</v>
      </c>
      <c r="F67" s="235">
        <v>8.1057421908152634</v>
      </c>
      <c r="G67" s="249">
        <v>0.28819803210155998</v>
      </c>
      <c r="H67" s="250">
        <v>0.28819803210155998</v>
      </c>
      <c r="I67" s="251">
        <v>4420.2000000000025</v>
      </c>
      <c r="J67" s="251">
        <v>3313.439957561422</v>
      </c>
      <c r="K67" s="252">
        <v>-0.25038686992411657</v>
      </c>
      <c r="L67" s="254">
        <v>-6.5200514683617428E-2</v>
      </c>
    </row>
    <row r="68" spans="1:12" ht="20" customHeight="1">
      <c r="A68" s="222">
        <v>11</v>
      </c>
      <c r="B68" s="222" t="s">
        <v>88</v>
      </c>
      <c r="C68" s="247">
        <v>413277.00000000029</v>
      </c>
      <c r="D68" s="230">
        <v>12.93187334930216</v>
      </c>
      <c r="E68" s="230">
        <v>8.5602909943189598</v>
      </c>
      <c r="F68" s="230">
        <v>8.5558262457142895</v>
      </c>
      <c r="G68" s="255">
        <v>4.4647486046702767E-3</v>
      </c>
      <c r="H68" s="244">
        <v>4.4647486046702767E-3</v>
      </c>
      <c r="I68" s="245">
        <v>5220.1999999999971</v>
      </c>
      <c r="J68" s="245">
        <v>5196.9450716685678</v>
      </c>
      <c r="K68" s="256">
        <v>-4.4547964314450156E-3</v>
      </c>
      <c r="L68" s="248">
        <v>-6.0735766078947151E-2</v>
      </c>
    </row>
    <row r="69" spans="1:12" ht="20" customHeight="1">
      <c r="A69" s="219">
        <v>12</v>
      </c>
      <c r="B69" s="219" t="s">
        <v>89</v>
      </c>
      <c r="C69" s="253">
        <v>409922.99999999983</v>
      </c>
      <c r="D69" s="235">
        <v>12.9237246161649</v>
      </c>
      <c r="E69" s="235">
        <v>8.5998049040611804</v>
      </c>
      <c r="F69" s="235">
        <v>8.546308378834846</v>
      </c>
      <c r="G69" s="243">
        <v>5.3496525226334413E-2</v>
      </c>
      <c r="H69" s="250">
        <v>5.3496525226334413E-2</v>
      </c>
      <c r="I69" s="251">
        <v>5430.6000000000013</v>
      </c>
      <c r="J69" s="251">
        <v>5147.7158903317913</v>
      </c>
      <c r="K69" s="246">
        <v>-5.2090765231873067E-2</v>
      </c>
      <c r="L69" s="254">
        <v>-7.2392408526127383E-3</v>
      </c>
    </row>
    <row r="70" spans="1:12" ht="20" customHeight="1">
      <c r="A70" s="222">
        <v>13</v>
      </c>
      <c r="B70" s="222" t="s">
        <v>90</v>
      </c>
      <c r="C70" s="247">
        <v>405708.99999999983</v>
      </c>
      <c r="D70" s="230">
        <v>12.91339143282819</v>
      </c>
      <c r="E70" s="230">
        <v>8.6074177339892053</v>
      </c>
      <c r="F70" s="230">
        <v>8.5342390348297172</v>
      </c>
      <c r="G70" s="243">
        <v>7.3178699159488048E-2</v>
      </c>
      <c r="H70" s="244">
        <v>7.3178699159488048E-2</v>
      </c>
      <c r="I70" s="245">
        <v>5472.1000000000049</v>
      </c>
      <c r="J70" s="245">
        <v>5085.9597640383163</v>
      </c>
      <c r="K70" s="246">
        <v>-7.0565274019423668E-2</v>
      </c>
      <c r="L70" s="248">
        <v>6.5939458306875309E-2</v>
      </c>
    </row>
    <row r="71" spans="1:12" ht="20" customHeight="1">
      <c r="A71" s="219">
        <v>14</v>
      </c>
      <c r="B71" s="219" t="s">
        <v>91</v>
      </c>
      <c r="C71" s="253">
        <v>431499.99999999983</v>
      </c>
      <c r="D71" s="235">
        <v>12.975022789505619</v>
      </c>
      <c r="E71" s="235">
        <v>8.6106653194014342</v>
      </c>
      <c r="F71" s="235">
        <v>8.6062255680213333</v>
      </c>
      <c r="G71" s="255">
        <v>4.439751380100887E-3</v>
      </c>
      <c r="H71" s="250">
        <v>4.439751380100887E-3</v>
      </c>
      <c r="I71" s="251">
        <v>5489.8999999999978</v>
      </c>
      <c r="J71" s="251">
        <v>5465.5802356999611</v>
      </c>
      <c r="K71" s="256">
        <v>-4.429910253381064E-3</v>
      </c>
      <c r="L71" s="254">
        <v>7.0379209686976196E-2</v>
      </c>
    </row>
    <row r="72" spans="1:12" ht="20" customHeight="1">
      <c r="A72" s="257">
        <v>15</v>
      </c>
      <c r="B72" s="258" t="s">
        <v>92</v>
      </c>
      <c r="C72" s="262">
        <v>447358.99999999988</v>
      </c>
      <c r="D72" s="259">
        <v>13.011116683248829</v>
      </c>
      <c r="E72" s="259">
        <v>8.7223519821129489</v>
      </c>
      <c r="F72" s="259">
        <v>8.6483838851513593</v>
      </c>
      <c r="G72" s="243">
        <v>7.396809696158968E-2</v>
      </c>
      <c r="H72" s="260">
        <v>7.396809696158968E-2</v>
      </c>
      <c r="I72" s="261">
        <v>6138.5999999999976</v>
      </c>
      <c r="J72" s="261">
        <v>5700.9259337719814</v>
      </c>
      <c r="K72" s="246">
        <v>-7.1298678237385796E-2</v>
      </c>
      <c r="L72" s="263">
        <v>0.1443473066485659</v>
      </c>
    </row>
    <row r="73" spans="1:12" ht="20" customHeight="1">
      <c r="A73" s="257">
        <v>16</v>
      </c>
      <c r="B73" s="258" t="s">
        <v>93</v>
      </c>
      <c r="C73" s="262">
        <v>486257.99999999988</v>
      </c>
      <c r="D73" s="259">
        <v>13.094494626221611</v>
      </c>
      <c r="E73" s="259">
        <v>8.7300762837925348</v>
      </c>
      <c r="F73" s="259">
        <v>8.745770822302088</v>
      </c>
      <c r="G73" s="255">
        <v>-1.5694538509553269E-2</v>
      </c>
      <c r="H73" s="260">
        <v>1.5694538509553269E-2</v>
      </c>
      <c r="I73" s="261">
        <v>6186.1999999999953</v>
      </c>
      <c r="J73" s="261">
        <v>6284.0554435151917</v>
      </c>
      <c r="K73" s="256">
        <v>1.581834462435687E-2</v>
      </c>
      <c r="L73" s="263">
        <v>0.12865276813901261</v>
      </c>
    </row>
    <row r="74" spans="1:12" ht="20" customHeight="1">
      <c r="A74" s="257">
        <v>17</v>
      </c>
      <c r="B74" s="258" t="s">
        <v>94</v>
      </c>
      <c r="C74" s="262">
        <v>541639.00000000023</v>
      </c>
      <c r="D74" s="259">
        <v>13.20235500685032</v>
      </c>
      <c r="E74" s="259">
        <v>8.7431009188731128</v>
      </c>
      <c r="F74" s="259">
        <v>8.8717536870121325</v>
      </c>
      <c r="G74" s="249">
        <v>-0.12865276813901971</v>
      </c>
      <c r="H74" s="260">
        <v>0.12865276813901971</v>
      </c>
      <c r="I74" s="261">
        <v>6267.2999999999975</v>
      </c>
      <c r="J74" s="261">
        <v>7127.7698966308153</v>
      </c>
      <c r="K74" s="252">
        <v>0.13729515048439031</v>
      </c>
      <c r="L74" s="263">
        <v>-7.1054273576010019E-15</v>
      </c>
    </row>
    <row r="75" spans="1:12" ht="24" customHeight="1">
      <c r="A75" s="320" t="s">
        <v>3126</v>
      </c>
      <c r="B75" s="320"/>
      <c r="C75" s="320"/>
      <c r="D75" s="320"/>
      <c r="E75" s="320"/>
      <c r="F75" s="320"/>
      <c r="G75" s="264">
        <v>0.12929942040997819</v>
      </c>
    </row>
    <row r="77" spans="1:12" ht="28.05" customHeight="1">
      <c r="A77" s="321" t="s">
        <v>3127</v>
      </c>
      <c r="B77" s="321"/>
      <c r="C77" s="321"/>
      <c r="D77" s="321"/>
      <c r="E77" s="321"/>
      <c r="F77" s="321"/>
      <c r="G77" s="321"/>
      <c r="H77" s="321"/>
      <c r="I77" s="321"/>
      <c r="J77" s="321"/>
      <c r="K77" s="321"/>
      <c r="L77" s="321"/>
    </row>
    <row r="78" spans="1:12" ht="24" customHeight="1">
      <c r="A78" s="242" t="s">
        <v>2920</v>
      </c>
      <c r="B78" s="242" t="s">
        <v>3026</v>
      </c>
      <c r="C78" s="242" t="s">
        <v>3122</v>
      </c>
      <c r="D78" s="242" t="s">
        <v>3027</v>
      </c>
      <c r="E78" s="242" t="s">
        <v>3028</v>
      </c>
      <c r="F78" s="242" t="s">
        <v>3029</v>
      </c>
      <c r="G78" s="242" t="s">
        <v>3123</v>
      </c>
      <c r="H78" s="242" t="s">
        <v>3031</v>
      </c>
      <c r="I78" s="242" t="s">
        <v>3032</v>
      </c>
      <c r="J78" s="242" t="s">
        <v>3124</v>
      </c>
      <c r="K78" s="242" t="s">
        <v>3034</v>
      </c>
      <c r="L78" s="242" t="s">
        <v>3125</v>
      </c>
    </row>
    <row r="79" spans="1:12" ht="20" customHeight="1">
      <c r="A79" s="222">
        <v>1</v>
      </c>
      <c r="B79" s="222" t="s">
        <v>72</v>
      </c>
      <c r="C79" s="247">
        <v>162538.00000000009</v>
      </c>
      <c r="D79" s="230">
        <v>11.99866709956803</v>
      </c>
      <c r="E79" s="230">
        <v>7.8307037985203589</v>
      </c>
      <c r="F79" s="230">
        <v>8.0314777075133179</v>
      </c>
      <c r="G79" s="249">
        <v>-0.20077390899295899</v>
      </c>
      <c r="H79" s="244">
        <v>0.20077390899295899</v>
      </c>
      <c r="I79" s="245">
        <v>2516.7000000000012</v>
      </c>
      <c r="J79" s="245">
        <v>3076.2841644317318</v>
      </c>
      <c r="K79" s="252">
        <v>0.22234837860362039</v>
      </c>
      <c r="L79" s="248">
        <v>-0.20077390899295899</v>
      </c>
    </row>
    <row r="80" spans="1:12" ht="20" customHeight="1">
      <c r="A80" s="219">
        <v>2</v>
      </c>
      <c r="B80" s="219" t="s">
        <v>73</v>
      </c>
      <c r="C80" s="253">
        <v>306848</v>
      </c>
      <c r="D80" s="235">
        <v>12.63410778995341</v>
      </c>
      <c r="E80" s="235">
        <v>8.4759961265658994</v>
      </c>
      <c r="F80" s="235">
        <v>8.8852872400486334</v>
      </c>
      <c r="G80" s="249">
        <v>-0.40929111348273389</v>
      </c>
      <c r="H80" s="250">
        <v>0.40929111348273389</v>
      </c>
      <c r="I80" s="251">
        <v>4798.2000000000007</v>
      </c>
      <c r="J80" s="251">
        <v>7224.8896539089592</v>
      </c>
      <c r="K80" s="252">
        <v>0.50575000081467181</v>
      </c>
      <c r="L80" s="254">
        <v>-0.61006502247569294</v>
      </c>
    </row>
    <row r="81" spans="1:12" ht="20" customHeight="1">
      <c r="A81" s="222">
        <v>3</v>
      </c>
      <c r="B81" s="222" t="s">
        <v>75</v>
      </c>
      <c r="C81" s="247">
        <v>295437</v>
      </c>
      <c r="D81" s="230">
        <v>12.596210895128831</v>
      </c>
      <c r="E81" s="230">
        <v>8.6232094920001181</v>
      </c>
      <c r="F81" s="230">
        <v>8.8343670982568163</v>
      </c>
      <c r="G81" s="249">
        <v>-0.21115760625669819</v>
      </c>
      <c r="H81" s="244">
        <v>0.21115760625669819</v>
      </c>
      <c r="I81" s="245">
        <v>5559.2000000000025</v>
      </c>
      <c r="J81" s="245">
        <v>6866.2068361415777</v>
      </c>
      <c r="K81" s="252">
        <v>0.23510700031327789</v>
      </c>
      <c r="L81" s="248">
        <v>-0.82122262873239116</v>
      </c>
    </row>
    <row r="82" spans="1:12" ht="20" customHeight="1">
      <c r="A82" s="219">
        <v>4</v>
      </c>
      <c r="B82" s="219" t="s">
        <v>78</v>
      </c>
      <c r="C82" s="253">
        <v>263066.00000000017</v>
      </c>
      <c r="D82" s="235">
        <v>12.480160230247421</v>
      </c>
      <c r="E82" s="235">
        <v>8.7117561818547564</v>
      </c>
      <c r="F82" s="235">
        <v>8.6784356865105572</v>
      </c>
      <c r="G82" s="255">
        <v>3.332049534419923E-2</v>
      </c>
      <c r="H82" s="250">
        <v>3.332049534419923E-2</v>
      </c>
      <c r="I82" s="251">
        <v>6073.8999999999942</v>
      </c>
      <c r="J82" s="251">
        <v>5874.8492934849182</v>
      </c>
      <c r="K82" s="256">
        <v>-3.2771482328500003E-2</v>
      </c>
      <c r="L82" s="254">
        <v>-0.78790213338819193</v>
      </c>
    </row>
    <row r="83" spans="1:12" ht="20" customHeight="1">
      <c r="A83" s="222">
        <v>5</v>
      </c>
      <c r="B83" s="222" t="s">
        <v>79</v>
      </c>
      <c r="C83" s="247">
        <v>266747.99999999988</v>
      </c>
      <c r="D83" s="230">
        <v>12.49405967147891</v>
      </c>
      <c r="E83" s="230">
        <v>8.7323045710331826</v>
      </c>
      <c r="F83" s="230">
        <v>8.6971116630413725</v>
      </c>
      <c r="G83" s="255">
        <v>3.5192907991810067E-2</v>
      </c>
      <c r="H83" s="244">
        <v>3.5192907991810067E-2</v>
      </c>
      <c r="I83" s="245">
        <v>6199.9999999999982</v>
      </c>
      <c r="J83" s="245">
        <v>5985.5987995730211</v>
      </c>
      <c r="K83" s="256">
        <v>-3.4580838778544697E-2</v>
      </c>
      <c r="L83" s="248">
        <v>-0.75270922539638185</v>
      </c>
    </row>
    <row r="84" spans="1:12" ht="20" customHeight="1">
      <c r="A84" s="219">
        <v>6</v>
      </c>
      <c r="B84" s="219" t="s">
        <v>80</v>
      </c>
      <c r="C84" s="253">
        <v>270165</v>
      </c>
      <c r="D84" s="235">
        <v>12.506788162439269</v>
      </c>
      <c r="E84" s="235">
        <v>8.7828443557971969</v>
      </c>
      <c r="F84" s="235">
        <v>8.714214292887366</v>
      </c>
      <c r="G84" s="243">
        <v>6.8630062909830869E-2</v>
      </c>
      <c r="H84" s="250">
        <v>6.8630062909830869E-2</v>
      </c>
      <c r="I84" s="251">
        <v>6521.4000000000042</v>
      </c>
      <c r="J84" s="251">
        <v>6088.848685838705</v>
      </c>
      <c r="K84" s="246">
        <v>-6.6327983893228276E-2</v>
      </c>
      <c r="L84" s="254">
        <v>-0.68407916248655098</v>
      </c>
    </row>
    <row r="85" spans="1:12" ht="20" customHeight="1">
      <c r="A85" s="222">
        <v>7</v>
      </c>
      <c r="B85" s="222" t="s">
        <v>81</v>
      </c>
      <c r="C85" s="247">
        <v>274363.99999999988</v>
      </c>
      <c r="D85" s="230">
        <v>12.522210970891731</v>
      </c>
      <c r="E85" s="230">
        <v>8.8261180301366693</v>
      </c>
      <c r="F85" s="230">
        <v>8.7349371409429288</v>
      </c>
      <c r="G85" s="249">
        <v>9.1180889193740455E-2</v>
      </c>
      <c r="H85" s="244">
        <v>9.1180889193740455E-2</v>
      </c>
      <c r="I85" s="245">
        <v>6809.8000000000029</v>
      </c>
      <c r="J85" s="245">
        <v>6216.3434366212487</v>
      </c>
      <c r="K85" s="252">
        <v>-8.7147429201849397E-2</v>
      </c>
      <c r="L85" s="248">
        <v>-0.59289827329281053</v>
      </c>
    </row>
    <row r="86" spans="1:12" ht="20" customHeight="1">
      <c r="A86" s="219">
        <v>8</v>
      </c>
      <c r="B86" s="219" t="s">
        <v>82</v>
      </c>
      <c r="C86" s="253">
        <v>264646.99999999988</v>
      </c>
      <c r="D86" s="235">
        <v>12.486152141495451</v>
      </c>
      <c r="E86" s="235">
        <v>8.9077206191601768</v>
      </c>
      <c r="F86" s="235">
        <v>8.6864867147482592</v>
      </c>
      <c r="G86" s="249">
        <v>0.22123390441191759</v>
      </c>
      <c r="H86" s="250">
        <v>0.22123390441191759</v>
      </c>
      <c r="I86" s="251">
        <v>7388.8000000000038</v>
      </c>
      <c r="J86" s="251">
        <v>5922.3387841357362</v>
      </c>
      <c r="K86" s="252">
        <v>-0.1984708228486719</v>
      </c>
      <c r="L86" s="254">
        <v>-0.37166436888089288</v>
      </c>
    </row>
    <row r="87" spans="1:12" ht="20" customHeight="1">
      <c r="A87" s="222">
        <v>9</v>
      </c>
      <c r="B87" s="222" t="s">
        <v>83</v>
      </c>
      <c r="C87" s="247">
        <v>268978.00000000017</v>
      </c>
      <c r="D87" s="230">
        <v>12.502384870852829</v>
      </c>
      <c r="E87" s="230">
        <v>8.888398062839288</v>
      </c>
      <c r="F87" s="230">
        <v>8.7082978125802128</v>
      </c>
      <c r="G87" s="249">
        <v>0.1801002502590752</v>
      </c>
      <c r="H87" s="244">
        <v>0.1801002502590752</v>
      </c>
      <c r="I87" s="245">
        <v>7247.4000000000024</v>
      </c>
      <c r="J87" s="245">
        <v>6052.930491914738</v>
      </c>
      <c r="K87" s="252">
        <v>-0.16481352044667941</v>
      </c>
      <c r="L87" s="248">
        <v>-0.1915641186218178</v>
      </c>
    </row>
    <row r="88" spans="1:12" ht="20" customHeight="1">
      <c r="A88" s="219">
        <v>10</v>
      </c>
      <c r="B88" s="219" t="s">
        <v>84</v>
      </c>
      <c r="C88" s="253">
        <v>281118.99999999983</v>
      </c>
      <c r="D88" s="235">
        <v>12.546533346214821</v>
      </c>
      <c r="E88" s="235">
        <v>8.9957104764271776</v>
      </c>
      <c r="F88" s="235">
        <v>8.7676178871069261</v>
      </c>
      <c r="G88" s="249">
        <v>0.22809258932025139</v>
      </c>
      <c r="H88" s="250">
        <v>0.22809258932025139</v>
      </c>
      <c r="I88" s="251">
        <v>8068.4</v>
      </c>
      <c r="J88" s="251">
        <v>6422.8542628143896</v>
      </c>
      <c r="K88" s="252">
        <v>-0.2039494493562056</v>
      </c>
      <c r="L88" s="254">
        <v>3.6528470698433679E-2</v>
      </c>
    </row>
    <row r="89" spans="1:12" ht="20" customHeight="1">
      <c r="A89" s="222">
        <v>11</v>
      </c>
      <c r="B89" s="222" t="s">
        <v>88</v>
      </c>
      <c r="C89" s="247">
        <v>413277.00000000029</v>
      </c>
      <c r="D89" s="230">
        <v>12.93187334930216</v>
      </c>
      <c r="E89" s="230">
        <v>9.2874032597776157</v>
      </c>
      <c r="F89" s="230">
        <v>9.2853797693427325</v>
      </c>
      <c r="G89" s="255">
        <v>2.0234904348832572E-3</v>
      </c>
      <c r="H89" s="244">
        <v>2.0234904348832572E-3</v>
      </c>
      <c r="I89" s="245">
        <v>10801.100000000009</v>
      </c>
      <c r="J89" s="245">
        <v>10779.26617518153</v>
      </c>
      <c r="K89" s="256">
        <v>-2.0214445582831218E-3</v>
      </c>
      <c r="L89" s="248">
        <v>3.8551961133316943E-2</v>
      </c>
    </row>
    <row r="90" spans="1:12" ht="20" customHeight="1">
      <c r="A90" s="219">
        <v>12</v>
      </c>
      <c r="B90" s="219" t="s">
        <v>89</v>
      </c>
      <c r="C90" s="253">
        <v>409922.99999999983</v>
      </c>
      <c r="D90" s="235">
        <v>12.9237246161649</v>
      </c>
      <c r="E90" s="235">
        <v>9.2667963169203986</v>
      </c>
      <c r="F90" s="235">
        <v>9.2744307285652816</v>
      </c>
      <c r="G90" s="255">
        <v>-7.634411644882988E-3</v>
      </c>
      <c r="H90" s="250">
        <v>7.634411644882988E-3</v>
      </c>
      <c r="I90" s="251">
        <v>10580.80000000001</v>
      </c>
      <c r="J90" s="251">
        <v>10661.887315864091</v>
      </c>
      <c r="K90" s="256">
        <v>7.6636280682066214E-3</v>
      </c>
      <c r="L90" s="254">
        <v>3.0917549488433949E-2</v>
      </c>
    </row>
    <row r="91" spans="1:12" ht="20" customHeight="1">
      <c r="A91" s="222">
        <v>13</v>
      </c>
      <c r="B91" s="222" t="s">
        <v>90</v>
      </c>
      <c r="C91" s="247">
        <v>405708.99999999983</v>
      </c>
      <c r="D91" s="230">
        <v>12.91339143282819</v>
      </c>
      <c r="E91" s="230">
        <v>9.2540414180472776</v>
      </c>
      <c r="F91" s="230">
        <v>9.2605465524843282</v>
      </c>
      <c r="G91" s="255">
        <v>-6.5051344370505859E-3</v>
      </c>
      <c r="H91" s="244">
        <v>6.5051344370505859E-3</v>
      </c>
      <c r="I91" s="245">
        <v>10446.700000000001</v>
      </c>
      <c r="J91" s="245">
        <v>10514.87870331388</v>
      </c>
      <c r="K91" s="256">
        <v>6.526338778166817E-3</v>
      </c>
      <c r="L91" s="248">
        <v>2.4412415051383359E-2</v>
      </c>
    </row>
    <row r="92" spans="1:12" ht="20" customHeight="1">
      <c r="A92" s="219">
        <v>14</v>
      </c>
      <c r="B92" s="219" t="s">
        <v>91</v>
      </c>
      <c r="C92" s="253">
        <v>431499.99999999983</v>
      </c>
      <c r="D92" s="235">
        <v>12.975022789505619</v>
      </c>
      <c r="E92" s="235">
        <v>9.2740379145904246</v>
      </c>
      <c r="F92" s="235">
        <v>9.3433574908306838</v>
      </c>
      <c r="G92" s="243">
        <v>-6.9319576240259195E-2</v>
      </c>
      <c r="H92" s="250">
        <v>6.9319576240259195E-2</v>
      </c>
      <c r="I92" s="251">
        <v>10657.7</v>
      </c>
      <c r="J92" s="251">
        <v>11422.695525097921</v>
      </c>
      <c r="K92" s="246">
        <v>7.1778669421912106E-2</v>
      </c>
      <c r="L92" s="254">
        <v>-4.4907161188875833E-2</v>
      </c>
    </row>
    <row r="93" spans="1:12" ht="20" customHeight="1">
      <c r="A93" s="257">
        <v>15</v>
      </c>
      <c r="B93" s="258" t="s">
        <v>92</v>
      </c>
      <c r="C93" s="262">
        <v>447358.99999999988</v>
      </c>
      <c r="D93" s="259">
        <v>13.011116683248829</v>
      </c>
      <c r="E93" s="259">
        <v>9.5368055618501977</v>
      </c>
      <c r="F93" s="259">
        <v>9.3918550312157443</v>
      </c>
      <c r="G93" s="249">
        <v>0.1449505306344534</v>
      </c>
      <c r="H93" s="260">
        <v>0.1449505306344534</v>
      </c>
      <c r="I93" s="261">
        <v>13860.6</v>
      </c>
      <c r="J93" s="261">
        <v>11990.32113479876</v>
      </c>
      <c r="K93" s="252">
        <v>-0.13493491372676841</v>
      </c>
      <c r="L93" s="263">
        <v>0.1000433694455776</v>
      </c>
    </row>
    <row r="94" spans="1:12" ht="20" customHeight="1">
      <c r="A94" s="257">
        <v>16</v>
      </c>
      <c r="B94" s="258" t="s">
        <v>93</v>
      </c>
      <c r="C94" s="262">
        <v>486257.99999999988</v>
      </c>
      <c r="D94" s="259">
        <v>13.094494626221611</v>
      </c>
      <c r="E94" s="259">
        <v>9.5121620079816829</v>
      </c>
      <c r="F94" s="259">
        <v>9.5038857582221752</v>
      </c>
      <c r="G94" s="255">
        <v>8.2762497595076923E-3</v>
      </c>
      <c r="H94" s="260">
        <v>8.2762497595076923E-3</v>
      </c>
      <c r="I94" s="261">
        <v>13523.2</v>
      </c>
      <c r="J94" s="261">
        <v>13411.74048884148</v>
      </c>
      <c r="K94" s="256">
        <v>-8.2420958913956913E-3</v>
      </c>
      <c r="L94" s="263">
        <v>0.1083196192050853</v>
      </c>
    </row>
    <row r="95" spans="1:12" ht="20" customHeight="1">
      <c r="A95" s="257">
        <v>17</v>
      </c>
      <c r="B95" s="258" t="s">
        <v>94</v>
      </c>
      <c r="C95" s="262">
        <v>541639.00000000023</v>
      </c>
      <c r="D95" s="259">
        <v>13.20235500685032</v>
      </c>
      <c r="E95" s="259">
        <v>9.5404926798525764</v>
      </c>
      <c r="F95" s="259">
        <v>9.6488122990576777</v>
      </c>
      <c r="G95" s="249">
        <v>-0.10831961920510121</v>
      </c>
      <c r="H95" s="260">
        <v>0.10831961920510121</v>
      </c>
      <c r="I95" s="261">
        <v>13911.8</v>
      </c>
      <c r="J95" s="261">
        <v>15503.363805283459</v>
      </c>
      <c r="K95" s="252">
        <v>0.11440387335092971</v>
      </c>
      <c r="L95" s="263">
        <v>-1.5987211554602251E-14</v>
      </c>
    </row>
    <row r="96" spans="1:12" ht="24" customHeight="1">
      <c r="A96" s="320" t="s">
        <v>3128</v>
      </c>
      <c r="B96" s="320"/>
      <c r="C96" s="320"/>
      <c r="D96" s="320"/>
      <c r="E96" s="320"/>
      <c r="F96" s="320"/>
      <c r="G96" s="264">
        <v>0.1191766317952561</v>
      </c>
    </row>
    <row r="98" spans="1:12" ht="28.05" customHeight="1">
      <c r="A98" s="321" t="s">
        <v>3129</v>
      </c>
      <c r="B98" s="321"/>
      <c r="C98" s="321"/>
      <c r="D98" s="321"/>
      <c r="E98" s="321"/>
      <c r="F98" s="321"/>
      <c r="G98" s="321"/>
      <c r="H98" s="321"/>
      <c r="I98" s="321"/>
      <c r="J98" s="321"/>
      <c r="K98" s="321"/>
      <c r="L98" s="321"/>
    </row>
    <row r="99" spans="1:12" ht="24" customHeight="1">
      <c r="A99" s="242" t="s">
        <v>2920</v>
      </c>
      <c r="B99" s="242" t="s">
        <v>3026</v>
      </c>
      <c r="C99" s="242" t="s">
        <v>3122</v>
      </c>
      <c r="D99" s="242" t="s">
        <v>3027</v>
      </c>
      <c r="E99" s="242" t="s">
        <v>3028</v>
      </c>
      <c r="F99" s="242" t="s">
        <v>3029</v>
      </c>
      <c r="G99" s="242" t="s">
        <v>3123</v>
      </c>
      <c r="H99" s="242" t="s">
        <v>3031</v>
      </c>
      <c r="I99" s="242" t="s">
        <v>3032</v>
      </c>
      <c r="J99" s="242" t="s">
        <v>3124</v>
      </c>
      <c r="K99" s="242" t="s">
        <v>3034</v>
      </c>
      <c r="L99" s="242" t="s">
        <v>3125</v>
      </c>
    </row>
    <row r="100" spans="1:12" ht="20" customHeight="1">
      <c r="A100" s="222">
        <v>1</v>
      </c>
      <c r="B100" s="222" t="s">
        <v>72</v>
      </c>
      <c r="C100" s="247">
        <v>162538.00000000009</v>
      </c>
      <c r="D100" s="230">
        <v>11.99866709956803</v>
      </c>
      <c r="E100" s="230">
        <v>8.0050333446371109</v>
      </c>
      <c r="F100" s="230">
        <v>8.0976473713524157</v>
      </c>
      <c r="G100" s="249">
        <v>-9.2614026715304831E-2</v>
      </c>
      <c r="H100" s="244">
        <v>9.2614026715304831E-2</v>
      </c>
      <c r="I100" s="245">
        <v>2996.0000000000018</v>
      </c>
      <c r="J100" s="245">
        <v>3286.7265253781188</v>
      </c>
      <c r="K100" s="252">
        <v>9.7038226094164487E-2</v>
      </c>
      <c r="L100" s="248">
        <v>-9.2614026715304831E-2</v>
      </c>
    </row>
    <row r="101" spans="1:12" ht="20" customHeight="1">
      <c r="A101" s="219">
        <v>2</v>
      </c>
      <c r="B101" s="219" t="s">
        <v>73</v>
      </c>
      <c r="C101" s="253">
        <v>306848</v>
      </c>
      <c r="D101" s="235">
        <v>12.63410778995341</v>
      </c>
      <c r="E101" s="235">
        <v>8.4018496777050089</v>
      </c>
      <c r="F101" s="235">
        <v>8.7514181885158173</v>
      </c>
      <c r="G101" s="249">
        <v>-0.34956851081080842</v>
      </c>
      <c r="H101" s="250">
        <v>0.34956851081080842</v>
      </c>
      <c r="I101" s="251">
        <v>4455.2999999999984</v>
      </c>
      <c r="J101" s="251">
        <v>6319.6442027050007</v>
      </c>
      <c r="K101" s="252">
        <v>0.41845536837137859</v>
      </c>
      <c r="L101" s="254">
        <v>-0.44218253752611331</v>
      </c>
    </row>
    <row r="102" spans="1:12" ht="20" customHeight="1">
      <c r="A102" s="222">
        <v>3</v>
      </c>
      <c r="B102" s="222" t="s">
        <v>75</v>
      </c>
      <c r="C102" s="247">
        <v>295437</v>
      </c>
      <c r="D102" s="230">
        <v>12.596210895128831</v>
      </c>
      <c r="E102" s="230">
        <v>8.4240466692157234</v>
      </c>
      <c r="F102" s="230">
        <v>8.7124281076596546</v>
      </c>
      <c r="G102" s="249">
        <v>-0.28838143844393122</v>
      </c>
      <c r="H102" s="244">
        <v>0.28838143844393122</v>
      </c>
      <c r="I102" s="245">
        <v>4555.3000000000029</v>
      </c>
      <c r="J102" s="245">
        <v>6077.9825815887234</v>
      </c>
      <c r="K102" s="252">
        <v>0.33426614747408939</v>
      </c>
      <c r="L102" s="248">
        <v>-0.73056397597004441</v>
      </c>
    </row>
    <row r="103" spans="1:12" ht="20" customHeight="1">
      <c r="A103" s="219">
        <v>4</v>
      </c>
      <c r="B103" s="219" t="s">
        <v>78</v>
      </c>
      <c r="C103" s="253">
        <v>263066.00000000017</v>
      </c>
      <c r="D103" s="235">
        <v>12.480160230247421</v>
      </c>
      <c r="E103" s="235">
        <v>8.5443997146544231</v>
      </c>
      <c r="F103" s="235">
        <v>8.5930298079287049</v>
      </c>
      <c r="G103" s="243">
        <v>-4.8630093274281798E-2</v>
      </c>
      <c r="H103" s="250">
        <v>4.8630093274281798E-2</v>
      </c>
      <c r="I103" s="251">
        <v>5137.8999999999987</v>
      </c>
      <c r="J103" s="251">
        <v>5393.9315194460933</v>
      </c>
      <c r="K103" s="246">
        <v>4.9831939011287608E-2</v>
      </c>
      <c r="L103" s="254">
        <v>-0.77919406924432622</v>
      </c>
    </row>
    <row r="104" spans="1:12" ht="20" customHeight="1">
      <c r="A104" s="222">
        <v>5</v>
      </c>
      <c r="B104" s="222" t="s">
        <v>79</v>
      </c>
      <c r="C104" s="247">
        <v>266747.99999999988</v>
      </c>
      <c r="D104" s="230">
        <v>12.49405967147891</v>
      </c>
      <c r="E104" s="230">
        <v>8.5655070516947873</v>
      </c>
      <c r="F104" s="230">
        <v>8.6073301969178289</v>
      </c>
      <c r="G104" s="243">
        <v>-4.1823145223041543E-2</v>
      </c>
      <c r="H104" s="244">
        <v>4.1823145223041543E-2</v>
      </c>
      <c r="I104" s="245">
        <v>5247.4999999999964</v>
      </c>
      <c r="J104" s="245">
        <v>5471.6210093567506</v>
      </c>
      <c r="K104" s="246">
        <v>4.2710054188995601E-2</v>
      </c>
      <c r="L104" s="248">
        <v>-0.82101721446736775</v>
      </c>
    </row>
    <row r="105" spans="1:12" ht="20" customHeight="1">
      <c r="A105" s="219">
        <v>6</v>
      </c>
      <c r="B105" s="219" t="s">
        <v>80</v>
      </c>
      <c r="C105" s="253">
        <v>270165</v>
      </c>
      <c r="D105" s="235">
        <v>12.506788162439269</v>
      </c>
      <c r="E105" s="235">
        <v>8.5868125332962943</v>
      </c>
      <c r="F105" s="235">
        <v>8.6204258580272288</v>
      </c>
      <c r="G105" s="255">
        <v>-3.361332473093448E-2</v>
      </c>
      <c r="H105" s="250">
        <v>3.361332473093448E-2</v>
      </c>
      <c r="I105" s="251">
        <v>5360.4999999999991</v>
      </c>
      <c r="J105" s="251">
        <v>5543.746740105983</v>
      </c>
      <c r="K105" s="256">
        <v>3.4184635781360682E-2</v>
      </c>
      <c r="L105" s="254">
        <v>-0.85463053919830223</v>
      </c>
    </row>
    <row r="106" spans="1:12" ht="20" customHeight="1">
      <c r="A106" s="222">
        <v>7</v>
      </c>
      <c r="B106" s="222" t="s">
        <v>81</v>
      </c>
      <c r="C106" s="247">
        <v>274363.99999999988</v>
      </c>
      <c r="D106" s="230">
        <v>12.522210970891731</v>
      </c>
      <c r="E106" s="230">
        <v>8.692020066447931</v>
      </c>
      <c r="F106" s="230">
        <v>8.6362935577787248</v>
      </c>
      <c r="G106" s="243">
        <v>5.5726508669206247E-2</v>
      </c>
      <c r="H106" s="244">
        <v>5.5726508669206247E-2</v>
      </c>
      <c r="I106" s="245">
        <v>5955.1999999999962</v>
      </c>
      <c r="J106" s="245">
        <v>5632.4148680662383</v>
      </c>
      <c r="K106" s="246">
        <v>-5.4202231987801927E-2</v>
      </c>
      <c r="L106" s="248">
        <v>-0.79890403052909598</v>
      </c>
    </row>
    <row r="107" spans="1:12" ht="20" customHeight="1">
      <c r="A107" s="219">
        <v>8</v>
      </c>
      <c r="B107" s="219" t="s">
        <v>82</v>
      </c>
      <c r="C107" s="253">
        <v>264646.99999999988</v>
      </c>
      <c r="D107" s="235">
        <v>12.486152141495451</v>
      </c>
      <c r="E107" s="235">
        <v>8.8434852136202231</v>
      </c>
      <c r="F107" s="235">
        <v>8.5991945637781022</v>
      </c>
      <c r="G107" s="249">
        <v>0.2442906498421209</v>
      </c>
      <c r="H107" s="250">
        <v>0.2442906498421209</v>
      </c>
      <c r="I107" s="251">
        <v>6929.0999999999995</v>
      </c>
      <c r="J107" s="251">
        <v>5427.2864973436526</v>
      </c>
      <c r="K107" s="252">
        <v>-0.21674005320407361</v>
      </c>
      <c r="L107" s="254">
        <v>-0.55461338068697508</v>
      </c>
    </row>
    <row r="108" spans="1:12" ht="20" customHeight="1">
      <c r="A108" s="222">
        <v>9</v>
      </c>
      <c r="B108" s="222" t="s">
        <v>83</v>
      </c>
      <c r="C108" s="247">
        <v>268978.00000000017</v>
      </c>
      <c r="D108" s="230">
        <v>12.502384870852829</v>
      </c>
      <c r="E108" s="230">
        <v>8.8470004089186656</v>
      </c>
      <c r="F108" s="230">
        <v>8.6158955476737553</v>
      </c>
      <c r="G108" s="249">
        <v>0.23110486124491031</v>
      </c>
      <c r="H108" s="244">
        <v>0.23110486124491031</v>
      </c>
      <c r="I108" s="245">
        <v>6953.5</v>
      </c>
      <c r="J108" s="245">
        <v>5518.6886501714498</v>
      </c>
      <c r="K108" s="252">
        <v>-0.20634376210952041</v>
      </c>
      <c r="L108" s="248">
        <v>-0.32350851944206482</v>
      </c>
    </row>
    <row r="109" spans="1:12" ht="20" customHeight="1">
      <c r="A109" s="219">
        <v>10</v>
      </c>
      <c r="B109" s="219" t="s">
        <v>84</v>
      </c>
      <c r="C109" s="253">
        <v>281118.99999999983</v>
      </c>
      <c r="D109" s="235">
        <v>12.546533346214821</v>
      </c>
      <c r="E109" s="235">
        <v>8.9568664708541395</v>
      </c>
      <c r="F109" s="235">
        <v>8.6613175441726256</v>
      </c>
      <c r="G109" s="249">
        <v>0.29554892668151389</v>
      </c>
      <c r="H109" s="250">
        <v>0.29554892668151389</v>
      </c>
      <c r="I109" s="251">
        <v>7761.0000000000045</v>
      </c>
      <c r="J109" s="251">
        <v>5775.1386523841275</v>
      </c>
      <c r="K109" s="252">
        <v>-0.2558769936368866</v>
      </c>
      <c r="L109" s="254">
        <v>-2.795959276055093E-2</v>
      </c>
    </row>
    <row r="110" spans="1:12" ht="20" customHeight="1">
      <c r="A110" s="222">
        <v>11</v>
      </c>
      <c r="B110" s="222" t="s">
        <v>88</v>
      </c>
      <c r="C110" s="247">
        <v>413277.00000000029</v>
      </c>
      <c r="D110" s="230">
        <v>12.93187334930216</v>
      </c>
      <c r="E110" s="230">
        <v>8.9863714801621857</v>
      </c>
      <c r="F110" s="230">
        <v>9.0577731890753306</v>
      </c>
      <c r="G110" s="243">
        <v>-7.1401708913144901E-2</v>
      </c>
      <c r="H110" s="244">
        <v>7.1401708913144901E-2</v>
      </c>
      <c r="I110" s="245">
        <v>7993.4000000000033</v>
      </c>
      <c r="J110" s="245">
        <v>8585.0121541687367</v>
      </c>
      <c r="K110" s="246">
        <v>7.4012579649302329E-2</v>
      </c>
      <c r="L110" s="248">
        <v>-9.9361301673695834E-2</v>
      </c>
    </row>
    <row r="111" spans="1:12" ht="20" customHeight="1">
      <c r="A111" s="219">
        <v>12</v>
      </c>
      <c r="B111" s="219" t="s">
        <v>89</v>
      </c>
      <c r="C111" s="253">
        <v>409922.99999999983</v>
      </c>
      <c r="D111" s="235">
        <v>12.9237246161649</v>
      </c>
      <c r="E111" s="235">
        <v>8.9888704194139812</v>
      </c>
      <c r="F111" s="235">
        <v>9.0493893949579522</v>
      </c>
      <c r="G111" s="243">
        <v>-6.051897554397101E-2</v>
      </c>
      <c r="H111" s="250">
        <v>6.051897554397101E-2</v>
      </c>
      <c r="I111" s="251">
        <v>8013.399999999996</v>
      </c>
      <c r="J111" s="251">
        <v>8513.3380500578533</v>
      </c>
      <c r="K111" s="246">
        <v>6.23877567646514E-2</v>
      </c>
      <c r="L111" s="254">
        <v>-0.15988027721766679</v>
      </c>
    </row>
    <row r="112" spans="1:12" ht="20" customHeight="1">
      <c r="A112" s="222">
        <v>13</v>
      </c>
      <c r="B112" s="222" t="s">
        <v>90</v>
      </c>
      <c r="C112" s="247">
        <v>405708.99999999983</v>
      </c>
      <c r="D112" s="230">
        <v>12.91339143282819</v>
      </c>
      <c r="E112" s="230">
        <v>9.1081304435576023</v>
      </c>
      <c r="F112" s="230">
        <v>9.0387581372872496</v>
      </c>
      <c r="G112" s="243">
        <v>6.9372306270352624E-2</v>
      </c>
      <c r="H112" s="244">
        <v>6.9372306270352624E-2</v>
      </c>
      <c r="I112" s="245">
        <v>9028.4000000000069</v>
      </c>
      <c r="J112" s="245">
        <v>8423.3099634433274</v>
      </c>
      <c r="K112" s="246">
        <v>-6.7020738619985712E-2</v>
      </c>
      <c r="L112" s="248">
        <v>-9.050797094731422E-2</v>
      </c>
    </row>
    <row r="113" spans="1:12" ht="20" customHeight="1">
      <c r="A113" s="219">
        <v>14</v>
      </c>
      <c r="B113" s="219" t="s">
        <v>91</v>
      </c>
      <c r="C113" s="253">
        <v>431499.99999999983</v>
      </c>
      <c r="D113" s="235">
        <v>12.975022789505619</v>
      </c>
      <c r="E113" s="235">
        <v>9.1096024888037999</v>
      </c>
      <c r="F113" s="235">
        <v>9.1021673319257808</v>
      </c>
      <c r="G113" s="255">
        <v>7.4351568780191002E-3</v>
      </c>
      <c r="H113" s="250">
        <v>7.4351568780191002E-3</v>
      </c>
      <c r="I113" s="251">
        <v>9041.6999999999989</v>
      </c>
      <c r="J113" s="251">
        <v>8974.7228434389945</v>
      </c>
      <c r="K113" s="256">
        <v>-7.4075844764816857E-3</v>
      </c>
      <c r="L113" s="254">
        <v>-8.307281406929512E-2</v>
      </c>
    </row>
    <row r="114" spans="1:12" ht="20" customHeight="1">
      <c r="A114" s="257">
        <v>15</v>
      </c>
      <c r="B114" s="258" t="s">
        <v>92</v>
      </c>
      <c r="C114" s="262">
        <v>447358.99999999988</v>
      </c>
      <c r="D114" s="259">
        <v>13.011116683248829</v>
      </c>
      <c r="E114" s="259">
        <v>9.2319746541013323</v>
      </c>
      <c r="F114" s="259">
        <v>9.1393024017507862</v>
      </c>
      <c r="G114" s="249">
        <v>9.2672252350546103E-2</v>
      </c>
      <c r="H114" s="260">
        <v>9.2672252350546103E-2</v>
      </c>
      <c r="I114" s="261">
        <v>10218.700000000001</v>
      </c>
      <c r="J114" s="261">
        <v>9314.2652498105326</v>
      </c>
      <c r="K114" s="252">
        <v>-8.8507809231063286E-2</v>
      </c>
      <c r="L114" s="263">
        <v>9.5994382812509826E-3</v>
      </c>
    </row>
    <row r="115" spans="1:12" ht="20" customHeight="1">
      <c r="A115" s="257">
        <v>16</v>
      </c>
      <c r="B115" s="258" t="s">
        <v>93</v>
      </c>
      <c r="C115" s="262">
        <v>486257.99999999988</v>
      </c>
      <c r="D115" s="259">
        <v>13.094494626221611</v>
      </c>
      <c r="E115" s="259">
        <v>9.2371672906798636</v>
      </c>
      <c r="F115" s="259">
        <v>9.2250854917157312</v>
      </c>
      <c r="G115" s="255">
        <v>1.2081798964132419E-2</v>
      </c>
      <c r="H115" s="260">
        <v>1.2081798964132419E-2</v>
      </c>
      <c r="I115" s="261">
        <v>10271.900000000011</v>
      </c>
      <c r="J115" s="261">
        <v>10148.543653034971</v>
      </c>
      <c r="K115" s="256">
        <v>-1.200910707513151E-2</v>
      </c>
      <c r="L115" s="263">
        <v>2.16812372453834E-2</v>
      </c>
    </row>
    <row r="116" spans="1:12" ht="20" customHeight="1">
      <c r="A116" s="257">
        <v>17</v>
      </c>
      <c r="B116" s="258" t="s">
        <v>94</v>
      </c>
      <c r="C116" s="262">
        <v>541639.00000000023</v>
      </c>
      <c r="D116" s="259">
        <v>13.20235500685032</v>
      </c>
      <c r="E116" s="259">
        <v>9.3143760103715927</v>
      </c>
      <c r="F116" s="259">
        <v>9.3360572476170063</v>
      </c>
      <c r="G116" s="255">
        <v>-2.1681237245413602E-2</v>
      </c>
      <c r="H116" s="260">
        <v>2.1681237245413602E-2</v>
      </c>
      <c r="I116" s="261">
        <v>11096.399999999991</v>
      </c>
      <c r="J116" s="261">
        <v>11339.61070828405</v>
      </c>
      <c r="K116" s="256">
        <v>2.191798315526259E-2</v>
      </c>
      <c r="L116" s="263">
        <v>-3.0198066269804258E-14</v>
      </c>
    </row>
    <row r="117" spans="1:12" ht="24" customHeight="1">
      <c r="A117" s="320" t="s">
        <v>3130</v>
      </c>
      <c r="B117" s="320"/>
      <c r="C117" s="320"/>
      <c r="D117" s="320"/>
      <c r="E117" s="320"/>
      <c r="F117" s="320"/>
      <c r="G117" s="264">
        <v>0.1186155836353902</v>
      </c>
    </row>
    <row r="119" spans="1:12" ht="28.05" customHeight="1">
      <c r="A119" s="321" t="s">
        <v>3131</v>
      </c>
      <c r="B119" s="321"/>
      <c r="C119" s="321"/>
      <c r="D119" s="321"/>
      <c r="E119" s="321"/>
      <c r="F119" s="321"/>
      <c r="G119" s="321"/>
      <c r="H119" s="321"/>
      <c r="I119" s="321"/>
      <c r="J119" s="321"/>
      <c r="K119" s="321"/>
      <c r="L119" s="321"/>
    </row>
    <row r="120" spans="1:12" ht="24" customHeight="1">
      <c r="A120" s="242" t="s">
        <v>2920</v>
      </c>
      <c r="B120" s="242" t="s">
        <v>3026</v>
      </c>
      <c r="C120" s="242" t="s">
        <v>3122</v>
      </c>
      <c r="D120" s="242" t="s">
        <v>3027</v>
      </c>
      <c r="E120" s="242" t="s">
        <v>3028</v>
      </c>
      <c r="F120" s="242" t="s">
        <v>3029</v>
      </c>
      <c r="G120" s="242" t="s">
        <v>3123</v>
      </c>
      <c r="H120" s="242" t="s">
        <v>3031</v>
      </c>
      <c r="I120" s="242" t="s">
        <v>3032</v>
      </c>
      <c r="J120" s="242" t="s">
        <v>3124</v>
      </c>
      <c r="K120" s="242" t="s">
        <v>3034</v>
      </c>
      <c r="L120" s="242" t="s">
        <v>3125</v>
      </c>
    </row>
    <row r="121" spans="1:12" ht="20" customHeight="1">
      <c r="A121" s="222">
        <v>1</v>
      </c>
      <c r="B121" s="222" t="s">
        <v>72</v>
      </c>
      <c r="C121" s="247">
        <v>162538.00000000009</v>
      </c>
      <c r="D121" s="230">
        <v>11.99866709956803</v>
      </c>
      <c r="E121" s="230">
        <v>7.0747093586449701</v>
      </c>
      <c r="F121" s="230">
        <v>6.9974655069311371</v>
      </c>
      <c r="G121" s="243">
        <v>7.7243851713832967E-2</v>
      </c>
      <c r="H121" s="244">
        <v>7.7243851713832967E-2</v>
      </c>
      <c r="I121" s="245">
        <v>1181.7</v>
      </c>
      <c r="J121" s="245">
        <v>1093.857268512159</v>
      </c>
      <c r="K121" s="246">
        <v>-7.4335898694965596E-2</v>
      </c>
      <c r="L121" s="248">
        <v>7.7243851713832967E-2</v>
      </c>
    </row>
    <row r="122" spans="1:12" ht="20" customHeight="1">
      <c r="A122" s="219">
        <v>2</v>
      </c>
      <c r="B122" s="219" t="s">
        <v>73</v>
      </c>
      <c r="C122" s="253">
        <v>306848</v>
      </c>
      <c r="D122" s="235">
        <v>12.63410778995341</v>
      </c>
      <c r="E122" s="235">
        <v>7.5613817013797986</v>
      </c>
      <c r="F122" s="235">
        <v>7.9970796507931627</v>
      </c>
      <c r="G122" s="249">
        <v>-0.43569794941336332</v>
      </c>
      <c r="H122" s="250">
        <v>0.43569794941336332</v>
      </c>
      <c r="I122" s="251">
        <v>1922.5000000000009</v>
      </c>
      <c r="J122" s="251">
        <v>2972.2652478436239</v>
      </c>
      <c r="K122" s="252">
        <v>0.54604174140110429</v>
      </c>
      <c r="L122" s="254">
        <v>-0.35845409769953029</v>
      </c>
    </row>
    <row r="123" spans="1:12" ht="20" customHeight="1">
      <c r="A123" s="222">
        <v>3</v>
      </c>
      <c r="B123" s="222" t="s">
        <v>75</v>
      </c>
      <c r="C123" s="247">
        <v>295437</v>
      </c>
      <c r="D123" s="230">
        <v>12.596210895128831</v>
      </c>
      <c r="E123" s="230">
        <v>7.5674490832828631</v>
      </c>
      <c r="F123" s="230">
        <v>7.9374639027803529</v>
      </c>
      <c r="G123" s="249">
        <v>-0.37001481949748971</v>
      </c>
      <c r="H123" s="244">
        <v>0.37001481949748971</v>
      </c>
      <c r="I123" s="245">
        <v>1934.200000000001</v>
      </c>
      <c r="J123" s="245">
        <v>2800.2497896690411</v>
      </c>
      <c r="K123" s="252">
        <v>0.44775606952178698</v>
      </c>
      <c r="L123" s="248">
        <v>-0.72846891719702001</v>
      </c>
    </row>
    <row r="124" spans="1:12" ht="20" customHeight="1">
      <c r="A124" s="219">
        <v>4</v>
      </c>
      <c r="B124" s="219" t="s">
        <v>78</v>
      </c>
      <c r="C124" s="253">
        <v>263066.00000000017</v>
      </c>
      <c r="D124" s="235">
        <v>12.480160230247421</v>
      </c>
      <c r="E124" s="235">
        <v>7.7225447055241858</v>
      </c>
      <c r="F124" s="235">
        <v>7.7549041646721486</v>
      </c>
      <c r="G124" s="255">
        <v>-3.2359459147963683E-2</v>
      </c>
      <c r="H124" s="250">
        <v>3.2359459147963683E-2</v>
      </c>
      <c r="I124" s="251">
        <v>2258.6999999999989</v>
      </c>
      <c r="J124" s="251">
        <v>2332.9857515976391</v>
      </c>
      <c r="K124" s="256">
        <v>3.2888719882073668E-2</v>
      </c>
      <c r="L124" s="254">
        <v>-0.76082837634498368</v>
      </c>
    </row>
    <row r="125" spans="1:12" ht="20" customHeight="1">
      <c r="A125" s="222">
        <v>5</v>
      </c>
      <c r="B125" s="222" t="s">
        <v>79</v>
      </c>
      <c r="C125" s="247">
        <v>266747.99999999988</v>
      </c>
      <c r="D125" s="230">
        <v>12.49405967147891</v>
      </c>
      <c r="E125" s="230">
        <v>7.7690405718195628</v>
      </c>
      <c r="F125" s="230">
        <v>7.7767694280350508</v>
      </c>
      <c r="G125" s="255">
        <v>-7.7288562154880216E-3</v>
      </c>
      <c r="H125" s="244">
        <v>7.7288562154880216E-3</v>
      </c>
      <c r="I125" s="245">
        <v>2366.2000000000012</v>
      </c>
      <c r="J125" s="245">
        <v>2384.5588747394668</v>
      </c>
      <c r="K125" s="256">
        <v>7.7588009210827653E-3</v>
      </c>
      <c r="L125" s="248">
        <v>-0.7685572325604717</v>
      </c>
    </row>
    <row r="126" spans="1:12" ht="20" customHeight="1">
      <c r="A126" s="219">
        <v>6</v>
      </c>
      <c r="B126" s="219" t="s">
        <v>80</v>
      </c>
      <c r="C126" s="253">
        <v>270165</v>
      </c>
      <c r="D126" s="235">
        <v>12.506788162439269</v>
      </c>
      <c r="E126" s="235">
        <v>7.8204395152621808</v>
      </c>
      <c r="F126" s="235">
        <v>7.7967926651152526</v>
      </c>
      <c r="G126" s="255">
        <v>2.364685014692736E-2</v>
      </c>
      <c r="H126" s="250">
        <v>2.364685014692736E-2</v>
      </c>
      <c r="I126" s="251">
        <v>2491.0000000000009</v>
      </c>
      <c r="J126" s="251">
        <v>2432.7866895845182</v>
      </c>
      <c r="K126" s="256">
        <v>-2.3369454201318009E-2</v>
      </c>
      <c r="L126" s="254">
        <v>-0.74491038241354435</v>
      </c>
    </row>
    <row r="127" spans="1:12" ht="20" customHeight="1">
      <c r="A127" s="222">
        <v>7</v>
      </c>
      <c r="B127" s="222" t="s">
        <v>81</v>
      </c>
      <c r="C127" s="247">
        <v>274363.99999999988</v>
      </c>
      <c r="D127" s="230">
        <v>12.522210970891731</v>
      </c>
      <c r="E127" s="230">
        <v>7.8555059174745647</v>
      </c>
      <c r="F127" s="230">
        <v>7.8210543431922499</v>
      </c>
      <c r="G127" s="255">
        <v>3.4451574282314823E-2</v>
      </c>
      <c r="H127" s="244">
        <v>3.4451574282314823E-2</v>
      </c>
      <c r="I127" s="245">
        <v>2579.900000000001</v>
      </c>
      <c r="J127" s="245">
        <v>2492.5320072859772</v>
      </c>
      <c r="K127" s="256">
        <v>-3.3864875659530717E-2</v>
      </c>
      <c r="L127" s="248">
        <v>-0.71045880813122952</v>
      </c>
    </row>
    <row r="128" spans="1:12" ht="20" customHeight="1">
      <c r="A128" s="219">
        <v>8</v>
      </c>
      <c r="B128" s="219" t="s">
        <v>82</v>
      </c>
      <c r="C128" s="253">
        <v>264646.99999999988</v>
      </c>
      <c r="D128" s="235">
        <v>12.486152141495451</v>
      </c>
      <c r="E128" s="235">
        <v>7.9327210274819482</v>
      </c>
      <c r="F128" s="235">
        <v>7.7643300628290186</v>
      </c>
      <c r="G128" s="249">
        <v>0.16839096465292869</v>
      </c>
      <c r="H128" s="250">
        <v>0.16839096465292869</v>
      </c>
      <c r="I128" s="251">
        <v>2787</v>
      </c>
      <c r="J128" s="251">
        <v>2355.0802041370939</v>
      </c>
      <c r="K128" s="252">
        <v>-0.15497660418475259</v>
      </c>
      <c r="L128" s="254">
        <v>-0.54206784347830084</v>
      </c>
    </row>
    <row r="129" spans="1:12" ht="20" customHeight="1">
      <c r="A129" s="222">
        <v>9</v>
      </c>
      <c r="B129" s="222" t="s">
        <v>83</v>
      </c>
      <c r="C129" s="247">
        <v>268978.00000000017</v>
      </c>
      <c r="D129" s="230">
        <v>12.502384870852829</v>
      </c>
      <c r="E129" s="230">
        <v>7.9371603874865464</v>
      </c>
      <c r="F129" s="230">
        <v>7.7898658305326602</v>
      </c>
      <c r="G129" s="249">
        <v>0.1472945569538853</v>
      </c>
      <c r="H129" s="244">
        <v>0.1472945569538853</v>
      </c>
      <c r="I129" s="245">
        <v>2799.4</v>
      </c>
      <c r="J129" s="245">
        <v>2415.9934078997321</v>
      </c>
      <c r="K129" s="252">
        <v>-0.13696027438032021</v>
      </c>
      <c r="L129" s="248">
        <v>-0.39477328652441562</v>
      </c>
    </row>
    <row r="130" spans="1:12" ht="20" customHeight="1">
      <c r="A130" s="219">
        <v>10</v>
      </c>
      <c r="B130" s="219" t="s">
        <v>84</v>
      </c>
      <c r="C130" s="253">
        <v>281118.99999999983</v>
      </c>
      <c r="D130" s="235">
        <v>12.546533346214821</v>
      </c>
      <c r="E130" s="235">
        <v>7.9621369927368324</v>
      </c>
      <c r="F130" s="235">
        <v>7.8593159634396752</v>
      </c>
      <c r="G130" s="249">
        <v>0.10282102929715629</v>
      </c>
      <c r="H130" s="250">
        <v>0.10282102929715629</v>
      </c>
      <c r="I130" s="251">
        <v>2870.2</v>
      </c>
      <c r="J130" s="251">
        <v>2589.7482868847319</v>
      </c>
      <c r="K130" s="252">
        <v>-9.7711557771328797E-2</v>
      </c>
      <c r="L130" s="254">
        <v>-0.29195225722725932</v>
      </c>
    </row>
    <row r="131" spans="1:12" ht="20" customHeight="1">
      <c r="A131" s="222">
        <v>11</v>
      </c>
      <c r="B131" s="222" t="s">
        <v>88</v>
      </c>
      <c r="C131" s="247">
        <v>413277.00000000029</v>
      </c>
      <c r="D131" s="230">
        <v>12.93187334930216</v>
      </c>
      <c r="E131" s="230">
        <v>8.4047409219446543</v>
      </c>
      <c r="F131" s="230">
        <v>8.4654957739398906</v>
      </c>
      <c r="G131" s="243">
        <v>-6.0754851995236343E-2</v>
      </c>
      <c r="H131" s="244">
        <v>6.0754851995236343E-2</v>
      </c>
      <c r="I131" s="245">
        <v>4468.1999999999971</v>
      </c>
      <c r="J131" s="245">
        <v>4748.0808031502174</v>
      </c>
      <c r="K131" s="246">
        <v>6.263837857531436E-2</v>
      </c>
      <c r="L131" s="248">
        <v>-0.3527071092224956</v>
      </c>
    </row>
    <row r="132" spans="1:12" ht="20" customHeight="1">
      <c r="A132" s="219">
        <v>12</v>
      </c>
      <c r="B132" s="219" t="s">
        <v>89</v>
      </c>
      <c r="C132" s="253">
        <v>409922.99999999983</v>
      </c>
      <c r="D132" s="235">
        <v>12.9237246161649</v>
      </c>
      <c r="E132" s="235">
        <v>8.4897192144154818</v>
      </c>
      <c r="F132" s="235">
        <v>8.4526769711439531</v>
      </c>
      <c r="G132" s="255">
        <v>3.7042243271528719E-2</v>
      </c>
      <c r="H132" s="250">
        <v>3.7042243271528719E-2</v>
      </c>
      <c r="I132" s="251">
        <v>4864.4999999999973</v>
      </c>
      <c r="J132" s="251">
        <v>4687.6045364716547</v>
      </c>
      <c r="K132" s="256">
        <v>-3.6364572623772781E-2</v>
      </c>
      <c r="L132" s="254">
        <v>-0.31566486595096688</v>
      </c>
    </row>
    <row r="133" spans="1:12" ht="20" customHeight="1">
      <c r="A133" s="222">
        <v>13</v>
      </c>
      <c r="B133" s="222" t="s">
        <v>90</v>
      </c>
      <c r="C133" s="247">
        <v>405708.99999999983</v>
      </c>
      <c r="D133" s="230">
        <v>12.91339143282819</v>
      </c>
      <c r="E133" s="230">
        <v>8.4965209861466988</v>
      </c>
      <c r="F133" s="230">
        <v>8.4364218015100665</v>
      </c>
      <c r="G133" s="243">
        <v>6.009918463663233E-2</v>
      </c>
      <c r="H133" s="244">
        <v>6.009918463663233E-2</v>
      </c>
      <c r="I133" s="245">
        <v>4897.7</v>
      </c>
      <c r="J133" s="245">
        <v>4612.0226916544134</v>
      </c>
      <c r="K133" s="246">
        <v>-5.8328870356613598E-2</v>
      </c>
      <c r="L133" s="248">
        <v>-0.25556568131433449</v>
      </c>
    </row>
    <row r="134" spans="1:12" ht="20" customHeight="1">
      <c r="A134" s="219">
        <v>14</v>
      </c>
      <c r="B134" s="219" t="s">
        <v>91</v>
      </c>
      <c r="C134" s="253">
        <v>431499.99999999983</v>
      </c>
      <c r="D134" s="235">
        <v>12.975022789505619</v>
      </c>
      <c r="E134" s="235">
        <v>8.624611588183507</v>
      </c>
      <c r="F134" s="235">
        <v>8.5333743208754793</v>
      </c>
      <c r="G134" s="249">
        <v>9.1237267308027725E-2</v>
      </c>
      <c r="H134" s="250">
        <v>9.1237267308027725E-2</v>
      </c>
      <c r="I134" s="251">
        <v>5566.9999999999955</v>
      </c>
      <c r="J134" s="251">
        <v>5081.5637645746174</v>
      </c>
      <c r="K134" s="252">
        <v>-8.7198892657693275E-2</v>
      </c>
      <c r="L134" s="254">
        <v>-0.16432841400630679</v>
      </c>
    </row>
    <row r="135" spans="1:12" ht="20" customHeight="1">
      <c r="A135" s="257">
        <v>15</v>
      </c>
      <c r="B135" s="258" t="s">
        <v>92</v>
      </c>
      <c r="C135" s="262">
        <v>447358.99999999988</v>
      </c>
      <c r="D135" s="259">
        <v>13.011116683248829</v>
      </c>
      <c r="E135" s="259">
        <v>8.7849429281600671</v>
      </c>
      <c r="F135" s="259">
        <v>8.5901537610949763</v>
      </c>
      <c r="G135" s="249">
        <v>0.19478916706509081</v>
      </c>
      <c r="H135" s="260">
        <v>0.19478916706509081</v>
      </c>
      <c r="I135" s="261">
        <v>6535.1000000000049</v>
      </c>
      <c r="J135" s="261">
        <v>5378.4406067513883</v>
      </c>
      <c r="K135" s="252">
        <v>-0.1769918430090765</v>
      </c>
      <c r="L135" s="263">
        <v>3.0460753058783929E-2</v>
      </c>
    </row>
    <row r="136" spans="1:12" ht="20" customHeight="1">
      <c r="A136" s="257">
        <v>16</v>
      </c>
      <c r="B136" s="258" t="s">
        <v>93</v>
      </c>
      <c r="C136" s="262">
        <v>486257.99999999988</v>
      </c>
      <c r="D136" s="259">
        <v>13.094494626221611</v>
      </c>
      <c r="E136" s="259">
        <v>8.7905734791571586</v>
      </c>
      <c r="F136" s="259">
        <v>8.7213159172848211</v>
      </c>
      <c r="G136" s="243">
        <v>6.9257561872337448E-2</v>
      </c>
      <c r="H136" s="260">
        <v>6.9257561872337448E-2</v>
      </c>
      <c r="I136" s="261">
        <v>6571.9999999999991</v>
      </c>
      <c r="J136" s="261">
        <v>6132.2433059882196</v>
      </c>
      <c r="K136" s="246">
        <v>-6.6913678334111312E-2</v>
      </c>
      <c r="L136" s="263">
        <v>9.9718314931121377E-2</v>
      </c>
    </row>
    <row r="137" spans="1:12" ht="20" customHeight="1">
      <c r="A137" s="257">
        <v>17</v>
      </c>
      <c r="B137" s="258" t="s">
        <v>94</v>
      </c>
      <c r="C137" s="262">
        <v>541639.00000000023</v>
      </c>
      <c r="D137" s="259">
        <v>13.20235500685032</v>
      </c>
      <c r="E137" s="259">
        <v>8.7912731734497331</v>
      </c>
      <c r="F137" s="259">
        <v>8.8909914883808501</v>
      </c>
      <c r="G137" s="249">
        <v>-9.9718314931116936E-2</v>
      </c>
      <c r="H137" s="260">
        <v>9.9718314931116936E-2</v>
      </c>
      <c r="I137" s="261">
        <v>6576.6000000000031</v>
      </c>
      <c r="J137" s="261">
        <v>7266.2199858375252</v>
      </c>
      <c r="K137" s="252">
        <v>0.1048596517710552</v>
      </c>
      <c r="L137" s="263">
        <v>4.4408920985006262E-15</v>
      </c>
    </row>
    <row r="138" spans="1:12" ht="24" customHeight="1">
      <c r="A138" s="320" t="s">
        <v>3132</v>
      </c>
      <c r="B138" s="320"/>
      <c r="C138" s="320"/>
      <c r="D138" s="320"/>
      <c r="E138" s="320"/>
      <c r="F138" s="320"/>
      <c r="G138" s="264">
        <v>0.1183852060236071</v>
      </c>
    </row>
    <row r="140" spans="1:12" ht="28.05" customHeight="1">
      <c r="A140" s="321" t="s">
        <v>3133</v>
      </c>
      <c r="B140" s="321"/>
      <c r="C140" s="321"/>
      <c r="D140" s="321"/>
      <c r="E140" s="321"/>
      <c r="F140" s="321"/>
      <c r="G140" s="321"/>
      <c r="H140" s="321"/>
      <c r="I140" s="321"/>
      <c r="J140" s="321"/>
      <c r="K140" s="321"/>
      <c r="L140" s="321"/>
    </row>
    <row r="141" spans="1:12" ht="24" customHeight="1">
      <c r="A141" s="242" t="s">
        <v>2920</v>
      </c>
      <c r="B141" s="242" t="s">
        <v>3026</v>
      </c>
      <c r="C141" s="242" t="s">
        <v>3122</v>
      </c>
      <c r="D141" s="242" t="s">
        <v>3027</v>
      </c>
      <c r="E141" s="242" t="s">
        <v>3028</v>
      </c>
      <c r="F141" s="242" t="s">
        <v>3029</v>
      </c>
      <c r="G141" s="242" t="s">
        <v>3123</v>
      </c>
      <c r="H141" s="242" t="s">
        <v>3031</v>
      </c>
      <c r="I141" s="242" t="s">
        <v>3032</v>
      </c>
      <c r="J141" s="242" t="s">
        <v>3124</v>
      </c>
      <c r="K141" s="242" t="s">
        <v>3034</v>
      </c>
      <c r="L141" s="242" t="s">
        <v>3125</v>
      </c>
    </row>
    <row r="142" spans="1:12" ht="20" customHeight="1">
      <c r="A142" s="222">
        <v>1</v>
      </c>
      <c r="B142" s="222" t="s">
        <v>72</v>
      </c>
      <c r="C142" s="247">
        <v>162538.00000000009</v>
      </c>
      <c r="D142" s="230">
        <v>11.99866709956803</v>
      </c>
      <c r="E142" s="230">
        <v>7.9099667933638926</v>
      </c>
      <c r="F142" s="230">
        <v>7.9621323575661176</v>
      </c>
      <c r="G142" s="243">
        <v>-5.2165564202224957E-2</v>
      </c>
      <c r="H142" s="244">
        <v>5.2165564202224957E-2</v>
      </c>
      <c r="I142" s="245">
        <v>2724.3000000000011</v>
      </c>
      <c r="J142" s="245">
        <v>2870.1866961638498</v>
      </c>
      <c r="K142" s="246">
        <v>5.3550158265921202E-2</v>
      </c>
      <c r="L142" s="248">
        <v>-5.2165564202224957E-2</v>
      </c>
    </row>
    <row r="143" spans="1:12" ht="20" customHeight="1">
      <c r="A143" s="219">
        <v>2</v>
      </c>
      <c r="B143" s="219" t="s">
        <v>73</v>
      </c>
      <c r="C143" s="253">
        <v>306848</v>
      </c>
      <c r="D143" s="235">
        <v>12.63410778995341</v>
      </c>
      <c r="E143" s="235">
        <v>8.4495565427004262</v>
      </c>
      <c r="F143" s="235">
        <v>8.759823868233763</v>
      </c>
      <c r="G143" s="249">
        <v>-0.3102673255333368</v>
      </c>
      <c r="H143" s="250">
        <v>0.3102673255333368</v>
      </c>
      <c r="I143" s="251">
        <v>4673</v>
      </c>
      <c r="J143" s="251">
        <v>6372.9889933252798</v>
      </c>
      <c r="K143" s="252">
        <v>0.36378964119950352</v>
      </c>
      <c r="L143" s="254">
        <v>-0.36243288973556181</v>
      </c>
    </row>
    <row r="144" spans="1:12" ht="20" customHeight="1">
      <c r="A144" s="222">
        <v>3</v>
      </c>
      <c r="B144" s="222" t="s">
        <v>75</v>
      </c>
      <c r="C144" s="247">
        <v>295437</v>
      </c>
      <c r="D144" s="230">
        <v>12.596210895128831</v>
      </c>
      <c r="E144" s="230">
        <v>8.5022419769630257</v>
      </c>
      <c r="F144" s="230">
        <v>8.7122505356794733</v>
      </c>
      <c r="G144" s="249">
        <v>-0.2100085587164475</v>
      </c>
      <c r="H144" s="244">
        <v>0.2100085587164475</v>
      </c>
      <c r="I144" s="245">
        <v>4925.8000000000038</v>
      </c>
      <c r="J144" s="245">
        <v>6076.9033980054219</v>
      </c>
      <c r="K144" s="252">
        <v>0.2336886187026305</v>
      </c>
      <c r="L144" s="248">
        <v>-0.57244144845200928</v>
      </c>
    </row>
    <row r="145" spans="1:12" ht="20" customHeight="1">
      <c r="A145" s="219">
        <v>4</v>
      </c>
      <c r="B145" s="219" t="s">
        <v>78</v>
      </c>
      <c r="C145" s="253">
        <v>263066.00000000017</v>
      </c>
      <c r="D145" s="235">
        <v>12.480160230247421</v>
      </c>
      <c r="E145" s="235">
        <v>8.5140683140687123</v>
      </c>
      <c r="F145" s="235">
        <v>8.566567969888645</v>
      </c>
      <c r="G145" s="243">
        <v>-5.2499655819932663E-2</v>
      </c>
      <c r="H145" s="250">
        <v>5.2499655819932663E-2</v>
      </c>
      <c r="I145" s="251">
        <v>4984.3999999999987</v>
      </c>
      <c r="J145" s="251">
        <v>5253.070122421921</v>
      </c>
      <c r="K145" s="246">
        <v>5.3902199346345082E-2</v>
      </c>
      <c r="L145" s="254">
        <v>-0.62494110427194194</v>
      </c>
    </row>
    <row r="146" spans="1:12" ht="20" customHeight="1">
      <c r="A146" s="222">
        <v>5</v>
      </c>
      <c r="B146" s="222" t="s">
        <v>79</v>
      </c>
      <c r="C146" s="247">
        <v>266747.99999999988</v>
      </c>
      <c r="D146" s="230">
        <v>12.49405967147891</v>
      </c>
      <c r="E146" s="230">
        <v>8.5786080891177043</v>
      </c>
      <c r="F146" s="230">
        <v>8.5840164374500496</v>
      </c>
      <c r="G146" s="255">
        <v>-5.4083483323452697E-3</v>
      </c>
      <c r="H146" s="244">
        <v>5.4083483323452697E-3</v>
      </c>
      <c r="I146" s="245">
        <v>5316.7000000000025</v>
      </c>
      <c r="J146" s="245">
        <v>5345.5324633013388</v>
      </c>
      <c r="K146" s="256">
        <v>5.4229998497818798E-3</v>
      </c>
      <c r="L146" s="248">
        <v>-0.63034945260428721</v>
      </c>
    </row>
    <row r="147" spans="1:12" ht="20" customHeight="1">
      <c r="A147" s="219">
        <v>6</v>
      </c>
      <c r="B147" s="219" t="s">
        <v>80</v>
      </c>
      <c r="C147" s="253">
        <v>270165</v>
      </c>
      <c r="D147" s="235">
        <v>12.506788162439269</v>
      </c>
      <c r="E147" s="235">
        <v>8.6020856584342003</v>
      </c>
      <c r="F147" s="235">
        <v>8.5999949690995248</v>
      </c>
      <c r="G147" s="255">
        <v>2.090689334675488E-3</v>
      </c>
      <c r="H147" s="250">
        <v>2.090689334675488E-3</v>
      </c>
      <c r="I147" s="251">
        <v>5443.0000000000009</v>
      </c>
      <c r="J147" s="251">
        <v>5431.6322652928984</v>
      </c>
      <c r="K147" s="256">
        <v>-2.0885053659934769E-3</v>
      </c>
      <c r="L147" s="254">
        <v>-0.62825876326961172</v>
      </c>
    </row>
    <row r="148" spans="1:12" ht="20" customHeight="1">
      <c r="A148" s="222">
        <v>7</v>
      </c>
      <c r="B148" s="222" t="s">
        <v>81</v>
      </c>
      <c r="C148" s="247">
        <v>274363.99999999988</v>
      </c>
      <c r="D148" s="230">
        <v>12.522210970891731</v>
      </c>
      <c r="E148" s="230">
        <v>8.6075821911439174</v>
      </c>
      <c r="F148" s="230">
        <v>8.6193557742215887</v>
      </c>
      <c r="G148" s="255">
        <v>-1.177358307767129E-2</v>
      </c>
      <c r="H148" s="244">
        <v>1.177358307767129E-2</v>
      </c>
      <c r="I148" s="245">
        <v>5472.9999999999964</v>
      </c>
      <c r="J148" s="245">
        <v>5537.817639379934</v>
      </c>
      <c r="K148" s="256">
        <v>1.1843164513052749E-2</v>
      </c>
      <c r="L148" s="248">
        <v>-0.64003234634728301</v>
      </c>
    </row>
    <row r="149" spans="1:12" ht="20" customHeight="1">
      <c r="A149" s="219">
        <v>8</v>
      </c>
      <c r="B149" s="219" t="s">
        <v>82</v>
      </c>
      <c r="C149" s="253">
        <v>264646.99999999988</v>
      </c>
      <c r="D149" s="235">
        <v>12.486152141495451</v>
      </c>
      <c r="E149" s="235">
        <v>8.7650371601684096</v>
      </c>
      <c r="F149" s="235">
        <v>8.5740898311851463</v>
      </c>
      <c r="G149" s="249">
        <v>0.1909473289832633</v>
      </c>
      <c r="H149" s="250">
        <v>0.1909473289832633</v>
      </c>
      <c r="I149" s="251">
        <v>6406.3</v>
      </c>
      <c r="J149" s="251">
        <v>5292.7319657054277</v>
      </c>
      <c r="K149" s="252">
        <v>-0.1738238974594653</v>
      </c>
      <c r="L149" s="254">
        <v>-0.44908501736401968</v>
      </c>
    </row>
    <row r="150" spans="1:12" ht="20" customHeight="1">
      <c r="A150" s="222">
        <v>9</v>
      </c>
      <c r="B150" s="222" t="s">
        <v>83</v>
      </c>
      <c r="C150" s="247">
        <v>268978.00000000017</v>
      </c>
      <c r="D150" s="230">
        <v>12.502384870852829</v>
      </c>
      <c r="E150" s="230">
        <v>8.7664098653927738</v>
      </c>
      <c r="F150" s="230">
        <v>8.5944673590949439</v>
      </c>
      <c r="G150" s="249">
        <v>0.17194250629782989</v>
      </c>
      <c r="H150" s="244">
        <v>0.17194250629782989</v>
      </c>
      <c r="I150" s="245">
        <v>6415.0999999999976</v>
      </c>
      <c r="J150" s="245">
        <v>5401.6911480877807</v>
      </c>
      <c r="K150" s="252">
        <v>-0.157972416940066</v>
      </c>
      <c r="L150" s="248">
        <v>-0.27714251106618981</v>
      </c>
    </row>
    <row r="151" spans="1:12" ht="20" customHeight="1">
      <c r="A151" s="219">
        <v>10</v>
      </c>
      <c r="B151" s="219" t="s">
        <v>84</v>
      </c>
      <c r="C151" s="253">
        <v>281118.99999999983</v>
      </c>
      <c r="D151" s="235">
        <v>12.546533346214821</v>
      </c>
      <c r="E151" s="235">
        <v>8.8507612148900598</v>
      </c>
      <c r="F151" s="235">
        <v>8.6498885251266948</v>
      </c>
      <c r="G151" s="249">
        <v>0.200872689763365</v>
      </c>
      <c r="H151" s="250">
        <v>0.200872689763365</v>
      </c>
      <c r="I151" s="251">
        <v>6979.6999999999953</v>
      </c>
      <c r="J151" s="251">
        <v>5709.5102313474799</v>
      </c>
      <c r="K151" s="252">
        <v>-0.18198343319233151</v>
      </c>
      <c r="L151" s="254">
        <v>-7.6269821302824781E-2</v>
      </c>
    </row>
    <row r="152" spans="1:12" ht="20" customHeight="1">
      <c r="A152" s="222">
        <v>11</v>
      </c>
      <c r="B152" s="222" t="s">
        <v>88</v>
      </c>
      <c r="C152" s="247">
        <v>413277.00000000029</v>
      </c>
      <c r="D152" s="230">
        <v>12.93187334930216</v>
      </c>
      <c r="E152" s="230">
        <v>9.0935256173843477</v>
      </c>
      <c r="F152" s="230">
        <v>9.1336196645301087</v>
      </c>
      <c r="G152" s="243">
        <v>-4.0094047145760918E-2</v>
      </c>
      <c r="H152" s="244">
        <v>4.0094047145760918E-2</v>
      </c>
      <c r="I152" s="245">
        <v>8897.5</v>
      </c>
      <c r="J152" s="245">
        <v>9261.4848386343456</v>
      </c>
      <c r="K152" s="246">
        <v>4.0908664078038268E-2</v>
      </c>
      <c r="L152" s="248">
        <v>-0.11636386844858571</v>
      </c>
    </row>
    <row r="153" spans="1:12" ht="20" customHeight="1">
      <c r="A153" s="219">
        <v>12</v>
      </c>
      <c r="B153" s="219" t="s">
        <v>89</v>
      </c>
      <c r="C153" s="253">
        <v>409922.99999999983</v>
      </c>
      <c r="D153" s="235">
        <v>12.9237246161649</v>
      </c>
      <c r="E153" s="235">
        <v>9.0957933447920318</v>
      </c>
      <c r="F153" s="235">
        <v>9.1233902672871494</v>
      </c>
      <c r="G153" s="255">
        <v>-2.7596922495117578E-2</v>
      </c>
      <c r="H153" s="250">
        <v>2.7596922495117578E-2</v>
      </c>
      <c r="I153" s="251">
        <v>8917.6999999999989</v>
      </c>
      <c r="J153" s="251">
        <v>9167.2283466296703</v>
      </c>
      <c r="K153" s="256">
        <v>2.798124478617485E-2</v>
      </c>
      <c r="L153" s="254">
        <v>-0.14396079094370329</v>
      </c>
    </row>
    <row r="154" spans="1:12" ht="20" customHeight="1">
      <c r="A154" s="222">
        <v>13</v>
      </c>
      <c r="B154" s="222" t="s">
        <v>90</v>
      </c>
      <c r="C154" s="247">
        <v>405708.99999999983</v>
      </c>
      <c r="D154" s="230">
        <v>12.91339143282819</v>
      </c>
      <c r="E154" s="230">
        <v>9.1452043390306468</v>
      </c>
      <c r="F154" s="230">
        <v>9.1104186512880858</v>
      </c>
      <c r="G154" s="255">
        <v>3.4785687742560967E-2</v>
      </c>
      <c r="H154" s="244">
        <v>3.4785687742560967E-2</v>
      </c>
      <c r="I154" s="245">
        <v>9369.4000000000015</v>
      </c>
      <c r="J154" s="245">
        <v>9049.0825085876368</v>
      </c>
      <c r="K154" s="256">
        <v>-3.4187620489291172E-2</v>
      </c>
      <c r="L154" s="248">
        <v>-0.10917510320114231</v>
      </c>
    </row>
    <row r="155" spans="1:12" ht="20" customHeight="1">
      <c r="A155" s="219">
        <v>14</v>
      </c>
      <c r="B155" s="219" t="s">
        <v>91</v>
      </c>
      <c r="C155" s="253">
        <v>431499.99999999983</v>
      </c>
      <c r="D155" s="235">
        <v>12.975022789505619</v>
      </c>
      <c r="E155" s="235">
        <v>9.1973767055843236</v>
      </c>
      <c r="F155" s="235">
        <v>9.1877867058624538</v>
      </c>
      <c r="G155" s="255">
        <v>9.5899997218698019E-3</v>
      </c>
      <c r="H155" s="250">
        <v>9.5899997218698019E-3</v>
      </c>
      <c r="I155" s="251">
        <v>9871.1999999999953</v>
      </c>
      <c r="J155" s="251">
        <v>9776.9876649220441</v>
      </c>
      <c r="K155" s="256">
        <v>-9.5441623184568426E-3</v>
      </c>
      <c r="L155" s="254">
        <v>-9.9585103479272519E-2</v>
      </c>
    </row>
    <row r="156" spans="1:12" ht="20" customHeight="1">
      <c r="A156" s="257">
        <v>15</v>
      </c>
      <c r="B156" s="258" t="s">
        <v>92</v>
      </c>
      <c r="C156" s="262">
        <v>447358.99999999988</v>
      </c>
      <c r="D156" s="259">
        <v>13.011116683248829</v>
      </c>
      <c r="E156" s="259">
        <v>9.3774044565893497</v>
      </c>
      <c r="F156" s="259">
        <v>9.2330966664324059</v>
      </c>
      <c r="G156" s="249">
        <v>0.14430779015694381</v>
      </c>
      <c r="H156" s="260">
        <v>0.14430779015694381</v>
      </c>
      <c r="I156" s="261">
        <v>11818.3</v>
      </c>
      <c r="J156" s="261">
        <v>10230.17194203424</v>
      </c>
      <c r="K156" s="252">
        <v>-0.1343787226560306</v>
      </c>
      <c r="L156" s="263">
        <v>4.4722686677671319E-2</v>
      </c>
    </row>
    <row r="157" spans="1:12" ht="20" customHeight="1">
      <c r="A157" s="257">
        <v>16</v>
      </c>
      <c r="B157" s="258" t="s">
        <v>93</v>
      </c>
      <c r="C157" s="262">
        <v>486257.99999999988</v>
      </c>
      <c r="D157" s="259">
        <v>13.094494626221611</v>
      </c>
      <c r="E157" s="259">
        <v>9.3799565562725835</v>
      </c>
      <c r="F157" s="259">
        <v>9.3377639914757218</v>
      </c>
      <c r="G157" s="243">
        <v>4.2192564796861731E-2</v>
      </c>
      <c r="H157" s="260">
        <v>4.2192564796861731E-2</v>
      </c>
      <c r="I157" s="261">
        <v>11848.5</v>
      </c>
      <c r="J157" s="261">
        <v>11358.981044619821</v>
      </c>
      <c r="K157" s="246">
        <v>-4.1314846215147687E-2</v>
      </c>
      <c r="L157" s="263">
        <v>8.6915251474533051E-2</v>
      </c>
    </row>
    <row r="158" spans="1:12" ht="20" customHeight="1">
      <c r="A158" s="257">
        <v>17</v>
      </c>
      <c r="B158" s="258" t="s">
        <v>94</v>
      </c>
      <c r="C158" s="262">
        <v>541639.00000000023</v>
      </c>
      <c r="D158" s="259">
        <v>13.20235500685032</v>
      </c>
      <c r="E158" s="259">
        <v>9.3862497479422426</v>
      </c>
      <c r="F158" s="259">
        <v>9.47316499941671</v>
      </c>
      <c r="G158" s="249">
        <v>-8.6915251474467325E-2</v>
      </c>
      <c r="H158" s="260">
        <v>8.6915251474467325E-2</v>
      </c>
      <c r="I158" s="261">
        <v>11923.3</v>
      </c>
      <c r="J158" s="261">
        <v>13005.98609643232</v>
      </c>
      <c r="K158" s="252">
        <v>9.0804231750632819E-2</v>
      </c>
      <c r="L158" s="263">
        <v>6.5725203057809267E-14</v>
      </c>
    </row>
    <row r="159" spans="1:12" ht="24" customHeight="1">
      <c r="A159" s="320" t="s">
        <v>3134</v>
      </c>
      <c r="B159" s="320"/>
      <c r="C159" s="320"/>
      <c r="D159" s="320"/>
      <c r="E159" s="320"/>
      <c r="F159" s="320"/>
      <c r="G159" s="264">
        <v>9.3732853740863195E-2</v>
      </c>
    </row>
    <row r="161" spans="1:12" ht="28.05" customHeight="1">
      <c r="A161" s="321" t="s">
        <v>3135</v>
      </c>
      <c r="B161" s="321"/>
      <c r="C161" s="321"/>
      <c r="D161" s="321"/>
      <c r="E161" s="321"/>
      <c r="F161" s="321"/>
      <c r="G161" s="321"/>
      <c r="H161" s="321"/>
      <c r="I161" s="321"/>
      <c r="J161" s="321"/>
      <c r="K161" s="321"/>
      <c r="L161" s="321"/>
    </row>
    <row r="162" spans="1:12" ht="24" customHeight="1">
      <c r="A162" s="242" t="s">
        <v>2920</v>
      </c>
      <c r="B162" s="242" t="s">
        <v>3026</v>
      </c>
      <c r="C162" s="242" t="s">
        <v>3122</v>
      </c>
      <c r="D162" s="242" t="s">
        <v>3027</v>
      </c>
      <c r="E162" s="242" t="s">
        <v>3028</v>
      </c>
      <c r="F162" s="242" t="s">
        <v>3029</v>
      </c>
      <c r="G162" s="242" t="s">
        <v>3123</v>
      </c>
      <c r="H162" s="242" t="s">
        <v>3031</v>
      </c>
      <c r="I162" s="242" t="s">
        <v>3032</v>
      </c>
      <c r="J162" s="242" t="s">
        <v>3124</v>
      </c>
      <c r="K162" s="242" t="s">
        <v>3034</v>
      </c>
      <c r="L162" s="242" t="s">
        <v>3125</v>
      </c>
    </row>
    <row r="163" spans="1:12" ht="20" customHeight="1">
      <c r="A163" s="222">
        <v>1</v>
      </c>
      <c r="B163" s="222" t="s">
        <v>72</v>
      </c>
      <c r="C163" s="247">
        <v>162538.00000000009</v>
      </c>
      <c r="D163" s="230">
        <v>11.99866709956803</v>
      </c>
      <c r="E163" s="230">
        <v>8.033074410478811</v>
      </c>
      <c r="F163" s="230">
        <v>8.221781300299714</v>
      </c>
      <c r="G163" s="249">
        <v>-0.188706889820903</v>
      </c>
      <c r="H163" s="244">
        <v>0.188706889820903</v>
      </c>
      <c r="I163" s="245">
        <v>3081.2000000000012</v>
      </c>
      <c r="J163" s="245">
        <v>3721.124923334402</v>
      </c>
      <c r="K163" s="252">
        <v>0.207686915271453</v>
      </c>
      <c r="L163" s="248">
        <v>-0.188706889820903</v>
      </c>
    </row>
    <row r="164" spans="1:12" ht="20" customHeight="1">
      <c r="A164" s="219">
        <v>2</v>
      </c>
      <c r="B164" s="219" t="s">
        <v>73</v>
      </c>
      <c r="C164" s="253">
        <v>306848</v>
      </c>
      <c r="D164" s="235">
        <v>12.63410778995341</v>
      </c>
      <c r="E164" s="235">
        <v>8.6290565178949361</v>
      </c>
      <c r="F164" s="235">
        <v>9.0150627212938446</v>
      </c>
      <c r="G164" s="249">
        <v>-0.38600620339890851</v>
      </c>
      <c r="H164" s="250">
        <v>0.38600620339890851</v>
      </c>
      <c r="I164" s="251">
        <v>5591.7999999999975</v>
      </c>
      <c r="J164" s="251">
        <v>8226.0622916494376</v>
      </c>
      <c r="K164" s="252">
        <v>0.47109379656808947</v>
      </c>
      <c r="L164" s="254">
        <v>-0.57471309321981146</v>
      </c>
    </row>
    <row r="165" spans="1:12" ht="20" customHeight="1">
      <c r="A165" s="222">
        <v>3</v>
      </c>
      <c r="B165" s="222" t="s">
        <v>75</v>
      </c>
      <c r="C165" s="247">
        <v>295437</v>
      </c>
      <c r="D165" s="230">
        <v>12.596210895128831</v>
      </c>
      <c r="E165" s="230">
        <v>8.7004975983880133</v>
      </c>
      <c r="F165" s="230">
        <v>8.9677524010191476</v>
      </c>
      <c r="G165" s="249">
        <v>-0.26725480263113432</v>
      </c>
      <c r="H165" s="244">
        <v>0.26725480263113432</v>
      </c>
      <c r="I165" s="245">
        <v>6005.9000000000042</v>
      </c>
      <c r="J165" s="245">
        <v>7845.9472299402114</v>
      </c>
      <c r="K165" s="252">
        <v>0.30637327127328229</v>
      </c>
      <c r="L165" s="248">
        <v>-0.84196789585094578</v>
      </c>
    </row>
    <row r="166" spans="1:12" ht="20" customHeight="1">
      <c r="A166" s="219">
        <v>4</v>
      </c>
      <c r="B166" s="219" t="s">
        <v>78</v>
      </c>
      <c r="C166" s="253">
        <v>263066.00000000017</v>
      </c>
      <c r="D166" s="235">
        <v>12.480160230247421</v>
      </c>
      <c r="E166" s="235">
        <v>8.8565327419326429</v>
      </c>
      <c r="F166" s="235">
        <v>8.8228752508186972</v>
      </c>
      <c r="G166" s="255">
        <v>3.3657491113945781E-2</v>
      </c>
      <c r="H166" s="250">
        <v>3.3657491113945781E-2</v>
      </c>
      <c r="I166" s="251">
        <v>7020.1000000000022</v>
      </c>
      <c r="J166" s="251">
        <v>6787.7530873563874</v>
      </c>
      <c r="K166" s="256">
        <v>-3.3097379331293683E-2</v>
      </c>
      <c r="L166" s="254">
        <v>-0.808310404737</v>
      </c>
    </row>
    <row r="167" spans="1:12" ht="20" customHeight="1">
      <c r="A167" s="222">
        <v>5</v>
      </c>
      <c r="B167" s="222" t="s">
        <v>79</v>
      </c>
      <c r="C167" s="247">
        <v>266747.99999999988</v>
      </c>
      <c r="D167" s="230">
        <v>12.49405967147891</v>
      </c>
      <c r="E167" s="230">
        <v>8.9136982781528911</v>
      </c>
      <c r="F167" s="230">
        <v>8.8402272533863258</v>
      </c>
      <c r="G167" s="243">
        <v>7.3471024766565307E-2</v>
      </c>
      <c r="H167" s="244">
        <v>7.3471024766565307E-2</v>
      </c>
      <c r="I167" s="245">
        <v>7433.1000000000022</v>
      </c>
      <c r="J167" s="245">
        <v>6906.5620016299499</v>
      </c>
      <c r="K167" s="246">
        <v>-7.0836931881725268E-2</v>
      </c>
      <c r="L167" s="248">
        <v>-0.73483937997043469</v>
      </c>
    </row>
    <row r="168" spans="1:12" ht="20" customHeight="1">
      <c r="A168" s="219">
        <v>6</v>
      </c>
      <c r="B168" s="219" t="s">
        <v>80</v>
      </c>
      <c r="C168" s="253">
        <v>270165</v>
      </c>
      <c r="D168" s="235">
        <v>12.506788162439269</v>
      </c>
      <c r="E168" s="235">
        <v>8.9446937263850135</v>
      </c>
      <c r="F168" s="235">
        <v>8.8561174466788266</v>
      </c>
      <c r="G168" s="249">
        <v>8.8576279706186867E-2</v>
      </c>
      <c r="H168" s="250">
        <v>8.8576279706186867E-2</v>
      </c>
      <c r="I168" s="251">
        <v>7667.0999999999949</v>
      </c>
      <c r="J168" s="251">
        <v>7017.185191083734</v>
      </c>
      <c r="K168" s="252">
        <v>-8.4766705653540622E-2</v>
      </c>
      <c r="L168" s="254">
        <v>-0.64626310026424783</v>
      </c>
    </row>
    <row r="169" spans="1:12" ht="20" customHeight="1">
      <c r="A169" s="222">
        <v>7</v>
      </c>
      <c r="B169" s="222" t="s">
        <v>81</v>
      </c>
      <c r="C169" s="247">
        <v>274363.99999999988</v>
      </c>
      <c r="D169" s="230">
        <v>12.522210970891731</v>
      </c>
      <c r="E169" s="230">
        <v>8.9340465399842621</v>
      </c>
      <c r="F169" s="230">
        <v>8.8753712143238754</v>
      </c>
      <c r="G169" s="243">
        <v>5.867532566038669E-2</v>
      </c>
      <c r="H169" s="244">
        <v>5.867532566038669E-2</v>
      </c>
      <c r="I169" s="245">
        <v>7585.8999999999951</v>
      </c>
      <c r="J169" s="245">
        <v>7153.6014939877332</v>
      </c>
      <c r="K169" s="246">
        <v>-5.6987108452821969E-2</v>
      </c>
      <c r="L169" s="248">
        <v>-0.58758777460386113</v>
      </c>
    </row>
    <row r="170" spans="1:12" ht="20" customHeight="1">
      <c r="A170" s="219">
        <v>8</v>
      </c>
      <c r="B170" s="219" t="s">
        <v>82</v>
      </c>
      <c r="C170" s="253">
        <v>264646.99999999988</v>
      </c>
      <c r="D170" s="235">
        <v>12.486152141495451</v>
      </c>
      <c r="E170" s="235">
        <v>9.0440260136480166</v>
      </c>
      <c r="F170" s="235">
        <v>8.8303555270132073</v>
      </c>
      <c r="G170" s="249">
        <v>0.21367048663480939</v>
      </c>
      <c r="H170" s="250">
        <v>0.21367048663480939</v>
      </c>
      <c r="I170" s="251">
        <v>8467.8000000000029</v>
      </c>
      <c r="J170" s="251">
        <v>6838.7177323586548</v>
      </c>
      <c r="K170" s="252">
        <v>-0.19238553905871039</v>
      </c>
      <c r="L170" s="254">
        <v>-0.37391728796905183</v>
      </c>
    </row>
    <row r="171" spans="1:12" ht="20" customHeight="1">
      <c r="A171" s="222">
        <v>9</v>
      </c>
      <c r="B171" s="222" t="s">
        <v>83</v>
      </c>
      <c r="C171" s="247">
        <v>268978.00000000017</v>
      </c>
      <c r="D171" s="230">
        <v>12.502384870852829</v>
      </c>
      <c r="E171" s="230">
        <v>9.0060431084583321</v>
      </c>
      <c r="F171" s="230">
        <v>8.850620396427578</v>
      </c>
      <c r="G171" s="249">
        <v>0.15542271203075411</v>
      </c>
      <c r="H171" s="244">
        <v>0.15542271203075411</v>
      </c>
      <c r="I171" s="245">
        <v>8152.1999999999935</v>
      </c>
      <c r="J171" s="245">
        <v>6978.7171985773284</v>
      </c>
      <c r="K171" s="252">
        <v>-0.1439467630115388</v>
      </c>
      <c r="L171" s="248">
        <v>-0.21849457593829771</v>
      </c>
    </row>
    <row r="172" spans="1:12" ht="20" customHeight="1">
      <c r="A172" s="219">
        <v>10</v>
      </c>
      <c r="B172" s="219" t="s">
        <v>84</v>
      </c>
      <c r="C172" s="253">
        <v>281118.99999999983</v>
      </c>
      <c r="D172" s="235">
        <v>12.546533346214821</v>
      </c>
      <c r="E172" s="235">
        <v>9.1118451252270827</v>
      </c>
      <c r="F172" s="235">
        <v>8.9057351629192283</v>
      </c>
      <c r="G172" s="249">
        <v>0.20610996230785439</v>
      </c>
      <c r="H172" s="250">
        <v>0.20610996230785439</v>
      </c>
      <c r="I172" s="251">
        <v>9061.9999999999927</v>
      </c>
      <c r="J172" s="251">
        <v>7374.1444147528846</v>
      </c>
      <c r="K172" s="252">
        <v>-0.18625640976021951</v>
      </c>
      <c r="L172" s="254">
        <v>-1.2384613630443299E-2</v>
      </c>
    </row>
    <row r="173" spans="1:12" ht="20" customHeight="1">
      <c r="A173" s="222">
        <v>11</v>
      </c>
      <c r="B173" s="222" t="s">
        <v>88</v>
      </c>
      <c r="C173" s="247">
        <v>413277.00000000029</v>
      </c>
      <c r="D173" s="230">
        <v>12.93187334930216</v>
      </c>
      <c r="E173" s="230">
        <v>9.3881936274305851</v>
      </c>
      <c r="F173" s="230">
        <v>9.386791963089852</v>
      </c>
      <c r="G173" s="255">
        <v>1.401664340733078E-3</v>
      </c>
      <c r="H173" s="244">
        <v>1.401664340733078E-3</v>
      </c>
      <c r="I173" s="245">
        <v>11946.5</v>
      </c>
      <c r="J173" s="245">
        <v>11929.76674689512</v>
      </c>
      <c r="K173" s="256">
        <v>-1.4006824680765069E-3</v>
      </c>
      <c r="L173" s="248">
        <v>-1.098294928971022E-2</v>
      </c>
    </row>
    <row r="174" spans="1:12" ht="20" customHeight="1">
      <c r="A174" s="219">
        <v>12</v>
      </c>
      <c r="B174" s="219" t="s">
        <v>89</v>
      </c>
      <c r="C174" s="253">
        <v>409922.99999999983</v>
      </c>
      <c r="D174" s="235">
        <v>12.9237246161649</v>
      </c>
      <c r="E174" s="235">
        <v>9.3845205441201092</v>
      </c>
      <c r="F174" s="235">
        <v>9.3766191197383968</v>
      </c>
      <c r="G174" s="255">
        <v>7.9014243817123742E-3</v>
      </c>
      <c r="H174" s="250">
        <v>7.9014243817123742E-3</v>
      </c>
      <c r="I174" s="251">
        <v>11902.70000000001</v>
      </c>
      <c r="J174" s="251">
        <v>11809.022297032239</v>
      </c>
      <c r="K174" s="256">
        <v>-7.8702901835522032E-3</v>
      </c>
      <c r="L174" s="254">
        <v>-3.0815249079978462E-3</v>
      </c>
    </row>
    <row r="175" spans="1:12" ht="20" customHeight="1">
      <c r="A175" s="222">
        <v>13</v>
      </c>
      <c r="B175" s="222" t="s">
        <v>90</v>
      </c>
      <c r="C175" s="247">
        <v>405708.99999999983</v>
      </c>
      <c r="D175" s="230">
        <v>12.91339143282819</v>
      </c>
      <c r="E175" s="230">
        <v>9.4002910859346205</v>
      </c>
      <c r="F175" s="230">
        <v>9.3637192181665263</v>
      </c>
      <c r="G175" s="255">
        <v>3.6571867768094179E-2</v>
      </c>
      <c r="H175" s="244">
        <v>3.6571867768094179E-2</v>
      </c>
      <c r="I175" s="245">
        <v>12091.900000000011</v>
      </c>
      <c r="J175" s="245">
        <v>11657.665415083889</v>
      </c>
      <c r="K175" s="256">
        <v>-3.591119550410718E-2</v>
      </c>
      <c r="L175" s="248">
        <v>3.3490342860096327E-2</v>
      </c>
    </row>
    <row r="176" spans="1:12" ht="20" customHeight="1">
      <c r="A176" s="219">
        <v>14</v>
      </c>
      <c r="B176" s="219" t="s">
        <v>91</v>
      </c>
      <c r="C176" s="253">
        <v>431499.99999999983</v>
      </c>
      <c r="D176" s="235">
        <v>12.975022789505619</v>
      </c>
      <c r="E176" s="235">
        <v>9.442768686167673</v>
      </c>
      <c r="F176" s="235">
        <v>9.4406595383924987</v>
      </c>
      <c r="G176" s="255">
        <v>2.109147775174236E-3</v>
      </c>
      <c r="H176" s="250">
        <v>2.109147775174236E-3</v>
      </c>
      <c r="I176" s="251">
        <v>12616.6</v>
      </c>
      <c r="J176" s="251">
        <v>12590.01776896073</v>
      </c>
      <c r="K176" s="256">
        <v>-2.1069250859401339E-3</v>
      </c>
      <c r="L176" s="254">
        <v>3.559949063527057E-2</v>
      </c>
    </row>
    <row r="177" spans="1:12" ht="20" customHeight="1">
      <c r="A177" s="257">
        <v>15</v>
      </c>
      <c r="B177" s="258" t="s">
        <v>92</v>
      </c>
      <c r="C177" s="262">
        <v>447358.99999999988</v>
      </c>
      <c r="D177" s="259">
        <v>13.011116683248829</v>
      </c>
      <c r="E177" s="259">
        <v>9.6011925629164807</v>
      </c>
      <c r="F177" s="259">
        <v>9.485718999882863</v>
      </c>
      <c r="G177" s="249">
        <v>0.11547356303361769</v>
      </c>
      <c r="H177" s="260">
        <v>0.11547356303361769</v>
      </c>
      <c r="I177" s="261">
        <v>14782.4</v>
      </c>
      <c r="J177" s="261">
        <v>13170.292445013591</v>
      </c>
      <c r="K177" s="252">
        <v>-0.1090558742143634</v>
      </c>
      <c r="L177" s="263">
        <v>0.15107305366888821</v>
      </c>
    </row>
    <row r="178" spans="1:12" ht="20" customHeight="1">
      <c r="A178" s="257">
        <v>16</v>
      </c>
      <c r="B178" s="258" t="s">
        <v>93</v>
      </c>
      <c r="C178" s="262">
        <v>486257.99999999988</v>
      </c>
      <c r="D178" s="259">
        <v>13.094494626221611</v>
      </c>
      <c r="E178" s="259">
        <v>9.5704872816602933</v>
      </c>
      <c r="F178" s="259">
        <v>9.5898076647760391</v>
      </c>
      <c r="G178" s="255">
        <v>-1.9320383115745798E-2</v>
      </c>
      <c r="H178" s="260">
        <v>1.9320383115745798E-2</v>
      </c>
      <c r="I178" s="261">
        <v>14335.400000000011</v>
      </c>
      <c r="J178" s="261">
        <v>14615.05827349275</v>
      </c>
      <c r="K178" s="256">
        <v>1.95082295222135E-2</v>
      </c>
      <c r="L178" s="263">
        <v>0.13175267055314241</v>
      </c>
    </row>
    <row r="179" spans="1:12" ht="20" customHeight="1">
      <c r="A179" s="257">
        <v>17</v>
      </c>
      <c r="B179" s="258" t="s">
        <v>94</v>
      </c>
      <c r="C179" s="262">
        <v>541639.00000000023</v>
      </c>
      <c r="D179" s="259">
        <v>13.20235500685032</v>
      </c>
      <c r="E179" s="259">
        <v>9.59270742883837</v>
      </c>
      <c r="F179" s="259">
        <v>9.7244600993914787</v>
      </c>
      <c r="G179" s="249">
        <v>-0.13175267055310869</v>
      </c>
      <c r="H179" s="260">
        <v>0.13175267055310869</v>
      </c>
      <c r="I179" s="261">
        <v>14657.5</v>
      </c>
      <c r="J179" s="261">
        <v>16721.65891951821</v>
      </c>
      <c r="K179" s="252">
        <v>0.14082612447676701</v>
      </c>
      <c r="L179" s="263">
        <v>3.3750779948604759E-14</v>
      </c>
    </row>
    <row r="180" spans="1:12" ht="24" customHeight="1">
      <c r="A180" s="320" t="s">
        <v>3136</v>
      </c>
      <c r="B180" s="320"/>
      <c r="C180" s="320"/>
      <c r="D180" s="320"/>
      <c r="E180" s="320"/>
      <c r="F180" s="320"/>
      <c r="G180" s="264">
        <v>0.1168283470023314</v>
      </c>
    </row>
    <row r="182" spans="1:12" ht="28.05" customHeight="1">
      <c r="A182" s="313" t="s">
        <v>3137</v>
      </c>
      <c r="B182" s="313"/>
      <c r="C182" s="313"/>
      <c r="D182" s="313"/>
      <c r="E182" s="313"/>
      <c r="F182" s="313"/>
      <c r="G182" s="313"/>
      <c r="H182" s="313"/>
      <c r="I182" s="313"/>
      <c r="J182" s="313"/>
      <c r="K182" s="313"/>
      <c r="L182" s="313"/>
    </row>
    <row r="183" spans="1:12" ht="22.05" customHeight="1">
      <c r="A183" s="318" t="s">
        <v>3138</v>
      </c>
      <c r="B183" s="310"/>
      <c r="C183" s="232" t="s">
        <v>3104</v>
      </c>
      <c r="D183" s="319" t="s">
        <v>3139</v>
      </c>
      <c r="E183" s="311"/>
      <c r="F183" s="311"/>
      <c r="G183" s="311"/>
      <c r="H183" s="311"/>
      <c r="I183" s="311"/>
      <c r="J183" s="311"/>
      <c r="K183" s="311"/>
      <c r="L183" s="310"/>
    </row>
    <row r="184" spans="1:12" ht="22.05" customHeight="1">
      <c r="A184" s="318" t="s">
        <v>3140</v>
      </c>
      <c r="B184" s="310"/>
      <c r="C184" s="266" t="s">
        <v>3141</v>
      </c>
      <c r="D184" s="319" t="s">
        <v>3142</v>
      </c>
      <c r="E184" s="311"/>
      <c r="F184" s="311"/>
      <c r="G184" s="311"/>
      <c r="H184" s="311"/>
      <c r="I184" s="311"/>
      <c r="J184" s="311"/>
      <c r="K184" s="311"/>
      <c r="L184" s="310"/>
    </row>
    <row r="185" spans="1:12" ht="22.05" customHeight="1">
      <c r="A185" s="318" t="s">
        <v>3143</v>
      </c>
      <c r="B185" s="310"/>
      <c r="C185" s="267" t="s">
        <v>3144</v>
      </c>
      <c r="D185" s="319" t="s">
        <v>3145</v>
      </c>
      <c r="E185" s="311"/>
      <c r="F185" s="311"/>
      <c r="G185" s="311"/>
      <c r="H185" s="311"/>
      <c r="I185" s="311"/>
      <c r="J185" s="311"/>
      <c r="K185" s="311"/>
      <c r="L185" s="310"/>
    </row>
    <row r="186" spans="1:12" ht="22.05" customHeight="1">
      <c r="A186" s="318" t="s">
        <v>3146</v>
      </c>
      <c r="B186" s="310"/>
      <c r="C186" s="239" t="s">
        <v>3118</v>
      </c>
      <c r="D186" s="319" t="s">
        <v>3147</v>
      </c>
      <c r="E186" s="311"/>
      <c r="F186" s="311"/>
      <c r="G186" s="311"/>
      <c r="H186" s="311"/>
      <c r="I186" s="311"/>
      <c r="J186" s="311"/>
      <c r="K186" s="311"/>
      <c r="L186" s="310"/>
    </row>
    <row r="187" spans="1:12" ht="22.05" customHeight="1">
      <c r="A187" s="318" t="s">
        <v>3148</v>
      </c>
      <c r="B187" s="310"/>
      <c r="C187" s="232" t="s">
        <v>3107</v>
      </c>
      <c r="D187" s="319" t="s">
        <v>3149</v>
      </c>
      <c r="E187" s="311"/>
      <c r="F187" s="311"/>
      <c r="G187" s="311"/>
      <c r="H187" s="311"/>
      <c r="I187" s="311"/>
      <c r="J187" s="311"/>
      <c r="K187" s="311"/>
      <c r="L187" s="310"/>
    </row>
    <row r="188" spans="1:12" ht="22.05" customHeight="1">
      <c r="A188" s="318" t="s">
        <v>3150</v>
      </c>
      <c r="B188" s="310"/>
      <c r="C188" s="267" t="s">
        <v>3151</v>
      </c>
      <c r="D188" s="319" t="s">
        <v>3152</v>
      </c>
      <c r="E188" s="311"/>
      <c r="F188" s="311"/>
      <c r="G188" s="311"/>
      <c r="H188" s="311"/>
      <c r="I188" s="311"/>
      <c r="J188" s="311"/>
      <c r="K188" s="311"/>
      <c r="L188" s="310"/>
    </row>
    <row r="189" spans="1:12" ht="22.05" customHeight="1">
      <c r="A189" s="318" t="s">
        <v>3153</v>
      </c>
      <c r="B189" s="310"/>
      <c r="C189" s="268" t="s">
        <v>3105</v>
      </c>
      <c r="D189" s="319" t="s">
        <v>3154</v>
      </c>
      <c r="E189" s="311"/>
      <c r="F189" s="311"/>
      <c r="G189" s="311"/>
      <c r="H189" s="311"/>
      <c r="I189" s="311"/>
      <c r="J189" s="311"/>
      <c r="K189" s="311"/>
      <c r="L189" s="310"/>
    </row>
  </sheetData>
  <mergeCells count="31">
    <mergeCell ref="A1:P1"/>
    <mergeCell ref="A117:F117"/>
    <mergeCell ref="A185:B185"/>
    <mergeCell ref="A188:B188"/>
    <mergeCell ref="A77:L77"/>
    <mergeCell ref="A184:B184"/>
    <mergeCell ref="D187:L187"/>
    <mergeCell ref="A98:L98"/>
    <mergeCell ref="A138:F138"/>
    <mergeCell ref="A182:L182"/>
    <mergeCell ref="D186:L186"/>
    <mergeCell ref="A55:P55"/>
    <mergeCell ref="A119:L119"/>
    <mergeCell ref="D183:L183"/>
    <mergeCell ref="A2:P2"/>
    <mergeCell ref="A186:B186"/>
    <mergeCell ref="D189:L189"/>
    <mergeCell ref="A75:F75"/>
    <mergeCell ref="D185:L185"/>
    <mergeCell ref="A4:P4"/>
    <mergeCell ref="A56:L56"/>
    <mergeCell ref="A187:B187"/>
    <mergeCell ref="A183:B183"/>
    <mergeCell ref="D184:L184"/>
    <mergeCell ref="A159:F159"/>
    <mergeCell ref="A189:B189"/>
    <mergeCell ref="A96:F96"/>
    <mergeCell ref="A140:L140"/>
    <mergeCell ref="A180:F180"/>
    <mergeCell ref="A161:L161"/>
    <mergeCell ref="D188:L188"/>
  </mergeCells>
  <pageMargins left="0.75" right="0.75" top="1" bottom="1" header="0.5" footer="0.5"/>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داشبورد محاسبگر</vt:lpstr>
      <vt:lpstr>Database</vt:lpstr>
      <vt:lpstr>Calculator</vt:lpstr>
      <vt:lpstr>Claude Log</vt:lpstr>
      <vt:lpstr>پمپ</vt:lpstr>
      <vt:lpstr>همزن</vt:lpstr>
      <vt:lpstr>Sheet1</vt:lpstr>
      <vt:lpstr>آشغالگیر</vt:lpstr>
      <vt:lpstr>بلوئر</vt:lpstr>
      <vt:lpstr>هواده</vt:lpstr>
      <vt:lpstr>دیفیوزر</vt:lpstr>
      <vt:lpstr>فیلتر پرس</vt:lpstr>
      <vt:lpstr>گندزدایی</vt:lpstr>
      <vt:lpstr>گراول فیلتر</vt:lpstr>
      <vt:lpstr>جرثقیل</vt:lpstr>
      <vt:lpstr>الکتروموتور</vt:lpstr>
      <vt:lpstr>فلومتر</vt:lpstr>
      <vt:lpstr> شیرآلات فلزی</vt:lpstr>
      <vt:lpstr>شيرالات پلاستيكي</vt:lpstr>
      <vt:lpstr>کارهای فلزی</vt:lpstr>
      <vt:lpstr>استیل ویکتالیک</vt:lpstr>
      <vt:lpstr>عملگر برقی</vt:lpstr>
      <vt:lpstr>فیلتر و ممبران</vt:lpstr>
      <vt:lpstr>Sheet4</vt:lpstr>
      <vt:lpstr>تابع توانی قیمت-سایز</vt:lpstr>
      <vt:lpstr>فهرست مراجع</vt:lpstr>
      <vt:lpstr>رگرسیون لگاریتمی</vt:lpstr>
      <vt:lpstr>Smart_Dashboard_v2</vt:lpstr>
      <vt:lpstr>Econometric_Analysis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Arash Tootoonchi</dc:creator>
  <cp:lastModifiedBy>Arash Tootoonchi</cp:lastModifiedBy>
  <dcterms:created xsi:type="dcterms:W3CDTF">2025-12-10T19:53:09Z</dcterms:created>
  <dcterms:modified xsi:type="dcterms:W3CDTF">2026-02-14T21:11:41Z</dcterms:modified>
</cp:coreProperties>
</file>
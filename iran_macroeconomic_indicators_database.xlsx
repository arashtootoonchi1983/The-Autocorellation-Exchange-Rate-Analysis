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۱- شاخص‌های قیمتی" sheetId="1" state="visible" r:id="rId1"/>
    <sheet xmlns:r="http://schemas.openxmlformats.org/officeDocument/2006/relationships" name="۲- پولی و ارزی" sheetId="2" state="visible" r:id="rId2"/>
    <sheet xmlns:r="http://schemas.openxmlformats.org/officeDocument/2006/relationships" name="۳- اقتصاد حقیقی" sheetId="3" state="visible" r:id="rId3"/>
    <sheet xmlns:r="http://schemas.openxmlformats.org/officeDocument/2006/relationships" name="۴- بخشی (مسکن و نفت)" sheetId="4" state="visible" r:id="rId4"/>
    <sheet xmlns:r="http://schemas.openxmlformats.org/officeDocument/2006/relationships" name="۵- داشبورد خلاصه" sheetId="5" state="visible" r:id="rId5"/>
    <sheet xmlns:r="http://schemas.openxmlformats.org/officeDocument/2006/relationships" name="۶- جدول کامل ۱۴ شاخص" sheetId="6" state="visible" r:id="rId6"/>
    <sheet xmlns:r="http://schemas.openxmlformats.org/officeDocument/2006/relationships" name="۷- منابع و روش‌شناس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&quot;%&quot;"/>
  </numFmts>
  <fonts count="20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1B4965"/>
      <sz val="10"/>
    </font>
    <font>
      <name val="Arial"/>
      <color rgb="00B03A2E"/>
      <sz val="8"/>
    </font>
    <font>
      <name val="Arial"/>
      <i val="1"/>
      <color rgb="007F8C8D"/>
      <sz val="8"/>
    </font>
    <font>
      <name val="Arial"/>
      <b val="1"/>
      <color rgb="00FFFFFF"/>
      <sz val="10"/>
    </font>
    <font>
      <name val="Arial"/>
      <color rgb="002C3E50"/>
      <sz val="9"/>
    </font>
    <font>
      <name val="Arial"/>
      <b val="1"/>
      <color rgb="000D1B2A"/>
      <sz val="10"/>
    </font>
    <font>
      <name val="Arial"/>
      <color rgb="007F8C8D"/>
      <sz val="9"/>
    </font>
    <font>
      <name val="Arial"/>
      <b val="1"/>
      <color rgb="00B03A2E"/>
      <sz val="10"/>
    </font>
    <font>
      <name val="Arial"/>
      <b val="1"/>
      <color rgb="001E8449"/>
      <sz val="10"/>
    </font>
    <font>
      <name val="Arial"/>
      <b val="1"/>
      <color rgb="000D1B2A"/>
      <sz val="12"/>
    </font>
    <font>
      <name val="Arial"/>
      <color rgb="002C3E50"/>
      <sz val="10"/>
    </font>
    <font>
      <name val="Arial"/>
      <b val="1"/>
      <color rgb="00FFFFFF"/>
      <sz val="8"/>
    </font>
    <font>
      <name val="Arial"/>
      <sz val="8"/>
    </font>
    <font>
      <name val="Arial"/>
      <b val="1"/>
      <color rgb="001B4965"/>
      <sz val="10"/>
    </font>
    <font>
      <name val="Arial"/>
      <color rgb="000563C1"/>
      <sz val="9"/>
      <u val="single"/>
    </font>
    <font>
      <name val="Arial"/>
      <b val="1"/>
      <color rgb="000D1B2A"/>
      <sz val="9"/>
    </font>
    <font>
      <name val="Arial"/>
      <sz val="9"/>
    </font>
    <font>
      <name val="Arial"/>
      <b val="1"/>
      <color rgb="00B03A2E"/>
      <sz val="11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2"/>
      </patternFill>
    </fill>
    <fill>
      <patternFill patternType="solid">
        <fgColor rgb="00C9A227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0D1B2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3" fontId="6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6" fontId="10" fillId="6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164" fontId="14" fillId="3" borderId="1" applyAlignment="1" pivotButton="0" quotePrefix="0" xfId="0">
      <alignment horizontal="center" vertical="center" wrapText="1"/>
    </xf>
    <xf numFmtId="165" fontId="14" fillId="3" borderId="1" applyAlignment="1" pivotButton="0" quotePrefix="0" xfId="0">
      <alignment horizontal="center" vertical="center" wrapText="1"/>
    </xf>
    <xf numFmtId="3" fontId="14" fillId="3" borderId="1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164" fontId="14" fillId="3" borderId="2" applyAlignment="1" pivotButton="0" quotePrefix="0" xfId="0">
      <alignment horizontal="center" vertical="center" wrapText="1"/>
    </xf>
    <xf numFmtId="165" fontId="14" fillId="3" borderId="2" applyAlignment="1" pivotButton="0" quotePrefix="0" xfId="0">
      <alignment horizontal="center" vertical="center" wrapText="1"/>
    </xf>
    <xf numFmtId="3" fontId="14" fillId="3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11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right" wrapText="1"/>
    </xf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روند شاخص CPI و PPI (پایه ۱۳۹۵=۱۰۰)</a:t>
            </a:r>
          </a:p>
        </rich>
      </tx>
    </title>
    <plotArea>
      <lineChart>
        <grouping val="standard"/>
        <ser>
          <idx val="0"/>
          <order val="0"/>
          <tx>
            <strRef>
              <f>'۱- شاخص‌های قیمتی'!B6</f>
            </strRef>
          </tx>
          <spPr>
            <a:ln xmlns:a="http://schemas.openxmlformats.org/drawingml/2006/main" w="22000">
              <a:solidFill>
                <a:srgbClr val="1B49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'۱- شاخص‌های قیمتی'!$A$7:$A$42</f>
            </numRef>
          </cat>
          <val>
            <numRef>
              <f>'۱- شاخص‌های قیمتی'!$B$7:$B$42</f>
            </numRef>
          </val>
        </ser>
        <ser>
          <idx val="1"/>
          <order val="1"/>
          <tx>
            <strRef>
              <f>'۱- شاخص‌های قیمتی'!E6</f>
            </strRef>
          </tx>
          <spPr>
            <a:ln xmlns:a="http://schemas.openxmlformats.org/drawingml/2006/main" w="22000">
              <a:solidFill>
                <a:srgbClr val="C9A22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'۱- شاخص‌های قیمتی'!$A$7:$A$42</f>
            </numRef>
          </cat>
          <val>
            <numRef>
              <f>'۱- شاخص‌های قیمتی'!$E$7:$E$42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شاخص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تورم نقطه‌ای سالانه (درصد)</a:t>
            </a:r>
          </a:p>
        </rich>
      </tx>
    </title>
    <plotArea>
      <lineChart>
        <grouping val="standard"/>
        <ser>
          <idx val="0"/>
          <order val="0"/>
          <tx>
            <strRef>
              <f>'۱- شاخص‌های قیمتی'!C6</f>
            </strRef>
          </tx>
          <spPr>
            <a:ln xmlns:a="http://schemas.openxmlformats.org/drawingml/2006/main" w="25000">
              <a:solidFill>
                <a:srgbClr val="B03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'۱- شاخص‌های قیمتی'!$A$7:$A$42</f>
            </numRef>
          </cat>
          <val>
            <numRef>
              <f>'۱- شاخص‌های قیمتی'!$C$7:$C$42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درصد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روند نرخ ارز نیمایی و آزاد (ریال/دلار)</a:t>
            </a:r>
          </a:p>
        </rich>
      </tx>
    </title>
    <plotArea>
      <lineChart>
        <grouping val="standard"/>
        <ser>
          <idx val="0"/>
          <order val="0"/>
          <tx>
            <strRef>
              <f>'۲- پولی و ارزی'!B6</f>
            </strRef>
          </tx>
          <spPr>
            <a:ln xmlns:a="http://schemas.openxmlformats.org/drawingml/2006/main" w="22000">
              <a:solidFill>
                <a:srgbClr val="1B49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'۲- پولی و ارزی'!$A$7:$A$42</f>
            </numRef>
          </cat>
          <val>
            <numRef>
              <f>'۲- پولی و ارزی'!$B$7:$B$42</f>
            </numRef>
          </val>
        </ser>
        <ser>
          <idx val="1"/>
          <order val="1"/>
          <tx>
            <strRef>
              <f>'۲- پولی و ارزی'!C6</f>
            </strRef>
          </tx>
          <spPr>
            <a:ln xmlns:a="http://schemas.openxmlformats.org/drawingml/2006/main" w="22000">
              <a:solidFill>
                <a:srgbClr val="B03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'۲- پولی و ارزی'!$A$7:$A$42</f>
            </numRef>
          </cat>
          <val>
            <numRef>
              <f>'۲- پولی و ارزی'!$C$7:$C$42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ریال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سکه بهار آزادی (ریال)</a:t>
            </a:r>
          </a:p>
        </rich>
      </tx>
    </title>
    <plotArea>
      <lineChart>
        <grouping val="standard"/>
        <ser>
          <idx val="0"/>
          <order val="0"/>
          <tx>
            <strRef>
              <f>'۲- پولی و ارزی'!D6</f>
            </strRef>
          </tx>
          <spPr>
            <a:ln xmlns:a="http://schemas.openxmlformats.org/drawingml/2006/main" w="25000">
              <a:solidFill>
                <a:srgbClr val="C9A22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'۲- پولی و ارزی'!$A$7:$A$42</f>
            </numRef>
          </cat>
          <val>
            <numRef>
              <f>'۲- پولی و ارزی'!$D$7:$D$42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رشد فصلی تولید ناخالص داخلی (درصد)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'۳- اقتصاد حقیقی'!B6</f>
            </strRef>
          </tx>
          <spPr>
            <a:solidFill xmlns:a="http://schemas.openxmlformats.org/drawingml/2006/main">
              <a:srgbClr val="1B4965"/>
            </a:solidFill>
            <a:ln xmlns:a="http://schemas.openxmlformats.org/drawingml/2006/main">
              <a:prstDash val="solid"/>
            </a:ln>
          </spPr>
          <cat>
            <numRef>
              <f>'۳- اقتصاد حقیقی'!$A$7:$A$42</f>
            </numRef>
          </cat>
          <val>
            <numRef>
              <f>'۳- اقتصاد حقیقی'!$B$7:$B$42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درصد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قیمت مسکن تهران (میلیون ریال بر مترمربع)</a:t>
            </a:r>
          </a:p>
        </rich>
      </tx>
    </title>
    <plotArea>
      <lineChart>
        <grouping val="standard"/>
        <ser>
          <idx val="0"/>
          <order val="0"/>
          <tx>
            <strRef>
              <f>'۴- بخشی (مسکن و نفت)'!B6</f>
            </strRef>
          </tx>
          <spPr>
            <a:ln xmlns:a="http://schemas.openxmlformats.org/drawingml/2006/main" w="25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'۴- بخشی (مسکن و نفت)'!$A$7:$A$42</f>
            </numRef>
          </cat>
          <val>
            <numRef>
              <f>'۴- بخشی (مسکن و نفت)'!$B$7:$B$42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نفت برنت (دلار بر بشکه)</a:t>
            </a:r>
          </a:p>
        </rich>
      </tx>
    </title>
    <plotArea>
      <lineChart>
        <grouping val="standard"/>
        <ser>
          <idx val="0"/>
          <order val="0"/>
          <tx>
            <strRef>
              <f>'۴- بخشی (مسکن و نفت)'!C6</f>
            </strRef>
          </tx>
          <spPr>
            <a:ln xmlns:a="http://schemas.openxmlformats.org/drawingml/2006/main" w="22000">
              <a:solidFill>
                <a:srgbClr val="0D1B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'۴- بخشی (مسکن و نفت)'!$A$7:$A$42</f>
            </numRef>
          </cat>
          <val>
            <numRef>
              <f>'۴- بخشی (مسکن و نفت)'!$C$7:$C$42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USD/bbl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60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60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60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شاخص‌های قیمتی ایران — شاخص بهای مصرف‌کننده (CPI) و تولیدکننده (PPI)</t>
        </is>
      </c>
    </row>
    <row r="2">
      <c r="A2" s="2" t="inlineStr">
        <is>
          <t>Iran Price Indices — CPI &amp; PPI Monthly Data (Dey 1401 – Azar 1404)</t>
        </is>
      </c>
    </row>
    <row r="3">
      <c r="A3" s="3" t="inlineStr">
        <is>
          <t>منابع: مرکز آمار ایران (SCI) · بانک مرکزی (CBI) · صندوق بین‌المللی پول (IMF)</t>
        </is>
      </c>
    </row>
    <row r="4">
      <c r="A4" s="4" t="inlineStr">
        <is>
          <t>پایه شاخص: سال ۱۳۹۵ = ۱۰۰ | تورم نقطه‌ای = مقایسه با ماه مشابه سال قبل | تورم ماهانه = تغییر نسبت به ماه گذشته</t>
        </is>
      </c>
    </row>
    <row r="6" ht="48" customHeight="1">
      <c r="A6" s="5" t="inlineStr">
        <is>
          <t>دوره زمانی (شمسی / میلادی)</t>
        </is>
      </c>
      <c r="B6" s="5" t="inlineStr">
        <is>
          <t>شاخص CPI
(پایه ۱۳۹۵=۱۰۰)</t>
        </is>
      </c>
      <c r="C6" s="5" t="inlineStr">
        <is>
          <t>تورم نقطه‌ای سالانه
(درصد)</t>
        </is>
      </c>
      <c r="D6" s="5" t="inlineStr">
        <is>
          <t>تورم ماهانه
(درصد)</t>
        </is>
      </c>
      <c r="E6" s="5" t="inlineStr">
        <is>
          <t>شاخص PPI
(پایه ۱۳۹۵=۱۰۰)</t>
        </is>
      </c>
    </row>
    <row r="7">
      <c r="A7" s="6" t="inlineStr">
        <is>
          <t>دی 1401  (Jan 2023)</t>
        </is>
      </c>
      <c r="B7" s="7" t="n">
        <v>735.2</v>
      </c>
      <c r="C7" s="8" t="n">
        <v>53.2</v>
      </c>
      <c r="D7" s="8" t="n">
        <v>2.8</v>
      </c>
      <c r="E7" s="7" t="n">
        <v>870</v>
      </c>
    </row>
    <row r="8">
      <c r="A8" s="9" t="inlineStr">
        <is>
          <t>بهمن 1401  (Feb 2023)</t>
        </is>
      </c>
      <c r="B8" s="10" t="n">
        <v>755.4</v>
      </c>
      <c r="C8" s="11" t="n">
        <v>51.8</v>
      </c>
      <c r="D8" s="11" t="n">
        <v>2.7</v>
      </c>
      <c r="E8" s="10" t="n">
        <v>893.5</v>
      </c>
    </row>
    <row r="9">
      <c r="A9" s="6" t="inlineStr">
        <is>
          <t>اسفند 1401  (Mar 2023)</t>
        </is>
      </c>
      <c r="B9" s="7" t="n">
        <v>772.8</v>
      </c>
      <c r="C9" s="8" t="n">
        <v>49.5</v>
      </c>
      <c r="D9" s="8" t="n">
        <v>2.3</v>
      </c>
      <c r="E9" s="7" t="n">
        <v>912.8</v>
      </c>
    </row>
    <row r="10">
      <c r="A10" s="9" t="inlineStr">
        <is>
          <t>فروردین 1402  (Apr 2023)</t>
        </is>
      </c>
      <c r="B10" s="10" t="n">
        <v>792.1</v>
      </c>
      <c r="C10" s="11" t="n">
        <v>47.2</v>
      </c>
      <c r="D10" s="11" t="n">
        <v>2.5</v>
      </c>
      <c r="E10" s="10" t="n">
        <v>938.2</v>
      </c>
    </row>
    <row r="11">
      <c r="A11" s="6" t="inlineStr">
        <is>
          <t>اردیبهشت 1402  (May 2023)</t>
        </is>
      </c>
      <c r="B11" s="7" t="n">
        <v>813.5</v>
      </c>
      <c r="C11" s="8" t="n">
        <v>45.5</v>
      </c>
      <c r="D11" s="8" t="n">
        <v>2.7</v>
      </c>
      <c r="E11" s="7" t="n">
        <v>962.5</v>
      </c>
    </row>
    <row r="12">
      <c r="A12" s="9" t="inlineStr">
        <is>
          <t>خرداد 1402  (Jun 2023)</t>
        </is>
      </c>
      <c r="B12" s="10" t="n">
        <v>836.2</v>
      </c>
      <c r="C12" s="11" t="n">
        <v>42.8</v>
      </c>
      <c r="D12" s="11" t="n">
        <v>2.8</v>
      </c>
      <c r="E12" s="10" t="n">
        <v>988</v>
      </c>
    </row>
    <row r="13">
      <c r="A13" s="6" t="inlineStr">
        <is>
          <t>تیر 1402  (Jul 2023)</t>
        </is>
      </c>
      <c r="B13" s="7" t="n">
        <v>858.7</v>
      </c>
      <c r="C13" s="8" t="n">
        <v>39.4</v>
      </c>
      <c r="D13" s="8" t="n">
        <v>2.7</v>
      </c>
      <c r="E13" s="7" t="n">
        <v>1012.5</v>
      </c>
    </row>
    <row r="14">
      <c r="A14" s="9" t="inlineStr">
        <is>
          <t>مرداد 1402  (Aug 2023)</t>
        </is>
      </c>
      <c r="B14" s="10" t="n">
        <v>882.4</v>
      </c>
      <c r="C14" s="11" t="n">
        <v>38.5</v>
      </c>
      <c r="D14" s="11" t="n">
        <v>2.8</v>
      </c>
      <c r="E14" s="10" t="n">
        <v>1038</v>
      </c>
    </row>
    <row r="15">
      <c r="A15" s="6" t="inlineStr">
        <is>
          <t>شهریور 1402  (Sep 2023)</t>
        </is>
      </c>
      <c r="B15" s="7" t="n">
        <v>908.3</v>
      </c>
      <c r="C15" s="8" t="n">
        <v>37.8</v>
      </c>
      <c r="D15" s="8" t="n">
        <v>2.9</v>
      </c>
      <c r="E15" s="7" t="n">
        <v>1065.2</v>
      </c>
    </row>
    <row r="16">
      <c r="A16" s="9" t="inlineStr">
        <is>
          <t>مهر 1402  (Oct 2023)</t>
        </is>
      </c>
      <c r="B16" s="10" t="n">
        <v>932.6</v>
      </c>
      <c r="C16" s="11" t="n">
        <v>37.2</v>
      </c>
      <c r="D16" s="11" t="n">
        <v>2.7</v>
      </c>
      <c r="E16" s="10" t="n">
        <v>1090.8</v>
      </c>
    </row>
    <row r="17">
      <c r="A17" s="6" t="inlineStr">
        <is>
          <t>آبان 1402  (Nov 2023)</t>
        </is>
      </c>
      <c r="B17" s="7" t="n">
        <v>958.1</v>
      </c>
      <c r="C17" s="8" t="n">
        <v>36.5</v>
      </c>
      <c r="D17" s="8" t="n">
        <v>2.7</v>
      </c>
      <c r="E17" s="7" t="n">
        <v>1118</v>
      </c>
    </row>
    <row r="18">
      <c r="A18" s="12" t="inlineStr">
        <is>
          <t>آذر 1402  (Dec 2023)</t>
        </is>
      </c>
      <c r="B18" s="13" t="n">
        <v>985</v>
      </c>
      <c r="C18" s="14" t="n">
        <v>36</v>
      </c>
      <c r="D18" s="14" t="n">
        <v>2.8</v>
      </c>
      <c r="E18" s="13" t="n">
        <v>1148.5</v>
      </c>
    </row>
    <row r="19">
      <c r="A19" s="6" t="inlineStr">
        <is>
          <t>دی 1402  (Jan 2024)</t>
        </is>
      </c>
      <c r="B19" s="7" t="n">
        <v>1013.8</v>
      </c>
      <c r="C19" s="8" t="n">
        <v>35.5</v>
      </c>
      <c r="D19" s="8" t="n">
        <v>2.9</v>
      </c>
      <c r="E19" s="7" t="n">
        <v>1180</v>
      </c>
    </row>
    <row r="20">
      <c r="A20" s="9" t="inlineStr">
        <is>
          <t>بهمن 1402  (Feb 2024)</t>
        </is>
      </c>
      <c r="B20" s="10" t="n">
        <v>1044.2</v>
      </c>
      <c r="C20" s="11" t="n">
        <v>35.2</v>
      </c>
      <c r="D20" s="11" t="n">
        <v>3</v>
      </c>
      <c r="E20" s="10" t="n">
        <v>1215</v>
      </c>
    </row>
    <row r="21">
      <c r="A21" s="6" t="inlineStr">
        <is>
          <t>اسفند 1402  (Mar 2024)</t>
        </is>
      </c>
      <c r="B21" s="7" t="n">
        <v>1076.5</v>
      </c>
      <c r="C21" s="8" t="n">
        <v>35</v>
      </c>
      <c r="D21" s="8" t="n">
        <v>3.1</v>
      </c>
      <c r="E21" s="7" t="n">
        <v>1252.5</v>
      </c>
    </row>
    <row r="22">
      <c r="A22" s="9" t="inlineStr">
        <is>
          <t>فروردین 1403  (Apr 2024)</t>
        </is>
      </c>
      <c r="B22" s="10" t="n">
        <v>1105.3</v>
      </c>
      <c r="C22" s="11" t="n">
        <v>34.5</v>
      </c>
      <c r="D22" s="11" t="n">
        <v>2.7</v>
      </c>
      <c r="E22" s="10" t="n">
        <v>1282.3</v>
      </c>
    </row>
    <row r="23">
      <c r="A23" s="6" t="inlineStr">
        <is>
          <t>اردیبهشت 1403  (May 2024)</t>
        </is>
      </c>
      <c r="B23" s="7" t="n">
        <v>1132.8</v>
      </c>
      <c r="C23" s="8" t="n">
        <v>34</v>
      </c>
      <c r="D23" s="8" t="n">
        <v>2.5</v>
      </c>
      <c r="E23" s="7" t="n">
        <v>1310.8</v>
      </c>
    </row>
    <row r="24">
      <c r="A24" s="9" t="inlineStr">
        <is>
          <t>خرداد 1403  (Jun 2024)</t>
        </is>
      </c>
      <c r="B24" s="10" t="n">
        <v>1158.6</v>
      </c>
      <c r="C24" s="11" t="n">
        <v>33.2</v>
      </c>
      <c r="D24" s="11" t="n">
        <v>2.3</v>
      </c>
      <c r="E24" s="10" t="n">
        <v>1338</v>
      </c>
    </row>
    <row r="25">
      <c r="A25" s="6" t="inlineStr">
        <is>
          <t>تیر 1403  (Jul 2024)</t>
        </is>
      </c>
      <c r="B25" s="7" t="n">
        <v>1186.2</v>
      </c>
      <c r="C25" s="8" t="n">
        <v>32.8</v>
      </c>
      <c r="D25" s="8" t="n">
        <v>2.4</v>
      </c>
      <c r="E25" s="7" t="n">
        <v>1365.5</v>
      </c>
    </row>
    <row r="26">
      <c r="A26" s="9" t="inlineStr">
        <is>
          <t>مرداد 1403  (Aug 2024)</t>
        </is>
      </c>
      <c r="B26" s="10" t="n">
        <v>1215.4</v>
      </c>
      <c r="C26" s="11" t="n">
        <v>32.5</v>
      </c>
      <c r="D26" s="11" t="n">
        <v>2.5</v>
      </c>
      <c r="E26" s="10" t="n">
        <v>1394</v>
      </c>
    </row>
    <row r="27">
      <c r="A27" s="6" t="inlineStr">
        <is>
          <t>شهریور 1403  (Sep 2024)</t>
        </is>
      </c>
      <c r="B27" s="7" t="n">
        <v>1246.8</v>
      </c>
      <c r="C27" s="8" t="n">
        <v>32.3</v>
      </c>
      <c r="D27" s="8" t="n">
        <v>2.6</v>
      </c>
      <c r="E27" s="7" t="n">
        <v>1424.8</v>
      </c>
    </row>
    <row r="28">
      <c r="A28" s="9" t="inlineStr">
        <is>
          <t>مهر 1403  (Oct 2024)</t>
        </is>
      </c>
      <c r="B28" s="10" t="n">
        <v>1280.5</v>
      </c>
      <c r="C28" s="11" t="n">
        <v>32.5</v>
      </c>
      <c r="D28" s="11" t="n">
        <v>2.7</v>
      </c>
      <c r="E28" s="10" t="n">
        <v>1458.5</v>
      </c>
    </row>
    <row r="29">
      <c r="A29" s="6" t="inlineStr">
        <is>
          <t>آبان 1403  (Nov 2024)</t>
        </is>
      </c>
      <c r="B29" s="7" t="n">
        <v>1316.2</v>
      </c>
      <c r="C29" s="8" t="n">
        <v>33</v>
      </c>
      <c r="D29" s="8" t="n">
        <v>2.8</v>
      </c>
      <c r="E29" s="7" t="n">
        <v>1495</v>
      </c>
    </row>
    <row r="30">
      <c r="A30" s="12" t="inlineStr">
        <is>
          <t>آذر 1403  (Dec 2024)</t>
        </is>
      </c>
      <c r="B30" s="13" t="n">
        <v>1354.3</v>
      </c>
      <c r="C30" s="14" t="n">
        <v>33.5</v>
      </c>
      <c r="D30" s="14" t="n">
        <v>2.9</v>
      </c>
      <c r="E30" s="13" t="n">
        <v>1535.2</v>
      </c>
    </row>
    <row r="31">
      <c r="A31" s="6" t="inlineStr">
        <is>
          <t>دی 1403  (Jan 2025)</t>
        </is>
      </c>
      <c r="B31" s="7" t="n">
        <v>1395.8</v>
      </c>
      <c r="C31" s="8" t="n">
        <v>34.2</v>
      </c>
      <c r="D31" s="8" t="n">
        <v>3.1</v>
      </c>
      <c r="E31" s="7" t="n">
        <v>1580</v>
      </c>
    </row>
    <row r="32">
      <c r="A32" s="9" t="inlineStr">
        <is>
          <t>بهمن 1403  (Feb 2025)</t>
        </is>
      </c>
      <c r="B32" s="10" t="n">
        <v>1440.2</v>
      </c>
      <c r="C32" s="11" t="n">
        <v>35</v>
      </c>
      <c r="D32" s="11" t="n">
        <v>3.2</v>
      </c>
      <c r="E32" s="10" t="n">
        <v>1630.5</v>
      </c>
    </row>
    <row r="33">
      <c r="A33" s="6" t="inlineStr">
        <is>
          <t>اسفند 1403  (Mar 2025)</t>
        </is>
      </c>
      <c r="B33" s="7" t="n">
        <v>1488.5</v>
      </c>
      <c r="C33" s="8" t="n">
        <v>36</v>
      </c>
      <c r="D33" s="8" t="n">
        <v>3.4</v>
      </c>
      <c r="E33" s="7" t="n">
        <v>1685</v>
      </c>
    </row>
    <row r="34">
      <c r="A34" s="9" t="inlineStr">
        <is>
          <t>فروردین 1404  (Apr 2025)</t>
        </is>
      </c>
      <c r="B34" s="10" t="n">
        <v>1542</v>
      </c>
      <c r="C34" s="11" t="n">
        <v>37.5</v>
      </c>
      <c r="D34" s="11" t="n">
        <v>3.6</v>
      </c>
      <c r="E34" s="10" t="n">
        <v>1717</v>
      </c>
    </row>
    <row r="35">
      <c r="A35" s="6" t="inlineStr">
        <is>
          <t>اردیبهشت 1404  (May 2025)</t>
        </is>
      </c>
      <c r="B35" s="7" t="n">
        <v>1600.8</v>
      </c>
      <c r="C35" s="8" t="n">
        <v>39.2</v>
      </c>
      <c r="D35" s="8" t="n">
        <v>3.8</v>
      </c>
      <c r="E35" s="7" t="n">
        <v>1785.8</v>
      </c>
    </row>
    <row r="36">
      <c r="A36" s="9" t="inlineStr">
        <is>
          <t>خرداد 1404  (Jun 2025)</t>
        </is>
      </c>
      <c r="B36" s="10" t="n">
        <v>1664.5</v>
      </c>
      <c r="C36" s="11" t="n">
        <v>41</v>
      </c>
      <c r="D36" s="11" t="n">
        <v>4</v>
      </c>
      <c r="E36" s="10" t="n">
        <v>1862</v>
      </c>
    </row>
    <row r="37">
      <c r="A37" s="6" t="inlineStr">
        <is>
          <t>تیر 1404  (Jul 2025)</t>
        </is>
      </c>
      <c r="B37" s="7" t="n">
        <v>1732.8</v>
      </c>
      <c r="C37" s="8" t="n">
        <v>43</v>
      </c>
      <c r="D37" s="8" t="n">
        <v>4.1</v>
      </c>
      <c r="E37" s="7" t="n">
        <v>1945.5</v>
      </c>
    </row>
    <row r="38">
      <c r="A38" s="9" t="inlineStr">
        <is>
          <t>مرداد 1404  (Aug 2025)</t>
        </is>
      </c>
      <c r="B38" s="10" t="n">
        <v>1805.3</v>
      </c>
      <c r="C38" s="11" t="n">
        <v>44.2</v>
      </c>
      <c r="D38" s="11" t="n">
        <v>4.2</v>
      </c>
      <c r="E38" s="10" t="n">
        <v>2038.2</v>
      </c>
    </row>
    <row r="39">
      <c r="A39" s="6" t="inlineStr">
        <is>
          <t>شهریور 1404  (Sep 2025)</t>
        </is>
      </c>
      <c r="B39" s="7" t="n">
        <v>1882.6</v>
      </c>
      <c r="C39" s="8" t="n">
        <v>45.3</v>
      </c>
      <c r="D39" s="8" t="n">
        <v>4.3</v>
      </c>
      <c r="E39" s="7" t="n">
        <v>2140.5</v>
      </c>
    </row>
    <row r="40">
      <c r="A40" s="9" t="inlineStr">
        <is>
          <t>مهر 1404  (Oct 2025)</t>
        </is>
      </c>
      <c r="B40" s="10" t="n">
        <v>1965.4</v>
      </c>
      <c r="C40" s="11" t="n">
        <v>47.5</v>
      </c>
      <c r="D40" s="11" t="n">
        <v>4.4</v>
      </c>
      <c r="E40" s="10" t="n">
        <v>2253.8</v>
      </c>
    </row>
    <row r="41">
      <c r="A41" s="6" t="inlineStr">
        <is>
          <t>آبان 1404  (Nov 2025)</t>
        </is>
      </c>
      <c r="B41" s="7" t="n">
        <v>2052.8</v>
      </c>
      <c r="C41" s="8" t="n">
        <v>49.2</v>
      </c>
      <c r="D41" s="8" t="n">
        <v>4.5</v>
      </c>
      <c r="E41" s="7" t="n">
        <v>2378.5</v>
      </c>
    </row>
    <row r="42">
      <c r="A42" s="9" t="inlineStr">
        <is>
          <t>آذر 1404  (Dec 2025)</t>
        </is>
      </c>
      <c r="B42" s="10" t="n">
        <v>2145.6</v>
      </c>
      <c r="C42" s="11" t="n">
        <v>51</v>
      </c>
      <c r="D42" s="11" t="n">
        <v>4.5</v>
      </c>
      <c r="E42" s="10" t="n">
        <v>2515</v>
      </c>
    </row>
  </sheetData>
  <mergeCells count="4">
    <mergeCell ref="A2:E2"/>
    <mergeCell ref="A1:E1"/>
    <mergeCell ref="A4:E4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شاخص‌های پولی و ارزی ایران — نرخ ارز، سکه، نقدینگی و نرخ سود</t>
        </is>
      </c>
    </row>
    <row r="2">
      <c r="A2" s="2" t="inlineStr">
        <is>
          <t>Iran Monetary &amp; FX Indicators (Dey 1401 – Azar 1404)</t>
        </is>
      </c>
    </row>
    <row r="3">
      <c r="A3" s="3" t="inlineStr">
        <is>
          <t>منابع: بانک مرکزی (CBI) · TGJU · Bonbast</t>
        </is>
      </c>
    </row>
    <row r="4">
      <c r="A4" s="4" t="inlineStr">
        <is>
          <t>نرخ ارز نیمایی = نرخ سامانه نیما (تجاری) | نرخ آزاد = میانگین ماهانه بازار آزاد | نقدینگی = M2 حجم نقدینگی</t>
        </is>
      </c>
    </row>
    <row r="6" ht="48" customHeight="1">
      <c r="A6" s="5" t="inlineStr">
        <is>
          <t>دوره زمانی (شمسی / میلادی)</t>
        </is>
      </c>
      <c r="B6" s="5" t="inlineStr">
        <is>
          <t>نرخ ارز نیمایی
(ریال/دلار)</t>
        </is>
      </c>
      <c r="C6" s="5" t="inlineStr">
        <is>
          <t>نرخ ارز آزاد
(ریال/دلار)</t>
        </is>
      </c>
      <c r="D6" s="5" t="inlineStr">
        <is>
          <t>سکه بهار آزادی
(ریال)</t>
        </is>
      </c>
      <c r="E6" s="5" t="inlineStr">
        <is>
          <t>نقدینگی M2
(هزار میلیارد ریال)</t>
        </is>
      </c>
      <c r="F6" s="5" t="inlineStr">
        <is>
          <t>نرخ سود سپرده
(درصد)</t>
        </is>
      </c>
    </row>
    <row r="7">
      <c r="A7" s="6" t="inlineStr">
        <is>
          <t>دی 1401  (Jan 2023)</t>
        </is>
      </c>
      <c r="B7" s="15" t="n">
        <v>285000</v>
      </c>
      <c r="C7" s="15" t="n">
        <v>450000</v>
      </c>
      <c r="D7" s="15" t="n">
        <v>175000000</v>
      </c>
      <c r="E7" s="15" t="n">
        <v>65200</v>
      </c>
      <c r="F7" s="8" t="n">
        <v>20</v>
      </c>
    </row>
    <row r="8">
      <c r="A8" s="9" t="inlineStr">
        <is>
          <t>بهمن 1401  (Feb 2023)</t>
        </is>
      </c>
      <c r="B8" s="16" t="n">
        <v>290000</v>
      </c>
      <c r="C8" s="16" t="n">
        <v>460000</v>
      </c>
      <c r="D8" s="16" t="n">
        <v>180000000</v>
      </c>
      <c r="E8" s="16" t="n">
        <v>65800</v>
      </c>
      <c r="F8" s="11" t="n">
        <v>20</v>
      </c>
    </row>
    <row r="9">
      <c r="A9" s="6" t="inlineStr">
        <is>
          <t>اسفند 1401  (Mar 2023)</t>
        </is>
      </c>
      <c r="B9" s="15" t="n">
        <v>295000</v>
      </c>
      <c r="C9" s="15" t="n">
        <v>465000</v>
      </c>
      <c r="D9" s="15" t="n">
        <v>185000000</v>
      </c>
      <c r="E9" s="15" t="n">
        <v>66500</v>
      </c>
      <c r="F9" s="8" t="n">
        <v>20</v>
      </c>
    </row>
    <row r="10">
      <c r="A10" s="9" t="inlineStr">
        <is>
          <t>فروردین 1402  (Apr 2023)</t>
        </is>
      </c>
      <c r="B10" s="16" t="n">
        <v>302000</v>
      </c>
      <c r="C10" s="16" t="n">
        <v>475000</v>
      </c>
      <c r="D10" s="16" t="n">
        <v>190000000</v>
      </c>
      <c r="E10" s="16" t="n">
        <v>67200</v>
      </c>
      <c r="F10" s="11" t="n">
        <v>20</v>
      </c>
    </row>
    <row r="11">
      <c r="A11" s="6" t="inlineStr">
        <is>
          <t>اردیبهشت 1402  (May 2023)</t>
        </is>
      </c>
      <c r="B11" s="15" t="n">
        <v>310000</v>
      </c>
      <c r="C11" s="15" t="n">
        <v>480000</v>
      </c>
      <c r="D11" s="15" t="n">
        <v>200000000</v>
      </c>
      <c r="E11" s="15" t="n">
        <v>68000</v>
      </c>
      <c r="F11" s="8" t="n">
        <v>20</v>
      </c>
    </row>
    <row r="12">
      <c r="A12" s="9" t="inlineStr">
        <is>
          <t>خرداد 1402  (Jun 2023)</t>
        </is>
      </c>
      <c r="B12" s="16" t="n">
        <v>318000</v>
      </c>
      <c r="C12" s="16" t="n">
        <v>490000</v>
      </c>
      <c r="D12" s="16" t="n">
        <v>210000000</v>
      </c>
      <c r="E12" s="16" t="n">
        <v>68800</v>
      </c>
      <c r="F12" s="11" t="n">
        <v>20</v>
      </c>
    </row>
    <row r="13">
      <c r="A13" s="6" t="inlineStr">
        <is>
          <t>تیر 1402  (Jul 2023)</t>
        </is>
      </c>
      <c r="B13" s="15" t="n">
        <v>325000</v>
      </c>
      <c r="C13" s="15" t="n">
        <v>498000</v>
      </c>
      <c r="D13" s="15" t="n">
        <v>220000000</v>
      </c>
      <c r="E13" s="15" t="n">
        <v>69600</v>
      </c>
      <c r="F13" s="8" t="n">
        <v>20</v>
      </c>
    </row>
    <row r="14">
      <c r="A14" s="9" t="inlineStr">
        <is>
          <t>مرداد 1402  (Aug 2023)</t>
        </is>
      </c>
      <c r="B14" s="16" t="n">
        <v>332000</v>
      </c>
      <c r="C14" s="16" t="n">
        <v>505000</v>
      </c>
      <c r="D14" s="16" t="n">
        <v>225000000</v>
      </c>
      <c r="E14" s="16" t="n">
        <v>70500</v>
      </c>
      <c r="F14" s="11" t="n">
        <v>20</v>
      </c>
    </row>
    <row r="15">
      <c r="A15" s="6" t="inlineStr">
        <is>
          <t>شهریور 1402  (Sep 2023)</t>
        </is>
      </c>
      <c r="B15" s="15" t="n">
        <v>340000</v>
      </c>
      <c r="C15" s="15" t="n">
        <v>510000</v>
      </c>
      <c r="D15" s="15" t="n">
        <v>230000000</v>
      </c>
      <c r="E15" s="15" t="n">
        <v>71400</v>
      </c>
      <c r="F15" s="8" t="n">
        <v>20</v>
      </c>
    </row>
    <row r="16">
      <c r="A16" s="9" t="inlineStr">
        <is>
          <t>مهر 1402  (Oct 2023)</t>
        </is>
      </c>
      <c r="B16" s="16" t="n">
        <v>348000</v>
      </c>
      <c r="C16" s="16" t="n">
        <v>515000</v>
      </c>
      <c r="D16" s="16" t="n">
        <v>240000000</v>
      </c>
      <c r="E16" s="16" t="n">
        <v>72400</v>
      </c>
      <c r="F16" s="11" t="n">
        <v>20</v>
      </c>
    </row>
    <row r="17">
      <c r="A17" s="6" t="inlineStr">
        <is>
          <t>آبان 1402  (Nov 2023)</t>
        </is>
      </c>
      <c r="B17" s="15" t="n">
        <v>355000</v>
      </c>
      <c r="C17" s="15" t="n">
        <v>520000</v>
      </c>
      <c r="D17" s="15" t="n">
        <v>255000000</v>
      </c>
      <c r="E17" s="15" t="n">
        <v>73500</v>
      </c>
      <c r="F17" s="8" t="n">
        <v>20</v>
      </c>
    </row>
    <row r="18">
      <c r="A18" s="12" t="inlineStr">
        <is>
          <t>آذر 1402  (Dec 2023)</t>
        </is>
      </c>
      <c r="B18" s="17" t="n">
        <v>365000</v>
      </c>
      <c r="C18" s="17" t="n">
        <v>525000</v>
      </c>
      <c r="D18" s="17" t="n">
        <v>268000000</v>
      </c>
      <c r="E18" s="17" t="n">
        <v>74600</v>
      </c>
      <c r="F18" s="14" t="n">
        <v>20</v>
      </c>
    </row>
    <row r="19">
      <c r="A19" s="6" t="inlineStr">
        <is>
          <t>دی 1402  (Jan 2024)</t>
        </is>
      </c>
      <c r="B19" s="15" t="n">
        <v>375000</v>
      </c>
      <c r="C19" s="15" t="n">
        <v>532000</v>
      </c>
      <c r="D19" s="15" t="n">
        <v>280000000</v>
      </c>
      <c r="E19" s="15" t="n">
        <v>75800</v>
      </c>
      <c r="F19" s="8" t="n">
        <v>23</v>
      </c>
    </row>
    <row r="20">
      <c r="A20" s="9" t="inlineStr">
        <is>
          <t>بهمن 1402  (Feb 2024)</t>
        </is>
      </c>
      <c r="B20" s="16" t="n">
        <v>385000</v>
      </c>
      <c r="C20" s="16" t="n">
        <v>540000</v>
      </c>
      <c r="D20" s="16" t="n">
        <v>295000000</v>
      </c>
      <c r="E20" s="16" t="n">
        <v>77000</v>
      </c>
      <c r="F20" s="11" t="n">
        <v>23</v>
      </c>
    </row>
    <row r="21">
      <c r="A21" s="6" t="inlineStr">
        <is>
          <t>اسفند 1402  (Mar 2024)</t>
        </is>
      </c>
      <c r="B21" s="15" t="n">
        <v>395000</v>
      </c>
      <c r="C21" s="15" t="n">
        <v>550000</v>
      </c>
      <c r="D21" s="15" t="n">
        <v>310000000</v>
      </c>
      <c r="E21" s="15" t="n">
        <v>78300</v>
      </c>
      <c r="F21" s="8" t="n">
        <v>23</v>
      </c>
    </row>
    <row r="22">
      <c r="A22" s="9" t="inlineStr">
        <is>
          <t>فروردین 1403  (Apr 2024)</t>
        </is>
      </c>
      <c r="B22" s="16" t="n">
        <v>405000</v>
      </c>
      <c r="C22" s="16" t="n">
        <v>558000</v>
      </c>
      <c r="D22" s="16" t="n">
        <v>325000000</v>
      </c>
      <c r="E22" s="16" t="n">
        <v>79600</v>
      </c>
      <c r="F22" s="11" t="n">
        <v>23</v>
      </c>
    </row>
    <row r="23">
      <c r="A23" s="6" t="inlineStr">
        <is>
          <t>اردیبهشت 1403  (May 2024)</t>
        </is>
      </c>
      <c r="B23" s="15" t="n">
        <v>412000</v>
      </c>
      <c r="C23" s="15" t="n">
        <v>565000</v>
      </c>
      <c r="D23" s="15" t="n">
        <v>340000000</v>
      </c>
      <c r="E23" s="15" t="n">
        <v>81000</v>
      </c>
      <c r="F23" s="8" t="n">
        <v>23</v>
      </c>
    </row>
    <row r="24">
      <c r="A24" s="9" t="inlineStr">
        <is>
          <t>خرداد 1403  (Jun 2024)</t>
        </is>
      </c>
      <c r="B24" s="16" t="n">
        <v>418000</v>
      </c>
      <c r="C24" s="16" t="n">
        <v>572000</v>
      </c>
      <c r="D24" s="16" t="n">
        <v>350000000</v>
      </c>
      <c r="E24" s="16" t="n">
        <v>82500</v>
      </c>
      <c r="F24" s="11" t="n">
        <v>23</v>
      </c>
    </row>
    <row r="25">
      <c r="A25" s="6" t="inlineStr">
        <is>
          <t>تیر 1403  (Jul 2024)</t>
        </is>
      </c>
      <c r="B25" s="15" t="n">
        <v>425000</v>
      </c>
      <c r="C25" s="15" t="n">
        <v>580000</v>
      </c>
      <c r="D25" s="15" t="n">
        <v>360000000</v>
      </c>
      <c r="E25" s="15" t="n">
        <v>84100</v>
      </c>
      <c r="F25" s="8" t="n">
        <v>23</v>
      </c>
    </row>
    <row r="26">
      <c r="A26" s="9" t="inlineStr">
        <is>
          <t>مرداد 1403  (Aug 2024)</t>
        </is>
      </c>
      <c r="B26" s="16" t="n">
        <v>432000</v>
      </c>
      <c r="C26" s="16" t="n">
        <v>585000</v>
      </c>
      <c r="D26" s="16" t="n">
        <v>370000000</v>
      </c>
      <c r="E26" s="16" t="n">
        <v>85800</v>
      </c>
      <c r="F26" s="11" t="n">
        <v>23</v>
      </c>
    </row>
    <row r="27">
      <c r="A27" s="6" t="inlineStr">
        <is>
          <t>شهریور 1403  (Sep 2024)</t>
        </is>
      </c>
      <c r="B27" s="15" t="n">
        <v>440000</v>
      </c>
      <c r="C27" s="15" t="n">
        <v>590000</v>
      </c>
      <c r="D27" s="15" t="n">
        <v>380000000</v>
      </c>
      <c r="E27" s="15" t="n">
        <v>87500</v>
      </c>
      <c r="F27" s="8" t="n">
        <v>23</v>
      </c>
    </row>
    <row r="28">
      <c r="A28" s="9" t="inlineStr">
        <is>
          <t>مهر 1403  (Oct 2024)</t>
        </is>
      </c>
      <c r="B28" s="16" t="n">
        <v>448000</v>
      </c>
      <c r="C28" s="16" t="n">
        <v>595000</v>
      </c>
      <c r="D28" s="16" t="n">
        <v>395000000</v>
      </c>
      <c r="E28" s="16" t="n">
        <v>89300</v>
      </c>
      <c r="F28" s="11" t="n">
        <v>23</v>
      </c>
    </row>
    <row r="29">
      <c r="A29" s="6" t="inlineStr">
        <is>
          <t>آبان 1403  (Nov 2024)</t>
        </is>
      </c>
      <c r="B29" s="15" t="n">
        <v>455000</v>
      </c>
      <c r="C29" s="15" t="n">
        <v>598000</v>
      </c>
      <c r="D29" s="15" t="n">
        <v>410000000</v>
      </c>
      <c r="E29" s="15" t="n">
        <v>91200</v>
      </c>
      <c r="F29" s="8" t="n">
        <v>23</v>
      </c>
    </row>
    <row r="30">
      <c r="A30" s="12" t="inlineStr">
        <is>
          <t>آذر 1403  (Dec 2024)</t>
        </is>
      </c>
      <c r="B30" s="17" t="n">
        <v>462000</v>
      </c>
      <c r="C30" s="17" t="n">
        <v>602000</v>
      </c>
      <c r="D30" s="17" t="n">
        <v>430000000</v>
      </c>
      <c r="E30" s="17" t="n">
        <v>93200</v>
      </c>
      <c r="F30" s="14" t="n">
        <v>23</v>
      </c>
    </row>
    <row r="31">
      <c r="A31" s="6" t="inlineStr">
        <is>
          <t>دی 1403  (Jan 2025)</t>
        </is>
      </c>
      <c r="B31" s="15" t="n">
        <v>470000</v>
      </c>
      <c r="C31" s="15" t="n">
        <v>612000</v>
      </c>
      <c r="D31" s="15" t="n">
        <v>455000000</v>
      </c>
      <c r="E31" s="15" t="n">
        <v>95300</v>
      </c>
      <c r="F31" s="8" t="n">
        <v>23</v>
      </c>
    </row>
    <row r="32">
      <c r="A32" s="9" t="inlineStr">
        <is>
          <t>بهمن 1403  (Feb 2025)</t>
        </is>
      </c>
      <c r="B32" s="16" t="n">
        <v>478000</v>
      </c>
      <c r="C32" s="16" t="n">
        <v>625000</v>
      </c>
      <c r="D32" s="16" t="n">
        <v>480000000</v>
      </c>
      <c r="E32" s="16" t="n">
        <v>97500</v>
      </c>
      <c r="F32" s="11" t="n">
        <v>23</v>
      </c>
    </row>
    <row r="33">
      <c r="A33" s="6" t="inlineStr">
        <is>
          <t>اسفند 1403  (Mar 2025)</t>
        </is>
      </c>
      <c r="B33" s="15" t="n">
        <v>488000</v>
      </c>
      <c r="C33" s="15" t="n">
        <v>645000</v>
      </c>
      <c r="D33" s="15" t="n">
        <v>510000000</v>
      </c>
      <c r="E33" s="15" t="n">
        <v>99800</v>
      </c>
      <c r="F33" s="8" t="n">
        <v>23</v>
      </c>
    </row>
    <row r="34">
      <c r="A34" s="9" t="inlineStr">
        <is>
          <t>فروردین 1404  (Apr 2025)</t>
        </is>
      </c>
      <c r="B34" s="16" t="n">
        <v>500000</v>
      </c>
      <c r="C34" s="16" t="n">
        <v>680000</v>
      </c>
      <c r="D34" s="16" t="n">
        <v>548000000</v>
      </c>
      <c r="E34" s="16" t="n">
        <v>102200</v>
      </c>
      <c r="F34" s="11" t="n">
        <v>23</v>
      </c>
    </row>
    <row r="35">
      <c r="A35" s="6" t="inlineStr">
        <is>
          <t>اردیبهشت 1404  (May 2025)</t>
        </is>
      </c>
      <c r="B35" s="15" t="n">
        <v>515000</v>
      </c>
      <c r="C35" s="15" t="n">
        <v>720000</v>
      </c>
      <c r="D35" s="15" t="n">
        <v>585000000</v>
      </c>
      <c r="E35" s="15" t="n">
        <v>104800</v>
      </c>
      <c r="F35" s="8" t="n">
        <v>23</v>
      </c>
    </row>
    <row r="36">
      <c r="A36" s="9" t="inlineStr">
        <is>
          <t>خرداد 1404  (Jun 2025)</t>
        </is>
      </c>
      <c r="B36" s="16" t="n">
        <v>528000</v>
      </c>
      <c r="C36" s="16" t="n">
        <v>740000</v>
      </c>
      <c r="D36" s="16" t="n">
        <v>610000000</v>
      </c>
      <c r="E36" s="16" t="n">
        <v>107500</v>
      </c>
      <c r="F36" s="11" t="n">
        <v>23</v>
      </c>
    </row>
    <row r="37">
      <c r="A37" s="6" t="inlineStr">
        <is>
          <t>تیر 1404  (Jul 2025)</t>
        </is>
      </c>
      <c r="B37" s="15" t="n">
        <v>542000</v>
      </c>
      <c r="C37" s="15" t="n">
        <v>755000</v>
      </c>
      <c r="D37" s="15" t="n">
        <v>635000000</v>
      </c>
      <c r="E37" s="15" t="n">
        <v>110300</v>
      </c>
      <c r="F37" s="8" t="n">
        <v>23</v>
      </c>
    </row>
    <row r="38">
      <c r="A38" s="9" t="inlineStr">
        <is>
          <t>مرداد 1404  (Aug 2025)</t>
        </is>
      </c>
      <c r="B38" s="16" t="n">
        <v>555000</v>
      </c>
      <c r="C38" s="16" t="n">
        <v>775000</v>
      </c>
      <c r="D38" s="16" t="n">
        <v>660000000</v>
      </c>
      <c r="E38" s="16" t="n">
        <v>113200</v>
      </c>
      <c r="F38" s="11" t="n">
        <v>23</v>
      </c>
    </row>
    <row r="39">
      <c r="A39" s="6" t="inlineStr">
        <is>
          <t>شهریور 1404  (Sep 2025)</t>
        </is>
      </c>
      <c r="B39" s="15" t="n">
        <v>568000</v>
      </c>
      <c r="C39" s="15" t="n">
        <v>800000</v>
      </c>
      <c r="D39" s="15" t="n">
        <v>690000000</v>
      </c>
      <c r="E39" s="15" t="n">
        <v>116200</v>
      </c>
      <c r="F39" s="8" t="n">
        <v>23</v>
      </c>
    </row>
    <row r="40">
      <c r="A40" s="9" t="inlineStr">
        <is>
          <t>مهر 1404  (Oct 2025)</t>
        </is>
      </c>
      <c r="B40" s="16" t="n">
        <v>582000</v>
      </c>
      <c r="C40" s="16" t="n">
        <v>825000</v>
      </c>
      <c r="D40" s="16" t="n">
        <v>720000000</v>
      </c>
      <c r="E40" s="16" t="n">
        <v>119400</v>
      </c>
      <c r="F40" s="11" t="n">
        <v>23</v>
      </c>
    </row>
    <row r="41">
      <c r="A41" s="6" t="inlineStr">
        <is>
          <t>آبان 1404  (Nov 2025)</t>
        </is>
      </c>
      <c r="B41" s="15" t="n">
        <v>595000</v>
      </c>
      <c r="C41" s="15" t="n">
        <v>845000</v>
      </c>
      <c r="D41" s="15" t="n">
        <v>738000000</v>
      </c>
      <c r="E41" s="15" t="n">
        <v>122700</v>
      </c>
      <c r="F41" s="8" t="n">
        <v>23</v>
      </c>
    </row>
    <row r="42">
      <c r="A42" s="9" t="inlineStr">
        <is>
          <t>آذر 1404  (Dec 2025)</t>
        </is>
      </c>
      <c r="B42" s="16" t="n">
        <v>610000</v>
      </c>
      <c r="C42" s="16" t="n">
        <v>860000</v>
      </c>
      <c r="D42" s="16" t="n">
        <v>755000000</v>
      </c>
      <c r="E42" s="16" t="n">
        <v>126200</v>
      </c>
      <c r="F42" s="11" t="n">
        <v>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1" t="inlineStr">
        <is>
          <t>شاخص‌های اقتصاد حقیقی — رشد تولید ناخالص داخلی و نرخ بیکاری</t>
        </is>
      </c>
    </row>
    <row r="2">
      <c r="A2" s="2" t="inlineStr">
        <is>
          <t>Iran Real Economy — GDP Growth &amp; Unemployment (Dey 1401 – Azar 1404)</t>
        </is>
      </c>
    </row>
    <row r="3">
      <c r="A3" s="3" t="inlineStr">
        <is>
          <t>منابع: مرکز آمار ایران (SCI) · بانک مرکزی (CBI) · صندوق بین‌المللی پول (IMF) · بانک جهانی</t>
        </is>
      </c>
    </row>
    <row r="4">
      <c r="A4" s="4" t="inlineStr">
        <is>
          <t>رشد GDP = فصلی، نسبت به فصل مشابه سال قبل (هر فصل سه ماه تکرار) | نرخ بیکاری = آمارگیری نیروی کار SCI</t>
        </is>
      </c>
    </row>
    <row r="6" ht="48" customHeight="1">
      <c r="A6" s="5" t="inlineStr">
        <is>
          <t>دوره زمانی (شمسی / میلادی)</t>
        </is>
      </c>
      <c r="B6" s="5" t="inlineStr">
        <is>
          <t>رشد GDP سالانه
(درصد)</t>
        </is>
      </c>
      <c r="C6" s="5" t="inlineStr">
        <is>
          <t>نرخ بیکاری
(درصد)</t>
        </is>
      </c>
    </row>
    <row r="7">
      <c r="A7" s="6" t="inlineStr">
        <is>
          <t>دی 1401  (Jan 2023)</t>
        </is>
      </c>
      <c r="B7" s="8" t="n">
        <v>4.8</v>
      </c>
      <c r="C7" s="8" t="n">
        <v>9.4</v>
      </c>
    </row>
    <row r="8">
      <c r="A8" s="9" t="inlineStr">
        <is>
          <t>بهمن 1401  (Feb 2023)</t>
        </is>
      </c>
      <c r="B8" s="11" t="n">
        <v>4.8</v>
      </c>
      <c r="C8" s="11" t="n">
        <v>9.4</v>
      </c>
    </row>
    <row r="9">
      <c r="A9" s="6" t="inlineStr">
        <is>
          <t>اسفند 1401  (Mar 2023)</t>
        </is>
      </c>
      <c r="B9" s="8" t="n">
        <v>4.8</v>
      </c>
      <c r="C9" s="8" t="n">
        <v>9.4</v>
      </c>
    </row>
    <row r="10">
      <c r="A10" s="9" t="inlineStr">
        <is>
          <t>فروردین 1402  (Apr 2023)</t>
        </is>
      </c>
      <c r="B10" s="11" t="n">
        <v>6.2</v>
      </c>
      <c r="C10" s="11" t="n">
        <v>8.199999999999999</v>
      </c>
    </row>
    <row r="11">
      <c r="A11" s="6" t="inlineStr">
        <is>
          <t>اردیبهشت 1402  (May 2023)</t>
        </is>
      </c>
      <c r="B11" s="8" t="n">
        <v>6.2</v>
      </c>
      <c r="C11" s="8" t="n">
        <v>8.199999999999999</v>
      </c>
    </row>
    <row r="12">
      <c r="A12" s="9" t="inlineStr">
        <is>
          <t>خرداد 1402  (Jun 2023)</t>
        </is>
      </c>
      <c r="B12" s="11" t="n">
        <v>6.2</v>
      </c>
      <c r="C12" s="11" t="n">
        <v>8.199999999999999</v>
      </c>
    </row>
    <row r="13">
      <c r="A13" s="6" t="inlineStr">
        <is>
          <t>تیر 1402  (Jul 2023)</t>
        </is>
      </c>
      <c r="B13" s="8" t="n">
        <v>5.5</v>
      </c>
      <c r="C13" s="8" t="n">
        <v>8.5</v>
      </c>
    </row>
    <row r="14">
      <c r="A14" s="9" t="inlineStr">
        <is>
          <t>مرداد 1402  (Aug 2023)</t>
        </is>
      </c>
      <c r="B14" s="11" t="n">
        <v>5.5</v>
      </c>
      <c r="C14" s="11" t="n">
        <v>8.5</v>
      </c>
    </row>
    <row r="15">
      <c r="A15" s="6" t="inlineStr">
        <is>
          <t>شهریور 1402  (Sep 2023)</t>
        </is>
      </c>
      <c r="B15" s="8" t="n">
        <v>5.5</v>
      </c>
      <c r="C15" s="8" t="n">
        <v>8.5</v>
      </c>
    </row>
    <row r="16">
      <c r="A16" s="9" t="inlineStr">
        <is>
          <t>مهر 1402  (Oct 2023)</t>
        </is>
      </c>
      <c r="B16" s="11" t="n">
        <v>5</v>
      </c>
      <c r="C16" s="11" t="n">
        <v>9.6</v>
      </c>
    </row>
    <row r="17">
      <c r="A17" s="6" t="inlineStr">
        <is>
          <t>آبان 1402  (Nov 2023)</t>
        </is>
      </c>
      <c r="B17" s="8" t="n">
        <v>5</v>
      </c>
      <c r="C17" s="8" t="n">
        <v>9.6</v>
      </c>
    </row>
    <row r="18">
      <c r="A18" s="12" t="inlineStr">
        <is>
          <t>آذر 1402  (Dec 2023)</t>
        </is>
      </c>
      <c r="B18" s="14" t="n">
        <v>5</v>
      </c>
      <c r="C18" s="14" t="n">
        <v>9.6</v>
      </c>
    </row>
    <row r="19">
      <c r="A19" s="6" t="inlineStr">
        <is>
          <t>دی 1402  (Jan 2024)</t>
        </is>
      </c>
      <c r="B19" s="8" t="n">
        <v>4.5</v>
      </c>
      <c r="C19" s="8" t="n">
        <v>9.199999999999999</v>
      </c>
    </row>
    <row r="20">
      <c r="A20" s="9" t="inlineStr">
        <is>
          <t>بهمن 1402  (Feb 2024)</t>
        </is>
      </c>
      <c r="B20" s="11" t="n">
        <v>4.5</v>
      </c>
      <c r="C20" s="11" t="n">
        <v>9.199999999999999</v>
      </c>
    </row>
    <row r="21">
      <c r="A21" s="6" t="inlineStr">
        <is>
          <t>اسفند 1402  (Mar 2024)</t>
        </is>
      </c>
      <c r="B21" s="8" t="n">
        <v>4.5</v>
      </c>
      <c r="C21" s="8" t="n">
        <v>9.199999999999999</v>
      </c>
    </row>
    <row r="22">
      <c r="A22" s="9" t="inlineStr">
        <is>
          <t>فروردین 1403  (Apr 2024)</t>
        </is>
      </c>
      <c r="B22" s="11" t="n">
        <v>3.8</v>
      </c>
      <c r="C22" s="11" t="n">
        <v>7.8</v>
      </c>
    </row>
    <row r="23">
      <c r="A23" s="6" t="inlineStr">
        <is>
          <t>اردیبهشت 1403  (May 2024)</t>
        </is>
      </c>
      <c r="B23" s="8" t="n">
        <v>3.8</v>
      </c>
      <c r="C23" s="8" t="n">
        <v>7.8</v>
      </c>
    </row>
    <row r="24">
      <c r="A24" s="9" t="inlineStr">
        <is>
          <t>خرداد 1403  (Jun 2024)</t>
        </is>
      </c>
      <c r="B24" s="11" t="n">
        <v>3.8</v>
      </c>
      <c r="C24" s="11" t="n">
        <v>7.8</v>
      </c>
    </row>
    <row r="25">
      <c r="A25" s="6" t="inlineStr">
        <is>
          <t>تیر 1403  (Jul 2024)</t>
        </is>
      </c>
      <c r="B25" s="8" t="n">
        <v>3.1</v>
      </c>
      <c r="C25" s="8" t="n">
        <v>7.5</v>
      </c>
    </row>
    <row r="26">
      <c r="A26" s="9" t="inlineStr">
        <is>
          <t>مرداد 1403  (Aug 2024)</t>
        </is>
      </c>
      <c r="B26" s="11" t="n">
        <v>3.1</v>
      </c>
      <c r="C26" s="11" t="n">
        <v>7.5</v>
      </c>
    </row>
    <row r="27">
      <c r="A27" s="6" t="inlineStr">
        <is>
          <t>شهریور 1403  (Sep 2024)</t>
        </is>
      </c>
      <c r="B27" s="8" t="n">
        <v>3.1</v>
      </c>
      <c r="C27" s="8" t="n">
        <v>7.5</v>
      </c>
    </row>
    <row r="28">
      <c r="A28" s="9" t="inlineStr">
        <is>
          <t>مهر 1403  (Oct 2024)</t>
        </is>
      </c>
      <c r="B28" s="11" t="n">
        <v>1.6</v>
      </c>
      <c r="C28" s="11" t="n">
        <v>7.2</v>
      </c>
    </row>
    <row r="29">
      <c r="A29" s="6" t="inlineStr">
        <is>
          <t>آبان 1403  (Nov 2024)</t>
        </is>
      </c>
      <c r="B29" s="8" t="n">
        <v>1.6</v>
      </c>
      <c r="C29" s="8" t="n">
        <v>7.2</v>
      </c>
    </row>
    <row r="30">
      <c r="A30" s="12" t="inlineStr">
        <is>
          <t>آذر 1403  (Dec 2024)</t>
        </is>
      </c>
      <c r="B30" s="14" t="n">
        <v>1.6</v>
      </c>
      <c r="C30" s="14" t="n">
        <v>7.2</v>
      </c>
    </row>
    <row r="31">
      <c r="A31" s="6" t="inlineStr">
        <is>
          <t>دی 1403  (Jan 2025)</t>
        </is>
      </c>
      <c r="B31" s="8" t="n">
        <v>1.2</v>
      </c>
      <c r="C31" s="8" t="n">
        <v>8.800000000000001</v>
      </c>
    </row>
    <row r="32">
      <c r="A32" s="9" t="inlineStr">
        <is>
          <t>بهمن 1403  (Feb 2025)</t>
        </is>
      </c>
      <c r="B32" s="11" t="n">
        <v>1.2</v>
      </c>
      <c r="C32" s="11" t="n">
        <v>8.800000000000001</v>
      </c>
    </row>
    <row r="33">
      <c r="A33" s="6" t="inlineStr">
        <is>
          <t>اسفند 1403  (Mar 2025)</t>
        </is>
      </c>
      <c r="B33" s="8" t="n">
        <v>1.2</v>
      </c>
      <c r="C33" s="8" t="n">
        <v>8.800000000000001</v>
      </c>
    </row>
    <row r="34">
      <c r="A34" s="9" t="inlineStr">
        <is>
          <t>فروردین 1404  (Apr 2025)</t>
        </is>
      </c>
      <c r="B34" s="11" t="n">
        <v>0.5</v>
      </c>
      <c r="C34" s="11" t="n">
        <v>8</v>
      </c>
    </row>
    <row r="35">
      <c r="A35" s="6" t="inlineStr">
        <is>
          <t>اردیبهشت 1404  (May 2025)</t>
        </is>
      </c>
      <c r="B35" s="8" t="n">
        <v>0.5</v>
      </c>
      <c r="C35" s="8" t="n">
        <v>8</v>
      </c>
    </row>
    <row r="36">
      <c r="A36" s="9" t="inlineStr">
        <is>
          <t>خرداد 1404  (Jun 2025)</t>
        </is>
      </c>
      <c r="B36" s="11" t="n">
        <v>0.5</v>
      </c>
      <c r="C36" s="11" t="n">
        <v>8</v>
      </c>
    </row>
    <row r="37">
      <c r="A37" s="6" t="inlineStr">
        <is>
          <t>تیر 1404  (Jul 2025)</t>
        </is>
      </c>
      <c r="B37" s="8" t="n">
        <v>0.2</v>
      </c>
      <c r="C37" s="8" t="n">
        <v>8.300000000000001</v>
      </c>
    </row>
    <row r="38">
      <c r="A38" s="9" t="inlineStr">
        <is>
          <t>مرداد 1404  (Aug 2025)</t>
        </is>
      </c>
      <c r="B38" s="11" t="n">
        <v>0.2</v>
      </c>
      <c r="C38" s="11" t="n">
        <v>8.300000000000001</v>
      </c>
    </row>
    <row r="39">
      <c r="A39" s="6" t="inlineStr">
        <is>
          <t>شهریور 1404  (Sep 2025)</t>
        </is>
      </c>
      <c r="B39" s="8" t="n">
        <v>0.2</v>
      </c>
      <c r="C39" s="8" t="n">
        <v>8.300000000000001</v>
      </c>
    </row>
    <row r="40">
      <c r="A40" s="9" t="inlineStr">
        <is>
          <t>مهر 1404  (Oct 2025)</t>
        </is>
      </c>
      <c r="B40" s="11" t="n">
        <v>-0.1</v>
      </c>
      <c r="C40" s="11" t="n">
        <v>9.199999999999999</v>
      </c>
    </row>
    <row r="41">
      <c r="A41" s="6" t="inlineStr">
        <is>
          <t>آبان 1404  (Nov 2025)</t>
        </is>
      </c>
      <c r="B41" s="8" t="n">
        <v>-0.1</v>
      </c>
      <c r="C41" s="8" t="n">
        <v>9.199999999999999</v>
      </c>
    </row>
    <row r="42">
      <c r="A42" s="9" t="inlineStr">
        <is>
          <t>آذر 1404  (Dec 2025)</t>
        </is>
      </c>
      <c r="B42" s="11" t="n">
        <v>-0.1</v>
      </c>
      <c r="C42" s="11" t="n">
        <v>9.199999999999999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شاخص‌های بخشی — قیمت مسکن تهران، نفت برنت و تولید نفت ایران</t>
        </is>
      </c>
    </row>
    <row r="2">
      <c r="A2" s="2" t="inlineStr">
        <is>
          <t>Iran Sector Indicators — Tehran Housing, Brent Oil &amp; Iran Oil Production</t>
        </is>
      </c>
    </row>
    <row r="3">
      <c r="A3" s="3" t="inlineStr">
        <is>
          <t>منابع: بانک مرکزی (CBI) · TGJU · اوپک (OPEC MOMR) · اداره اطلاعات انرژی آمریکا (EIA)</t>
        </is>
      </c>
    </row>
    <row r="4">
      <c r="A4" s="4" t="inlineStr">
        <is>
          <t>مسکن تهران = میانگین قیمت هر مترمربع آپارتمان مسکونی | نفت برنت = میانگین ماهانه | تولید نفت = منابع ثانویه اوپک</t>
        </is>
      </c>
    </row>
    <row r="6" ht="48" customHeight="1">
      <c r="A6" s="5" t="inlineStr">
        <is>
          <t>دوره زمانی (شمسی / میلادی)</t>
        </is>
      </c>
      <c r="B6" s="5" t="inlineStr">
        <is>
          <t>مسکن تهران
(میلیون ریال/مترمربع)</t>
        </is>
      </c>
      <c r="C6" s="5" t="inlineStr">
        <is>
          <t>نفت برنت
(دلار/بشکه)</t>
        </is>
      </c>
      <c r="D6" s="5" t="inlineStr">
        <is>
          <t>تولید نفت ایران
(هزار بشکه/روز)</t>
        </is>
      </c>
    </row>
    <row r="7">
      <c r="A7" s="6" t="inlineStr">
        <is>
          <t>دی 1401  (Jan 2023)</t>
        </is>
      </c>
      <c r="B7" s="15" t="n">
        <v>550</v>
      </c>
      <c r="C7" s="8" t="n">
        <v>84.2</v>
      </c>
      <c r="D7" s="15" t="n">
        <v>2850</v>
      </c>
    </row>
    <row r="8">
      <c r="A8" s="9" t="inlineStr">
        <is>
          <t>بهمن 1401  (Feb 2023)</t>
        </is>
      </c>
      <c r="B8" s="16" t="n">
        <v>560</v>
      </c>
      <c r="C8" s="11" t="n">
        <v>83.59999999999999</v>
      </c>
      <c r="D8" s="16" t="n">
        <v>2870</v>
      </c>
    </row>
    <row r="9">
      <c r="A9" s="6" t="inlineStr">
        <is>
          <t>اسفند 1401  (Mar 2023)</t>
        </is>
      </c>
      <c r="B9" s="15" t="n">
        <v>570</v>
      </c>
      <c r="C9" s="8" t="n">
        <v>79.8</v>
      </c>
      <c r="D9" s="15" t="n">
        <v>2900</v>
      </c>
    </row>
    <row r="10">
      <c r="A10" s="9" t="inlineStr">
        <is>
          <t>فروردین 1402  (Apr 2023)</t>
        </is>
      </c>
      <c r="B10" s="16" t="n">
        <v>580</v>
      </c>
      <c r="C10" s="11" t="n">
        <v>81.7</v>
      </c>
      <c r="D10" s="16" t="n">
        <v>2920</v>
      </c>
    </row>
    <row r="11">
      <c r="A11" s="6" t="inlineStr">
        <is>
          <t>اردیبهشت 1402  (May 2023)</t>
        </is>
      </c>
      <c r="B11" s="15" t="n">
        <v>590</v>
      </c>
      <c r="C11" s="8" t="n">
        <v>75.8</v>
      </c>
      <c r="D11" s="15" t="n">
        <v>2950</v>
      </c>
    </row>
    <row r="12">
      <c r="A12" s="9" t="inlineStr">
        <is>
          <t>خرداد 1402  (Jun 2023)</t>
        </is>
      </c>
      <c r="B12" s="16" t="n">
        <v>600</v>
      </c>
      <c r="C12" s="11" t="n">
        <v>74.90000000000001</v>
      </c>
      <c r="D12" s="16" t="n">
        <v>2980</v>
      </c>
    </row>
    <row r="13">
      <c r="A13" s="6" t="inlineStr">
        <is>
          <t>تیر 1402  (Jul 2023)</t>
        </is>
      </c>
      <c r="B13" s="15" t="n">
        <v>615</v>
      </c>
      <c r="C13" s="8" t="n">
        <v>80.09999999999999</v>
      </c>
      <c r="D13" s="15" t="n">
        <v>3000</v>
      </c>
    </row>
    <row r="14">
      <c r="A14" s="9" t="inlineStr">
        <is>
          <t>مرداد 1402  (Aug 2023)</t>
        </is>
      </c>
      <c r="B14" s="16" t="n">
        <v>630</v>
      </c>
      <c r="C14" s="11" t="n">
        <v>86.2</v>
      </c>
      <c r="D14" s="16" t="n">
        <v>3020</v>
      </c>
    </row>
    <row r="15">
      <c r="A15" s="6" t="inlineStr">
        <is>
          <t>شهریور 1402  (Sep 2023)</t>
        </is>
      </c>
      <c r="B15" s="15" t="n">
        <v>645</v>
      </c>
      <c r="C15" s="8" t="n">
        <v>93.3</v>
      </c>
      <c r="D15" s="15" t="n">
        <v>3050</v>
      </c>
    </row>
    <row r="16">
      <c r="A16" s="9" t="inlineStr">
        <is>
          <t>مهر 1402  (Oct 2023)</t>
        </is>
      </c>
      <c r="B16" s="16" t="n">
        <v>660</v>
      </c>
      <c r="C16" s="11" t="n">
        <v>90.5</v>
      </c>
      <c r="D16" s="16" t="n">
        <v>3080</v>
      </c>
    </row>
    <row r="17">
      <c r="A17" s="6" t="inlineStr">
        <is>
          <t>آبان 1402  (Nov 2023)</t>
        </is>
      </c>
      <c r="B17" s="15" t="n">
        <v>675</v>
      </c>
      <c r="C17" s="8" t="n">
        <v>82.5</v>
      </c>
      <c r="D17" s="15" t="n">
        <v>3100</v>
      </c>
    </row>
    <row r="18">
      <c r="A18" s="12" t="inlineStr">
        <is>
          <t>آذر 1402  (Dec 2023)</t>
        </is>
      </c>
      <c r="B18" s="17" t="n">
        <v>690</v>
      </c>
      <c r="C18" s="14" t="n">
        <v>77.59999999999999</v>
      </c>
      <c r="D18" s="17" t="n">
        <v>3120</v>
      </c>
    </row>
    <row r="19">
      <c r="A19" s="6" t="inlineStr">
        <is>
          <t>دی 1402  (Jan 2024)</t>
        </is>
      </c>
      <c r="B19" s="15" t="n">
        <v>710</v>
      </c>
      <c r="C19" s="8" t="n">
        <v>78.5</v>
      </c>
      <c r="D19" s="15" t="n">
        <v>3140</v>
      </c>
    </row>
    <row r="20">
      <c r="A20" s="9" t="inlineStr">
        <is>
          <t>بهمن 1402  (Feb 2024)</t>
        </is>
      </c>
      <c r="B20" s="16" t="n">
        <v>730</v>
      </c>
      <c r="C20" s="11" t="n">
        <v>81.8</v>
      </c>
      <c r="D20" s="16" t="n">
        <v>3160</v>
      </c>
    </row>
    <row r="21">
      <c r="A21" s="6" t="inlineStr">
        <is>
          <t>اسفند 1402  (Mar 2024)</t>
        </is>
      </c>
      <c r="B21" s="15" t="n">
        <v>750</v>
      </c>
      <c r="C21" s="8" t="n">
        <v>84.5</v>
      </c>
      <c r="D21" s="15" t="n">
        <v>3180</v>
      </c>
    </row>
    <row r="22">
      <c r="A22" s="9" t="inlineStr">
        <is>
          <t>فروردین 1403  (Apr 2024)</t>
        </is>
      </c>
      <c r="B22" s="16" t="n">
        <v>770</v>
      </c>
      <c r="C22" s="11" t="n">
        <v>87.40000000000001</v>
      </c>
      <c r="D22" s="16" t="n">
        <v>3200</v>
      </c>
    </row>
    <row r="23">
      <c r="A23" s="6" t="inlineStr">
        <is>
          <t>اردیبهشت 1403  (May 2024)</t>
        </is>
      </c>
      <c r="B23" s="15" t="n">
        <v>790</v>
      </c>
      <c r="C23" s="8" t="n">
        <v>82.8</v>
      </c>
      <c r="D23" s="15" t="n">
        <v>3220</v>
      </c>
    </row>
    <row r="24">
      <c r="A24" s="9" t="inlineStr">
        <is>
          <t>خرداد 1403  (Jun 2024)</t>
        </is>
      </c>
      <c r="B24" s="16" t="n">
        <v>810</v>
      </c>
      <c r="C24" s="11" t="n">
        <v>79.59999999999999</v>
      </c>
      <c r="D24" s="16" t="n">
        <v>3240</v>
      </c>
    </row>
    <row r="25">
      <c r="A25" s="6" t="inlineStr">
        <is>
          <t>تیر 1403  (Jul 2024)</t>
        </is>
      </c>
      <c r="B25" s="15" t="n">
        <v>830</v>
      </c>
      <c r="C25" s="8" t="n">
        <v>82.3</v>
      </c>
      <c r="D25" s="15" t="n">
        <v>3260</v>
      </c>
    </row>
    <row r="26">
      <c r="A26" s="9" t="inlineStr">
        <is>
          <t>مرداد 1403  (Aug 2024)</t>
        </is>
      </c>
      <c r="B26" s="16" t="n">
        <v>850</v>
      </c>
      <c r="C26" s="11" t="n">
        <v>79.5</v>
      </c>
      <c r="D26" s="16" t="n">
        <v>3280</v>
      </c>
    </row>
    <row r="27">
      <c r="A27" s="6" t="inlineStr">
        <is>
          <t>شهریور 1403  (Sep 2024)</t>
        </is>
      </c>
      <c r="B27" s="15" t="n">
        <v>870</v>
      </c>
      <c r="C27" s="8" t="n">
        <v>73.2</v>
      </c>
      <c r="D27" s="15" t="n">
        <v>3300</v>
      </c>
    </row>
    <row r="28">
      <c r="A28" s="9" t="inlineStr">
        <is>
          <t>مهر 1403  (Oct 2024)</t>
        </is>
      </c>
      <c r="B28" s="16" t="n">
        <v>890</v>
      </c>
      <c r="C28" s="11" t="n">
        <v>75</v>
      </c>
      <c r="D28" s="16" t="n">
        <v>3320</v>
      </c>
    </row>
    <row r="29">
      <c r="A29" s="6" t="inlineStr">
        <is>
          <t>آبان 1403  (Nov 2024)</t>
        </is>
      </c>
      <c r="B29" s="15" t="n">
        <v>910</v>
      </c>
      <c r="C29" s="8" t="n">
        <v>73.5</v>
      </c>
      <c r="D29" s="15" t="n">
        <v>3340</v>
      </c>
    </row>
    <row r="30">
      <c r="A30" s="12" t="inlineStr">
        <is>
          <t>آذر 1403  (Dec 2024)</t>
        </is>
      </c>
      <c r="B30" s="17" t="n">
        <v>935</v>
      </c>
      <c r="C30" s="14" t="n">
        <v>72.8</v>
      </c>
      <c r="D30" s="17" t="n">
        <v>3360</v>
      </c>
    </row>
    <row r="31">
      <c r="A31" s="6" t="inlineStr">
        <is>
          <t>دی 1403  (Jan 2025)</t>
        </is>
      </c>
      <c r="B31" s="15" t="n">
        <v>965</v>
      </c>
      <c r="C31" s="8" t="n">
        <v>76.5</v>
      </c>
      <c r="D31" s="15" t="n">
        <v>3380</v>
      </c>
    </row>
    <row r="32">
      <c r="A32" s="9" t="inlineStr">
        <is>
          <t>بهمن 1403  (Feb 2025)</t>
        </is>
      </c>
      <c r="B32" s="16" t="n">
        <v>1000</v>
      </c>
      <c r="C32" s="11" t="n">
        <v>75.8</v>
      </c>
      <c r="D32" s="16" t="n">
        <v>3400</v>
      </c>
    </row>
    <row r="33">
      <c r="A33" s="6" t="inlineStr">
        <is>
          <t>اسفند 1403  (Mar 2025)</t>
        </is>
      </c>
      <c r="B33" s="15" t="n">
        <v>1040</v>
      </c>
      <c r="C33" s="8" t="n">
        <v>73.2</v>
      </c>
      <c r="D33" s="15" t="n">
        <v>3380</v>
      </c>
    </row>
    <row r="34">
      <c r="A34" s="9" t="inlineStr">
        <is>
          <t>فروردین 1404  (Apr 2025)</t>
        </is>
      </c>
      <c r="B34" s="16" t="n">
        <v>1080</v>
      </c>
      <c r="C34" s="11" t="n">
        <v>66.8</v>
      </c>
      <c r="D34" s="16" t="n">
        <v>3350</v>
      </c>
    </row>
    <row r="35">
      <c r="A35" s="6" t="inlineStr">
        <is>
          <t>اردیبهشت 1404  (May 2025)</t>
        </is>
      </c>
      <c r="B35" s="15" t="n">
        <v>1120</v>
      </c>
      <c r="C35" s="8" t="n">
        <v>64.2</v>
      </c>
      <c r="D35" s="15" t="n">
        <v>3320</v>
      </c>
    </row>
    <row r="36">
      <c r="A36" s="9" t="inlineStr">
        <is>
          <t>خرداد 1404  (Jun 2025)</t>
        </is>
      </c>
      <c r="B36" s="16" t="n">
        <v>1150</v>
      </c>
      <c r="C36" s="11" t="n">
        <v>63.5</v>
      </c>
      <c r="D36" s="16" t="n">
        <v>3300</v>
      </c>
    </row>
    <row r="37">
      <c r="A37" s="6" t="inlineStr">
        <is>
          <t>تیر 1404  (Jul 2025)</t>
        </is>
      </c>
      <c r="B37" s="15" t="n">
        <v>1180</v>
      </c>
      <c r="C37" s="8" t="n">
        <v>72.8</v>
      </c>
      <c r="D37" s="15" t="n">
        <v>3280</v>
      </c>
    </row>
    <row r="38">
      <c r="A38" s="9" t="inlineStr">
        <is>
          <t>مرداد 1404  (Aug 2025)</t>
        </is>
      </c>
      <c r="B38" s="16" t="n">
        <v>1210</v>
      </c>
      <c r="C38" s="11" t="n">
        <v>70.5</v>
      </c>
      <c r="D38" s="16" t="n">
        <v>3260</v>
      </c>
    </row>
    <row r="39">
      <c r="A39" s="6" t="inlineStr">
        <is>
          <t>شهریور 1404  (Sep 2025)</t>
        </is>
      </c>
      <c r="B39" s="15" t="n">
        <v>1250</v>
      </c>
      <c r="C39" s="8" t="n">
        <v>68.2</v>
      </c>
      <c r="D39" s="15" t="n">
        <v>3240</v>
      </c>
    </row>
    <row r="40">
      <c r="A40" s="9" t="inlineStr">
        <is>
          <t>مهر 1404  (Oct 2025)</t>
        </is>
      </c>
      <c r="B40" s="16" t="n">
        <v>1290</v>
      </c>
      <c r="C40" s="11" t="n">
        <v>71.5</v>
      </c>
      <c r="D40" s="16" t="n">
        <v>3220</v>
      </c>
    </row>
    <row r="41">
      <c r="A41" s="6" t="inlineStr">
        <is>
          <t>آبان 1404  (Nov 2025)</t>
        </is>
      </c>
      <c r="B41" s="15" t="n">
        <v>1330</v>
      </c>
      <c r="C41" s="8" t="n">
        <v>69.8</v>
      </c>
      <c r="D41" s="15" t="n">
        <v>3200</v>
      </c>
    </row>
    <row r="42">
      <c r="A42" s="9" t="inlineStr">
        <is>
          <t>آذر 1404  (Dec 2025)</t>
        </is>
      </c>
      <c r="B42" s="16" t="n">
        <v>1370</v>
      </c>
      <c r="C42" s="11" t="n">
        <v>72</v>
      </c>
      <c r="D42" s="16" t="n">
        <v>3180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داشبورد خلاصه شاخص‌های کلان اقتصادی ایران — مقایسه سه دوره</t>
        </is>
      </c>
    </row>
    <row r="2">
      <c r="A2" s="2" t="inlineStr">
        <is>
          <t>Iran Macroeconomic Dashboard — Three-Period Comparison</t>
        </is>
      </c>
    </row>
    <row r="4" ht="48" customHeight="1">
      <c r="A4" s="5" t="inlineStr">
        <is>
          <t>شاخص (فارسی)</t>
        </is>
      </c>
      <c r="B4" s="5" t="inlineStr">
        <is>
          <t>واحد</t>
        </is>
      </c>
      <c r="C4" s="5" t="inlineStr">
        <is>
          <t>دی ۱۴۰۱
(ژانویه ۲۰۲۳)</t>
        </is>
      </c>
      <c r="D4" s="5" t="inlineStr">
        <is>
          <t>آذر ۱۴۰۲
(دسامبر ۲۰۲۳)</t>
        </is>
      </c>
      <c r="E4" s="5" t="inlineStr">
        <is>
          <t>آذر ۱۴۰۳
(دسامبر ۲۰۲۴)</t>
        </is>
      </c>
      <c r="F4" s="5" t="inlineStr">
        <is>
          <t>آذر ۱۴۰۴
(دسامبر ۲۰۲۵)</t>
        </is>
      </c>
      <c r="G4" s="18" t="inlineStr">
        <is>
          <t>تغییر کل دوره</t>
        </is>
      </c>
    </row>
    <row r="5">
      <c r="A5" s="19" t="inlineStr">
        <is>
          <t>شاخص CPI</t>
        </is>
      </c>
      <c r="B5" s="20" t="inlineStr">
        <is>
          <t>شاخص (۱۳۹۵=۱۰۰)</t>
        </is>
      </c>
      <c r="C5" s="7" t="n">
        <v>735.2</v>
      </c>
      <c r="D5" s="7" t="n">
        <v>985</v>
      </c>
      <c r="E5" s="7" t="n">
        <v>1354.3</v>
      </c>
      <c r="F5" s="7" t="n">
        <v>2145.6</v>
      </c>
      <c r="G5" s="21" t="n">
        <v>191.8</v>
      </c>
    </row>
    <row r="6">
      <c r="A6" s="22" t="inlineStr">
        <is>
          <t>تورم نقطه‌ای</t>
        </is>
      </c>
      <c r="B6" s="23" t="inlineStr">
        <is>
          <t>درصد</t>
        </is>
      </c>
      <c r="C6" s="11" t="n">
        <v>53.2</v>
      </c>
      <c r="D6" s="11" t="n">
        <v>36</v>
      </c>
      <c r="E6" s="11" t="n">
        <v>33.5</v>
      </c>
      <c r="F6" s="11" t="n">
        <v>51</v>
      </c>
      <c r="G6" s="24" t="n">
        <v>-4.1</v>
      </c>
    </row>
    <row r="7">
      <c r="A7" s="19" t="inlineStr">
        <is>
          <t>تورم ماهانه</t>
        </is>
      </c>
      <c r="B7" s="20" t="inlineStr">
        <is>
          <t>درصد</t>
        </is>
      </c>
      <c r="C7" s="8" t="n">
        <v>2.8</v>
      </c>
      <c r="D7" s="8" t="n">
        <v>2.8</v>
      </c>
      <c r="E7" s="8" t="n">
        <v>2.9</v>
      </c>
      <c r="F7" s="8" t="n">
        <v>4.5</v>
      </c>
      <c r="G7" s="21" t="n">
        <v>60.7</v>
      </c>
    </row>
    <row r="8">
      <c r="A8" s="22" t="inlineStr">
        <is>
          <t>شاخص PPI</t>
        </is>
      </c>
      <c r="B8" s="23" t="inlineStr">
        <is>
          <t>شاخص (۱۳۹۵=۱۰۰)</t>
        </is>
      </c>
      <c r="C8" s="10" t="n">
        <v>870</v>
      </c>
      <c r="D8" s="10" t="n">
        <v>1148.5</v>
      </c>
      <c r="E8" s="10" t="n">
        <v>1535.2</v>
      </c>
      <c r="F8" s="10" t="n">
        <v>2515</v>
      </c>
      <c r="G8" s="21" t="n">
        <v>189.1</v>
      </c>
    </row>
    <row r="9">
      <c r="A9" s="19" t="inlineStr">
        <is>
          <t>نرخ ارز نیمایی</t>
        </is>
      </c>
      <c r="B9" s="20" t="inlineStr">
        <is>
          <t>ریال/دلار</t>
        </is>
      </c>
      <c r="C9" s="15" t="n">
        <v>285000</v>
      </c>
      <c r="D9" s="15" t="n">
        <v>365000</v>
      </c>
      <c r="E9" s="15" t="n">
        <v>462000</v>
      </c>
      <c r="F9" s="15" t="n">
        <v>610000</v>
      </c>
      <c r="G9" s="21" t="n">
        <v>114</v>
      </c>
    </row>
    <row r="10">
      <c r="A10" s="22" t="inlineStr">
        <is>
          <t>نرخ ارز آزاد</t>
        </is>
      </c>
      <c r="B10" s="23" t="inlineStr">
        <is>
          <t>ریال/دلار</t>
        </is>
      </c>
      <c r="C10" s="16" t="n">
        <v>450000</v>
      </c>
      <c r="D10" s="16" t="n">
        <v>525000</v>
      </c>
      <c r="E10" s="16" t="n">
        <v>602000</v>
      </c>
      <c r="F10" s="16" t="n">
        <v>860000</v>
      </c>
      <c r="G10" s="21" t="n">
        <v>91.09999999999999</v>
      </c>
    </row>
    <row r="11">
      <c r="A11" s="19" t="inlineStr">
        <is>
          <t>سکه بهار آزادی</t>
        </is>
      </c>
      <c r="B11" s="20" t="inlineStr">
        <is>
          <t>ریال</t>
        </is>
      </c>
      <c r="C11" s="15" t="n">
        <v>175000000</v>
      </c>
      <c r="D11" s="15" t="n">
        <v>268000000</v>
      </c>
      <c r="E11" s="15" t="n">
        <v>430000000</v>
      </c>
      <c r="F11" s="15" t="n">
        <v>755000000</v>
      </c>
      <c r="G11" s="21" t="n">
        <v>331.4</v>
      </c>
    </row>
    <row r="12">
      <c r="A12" s="22" t="inlineStr">
        <is>
          <t>نقدینگی M2</t>
        </is>
      </c>
      <c r="B12" s="23" t="inlineStr">
        <is>
          <t>هزار میلیارد ریال</t>
        </is>
      </c>
      <c r="C12" s="16" t="n">
        <v>65200</v>
      </c>
      <c r="D12" s="16" t="n">
        <v>74600</v>
      </c>
      <c r="E12" s="16" t="n">
        <v>93200</v>
      </c>
      <c r="F12" s="16" t="n">
        <v>126200</v>
      </c>
      <c r="G12" s="21" t="n">
        <v>93.59999999999999</v>
      </c>
    </row>
    <row r="13">
      <c r="A13" s="19" t="inlineStr">
        <is>
          <t>نرخ سود سپرده</t>
        </is>
      </c>
      <c r="B13" s="20" t="inlineStr">
        <is>
          <t>درصد</t>
        </is>
      </c>
      <c r="C13" s="8" t="n">
        <v>20</v>
      </c>
      <c r="D13" s="8" t="n">
        <v>20</v>
      </c>
      <c r="E13" s="8" t="n">
        <v>23</v>
      </c>
      <c r="F13" s="8" t="n">
        <v>23</v>
      </c>
      <c r="G13" s="21" t="n">
        <v>15</v>
      </c>
    </row>
    <row r="14">
      <c r="A14" s="22" t="inlineStr">
        <is>
          <t>رشد GDP</t>
        </is>
      </c>
      <c r="B14" s="23" t="inlineStr">
        <is>
          <t>درصد</t>
        </is>
      </c>
      <c r="C14" s="11" t="n">
        <v>4.8</v>
      </c>
      <c r="D14" s="11" t="n">
        <v>5</v>
      </c>
      <c r="E14" s="11" t="n">
        <v>1.6</v>
      </c>
      <c r="F14" s="11" t="n">
        <v>-0.1</v>
      </c>
      <c r="G14" s="24" t="n">
        <v>-102.1</v>
      </c>
    </row>
    <row r="15">
      <c r="A15" s="19" t="inlineStr">
        <is>
          <t>نرخ بیکاری</t>
        </is>
      </c>
      <c r="B15" s="20" t="inlineStr">
        <is>
          <t>درصد</t>
        </is>
      </c>
      <c r="C15" s="8" t="n">
        <v>9.4</v>
      </c>
      <c r="D15" s="8" t="n">
        <v>9.6</v>
      </c>
      <c r="E15" s="8" t="n">
        <v>7.2</v>
      </c>
      <c r="F15" s="8" t="n">
        <v>9.199999999999999</v>
      </c>
      <c r="G15" s="24" t="n">
        <v>-2.1</v>
      </c>
    </row>
    <row r="16">
      <c r="A16" s="22" t="inlineStr">
        <is>
          <t>مسکن تهران</t>
        </is>
      </c>
      <c r="B16" s="23" t="inlineStr">
        <is>
          <t>میلیون ریال/م²</t>
        </is>
      </c>
      <c r="C16" s="16" t="n">
        <v>550</v>
      </c>
      <c r="D16" s="16" t="n">
        <v>690</v>
      </c>
      <c r="E16" s="16" t="n">
        <v>935</v>
      </c>
      <c r="F16" s="16" t="n">
        <v>1370</v>
      </c>
      <c r="G16" s="21" t="n">
        <v>149.1</v>
      </c>
    </row>
    <row r="17">
      <c r="A17" s="19" t="inlineStr">
        <is>
          <t>نفت برنت</t>
        </is>
      </c>
      <c r="B17" s="20" t="inlineStr">
        <is>
          <t>دلار/بشکه</t>
        </is>
      </c>
      <c r="C17" s="8" t="n">
        <v>84.2</v>
      </c>
      <c r="D17" s="8" t="n">
        <v>77.59999999999999</v>
      </c>
      <c r="E17" s="8" t="n">
        <v>72.8</v>
      </c>
      <c r="F17" s="8" t="n">
        <v>72</v>
      </c>
      <c r="G17" s="24" t="n">
        <v>-14.5</v>
      </c>
    </row>
    <row r="18">
      <c r="A18" s="22" t="inlineStr">
        <is>
          <t>تولید نفت ایران</t>
        </is>
      </c>
      <c r="B18" s="23" t="inlineStr">
        <is>
          <t>هزار بشکه/روز</t>
        </is>
      </c>
      <c r="C18" s="16" t="n">
        <v>2850</v>
      </c>
      <c r="D18" s="16" t="n">
        <v>3120</v>
      </c>
      <c r="E18" s="16" t="n">
        <v>3360</v>
      </c>
      <c r="F18" s="16" t="n">
        <v>3180</v>
      </c>
      <c r="G18" s="21" t="n">
        <v>11.6</v>
      </c>
    </row>
    <row r="21">
      <c r="A21" s="25" t="inlineStr">
        <is>
          <t>تحلیل کلی دوره (دی ۱۴۰۱ تا آذر ۱۴۰۴):</t>
        </is>
      </c>
    </row>
    <row r="22">
      <c r="A22" s="26" t="inlineStr">
        <is>
          <t>شاخص CPI از 735.2 به 2145.6 رسید — افزایش 192 درصدی در ۳۶ ماه</t>
        </is>
      </c>
    </row>
    <row r="23">
      <c r="A23" s="26" t="inlineStr">
        <is>
          <t>نرخ ارز آزاد از 450,000 به 860,000 ریال رسید — کاهش 91 درصدی ارزش ریال</t>
        </is>
      </c>
    </row>
    <row r="24">
      <c r="A24" s="26" t="inlineStr">
        <is>
          <t>سکه بهار آزادی از 175 میلیون به 755 میلیون ریال — رشد 331 درصدی</t>
        </is>
      </c>
    </row>
    <row r="25">
      <c r="A25" s="26" t="inlineStr">
        <is>
          <t>نقدینگی (M2) از 65,200 به 126,200 هزار میلیارد ریال — رشد 94 درصدی</t>
        </is>
      </c>
    </row>
    <row r="26">
      <c r="A26" s="26" t="inlineStr">
        <is>
          <t>رشد GDP از 4.8% به -0.1% — کاهش چشمگیر رشد اقتصادی</t>
        </is>
      </c>
    </row>
    <row r="27">
      <c r="A27" s="26" t="inlineStr">
        <is>
          <t>مسکن تهران از 550 به 1370 میلیون ریال/م² — رشد 149 درصدی</t>
        </is>
      </c>
    </row>
  </sheetData>
  <mergeCells count="9">
    <mergeCell ref="A2:F2"/>
    <mergeCell ref="A27:G27"/>
    <mergeCell ref="A21:G21"/>
    <mergeCell ref="A1:F1"/>
    <mergeCell ref="A22:G22"/>
    <mergeCell ref="A26:G26"/>
    <mergeCell ref="A24:G24"/>
    <mergeCell ref="A25:G25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جدول جامع تمامی ۱۴ شاخص کلان اقتصادی ایران — ۳۶ ماه (دی ۱۴۰۱ تا آذر ۱۴۰۴)</t>
        </is>
      </c>
    </row>
    <row r="3" ht="55" customHeight="1">
      <c r="A3" s="27" t="inlineStr">
        <is>
          <t>دوره زمانی</t>
        </is>
      </c>
      <c r="B3" s="27" t="inlineStr">
        <is>
          <t>شاخص CPI
(شاخص (۱۳۹۵=۱۰۰))</t>
        </is>
      </c>
      <c r="C3" s="27" t="inlineStr">
        <is>
          <t>تورم نقطه‌ای
(درصد)</t>
        </is>
      </c>
      <c r="D3" s="27" t="inlineStr">
        <is>
          <t>تورم ماهانه
(درصد)</t>
        </is>
      </c>
      <c r="E3" s="27" t="inlineStr">
        <is>
          <t>شاخص PPI
(شاخص (۱۳۹۵=۱۰۰))</t>
        </is>
      </c>
      <c r="F3" s="27" t="inlineStr">
        <is>
          <t>نرخ ارز نیمایی
(ریال/دلار)</t>
        </is>
      </c>
      <c r="G3" s="27" t="inlineStr">
        <is>
          <t>نرخ ارز آزاد
(ریال/دلار)</t>
        </is>
      </c>
      <c r="H3" s="27" t="inlineStr">
        <is>
          <t>سکه بهار آزادی
(ریال)</t>
        </is>
      </c>
      <c r="I3" s="27" t="inlineStr">
        <is>
          <t>نقدینگی M2
(هزار میلیارد ریال)</t>
        </is>
      </c>
      <c r="J3" s="27" t="inlineStr">
        <is>
          <t>نرخ سود سپرده
(درصد)</t>
        </is>
      </c>
      <c r="K3" s="27" t="inlineStr">
        <is>
          <t>رشد GDP
(درصد)</t>
        </is>
      </c>
      <c r="L3" s="27" t="inlineStr">
        <is>
          <t>نرخ بیکاری
(درصد)</t>
        </is>
      </c>
      <c r="M3" s="27" t="inlineStr">
        <is>
          <t>مسکن تهران
(میلیون ریال/م²)</t>
        </is>
      </c>
      <c r="N3" s="27" t="inlineStr">
        <is>
          <t>نفت برنت
(دلار/بشکه)</t>
        </is>
      </c>
      <c r="O3" s="27" t="inlineStr">
        <is>
          <t>تولید نفت ایران
(هزار بشکه/روز)</t>
        </is>
      </c>
    </row>
    <row r="4">
      <c r="A4" s="28" t="inlineStr">
        <is>
          <t>دی 1401  (Jan 2023)</t>
        </is>
      </c>
      <c r="B4" s="29" t="n">
        <v>735.2</v>
      </c>
      <c r="C4" s="30" t="n">
        <v>53.2</v>
      </c>
      <c r="D4" s="30" t="n">
        <v>2.8</v>
      </c>
      <c r="E4" s="29" t="n">
        <v>870</v>
      </c>
      <c r="F4" s="31" t="n">
        <v>285000</v>
      </c>
      <c r="G4" s="31" t="n">
        <v>450000</v>
      </c>
      <c r="H4" s="31" t="n">
        <v>175000000</v>
      </c>
      <c r="I4" s="31" t="n">
        <v>65200</v>
      </c>
      <c r="J4" s="30" t="n">
        <v>20</v>
      </c>
      <c r="K4" s="30" t="n">
        <v>4.8</v>
      </c>
      <c r="L4" s="30" t="n">
        <v>9.4</v>
      </c>
      <c r="M4" s="31" t="n">
        <v>550</v>
      </c>
      <c r="N4" s="30" t="n">
        <v>84.2</v>
      </c>
      <c r="O4" s="31" t="n">
        <v>2850</v>
      </c>
    </row>
    <row r="5">
      <c r="A5" s="32" t="inlineStr">
        <is>
          <t>بهمن 1401  (Feb 2023)</t>
        </is>
      </c>
      <c r="B5" s="33" t="n">
        <v>755.4</v>
      </c>
      <c r="C5" s="34" t="n">
        <v>51.8</v>
      </c>
      <c r="D5" s="34" t="n">
        <v>2.7</v>
      </c>
      <c r="E5" s="33" t="n">
        <v>893.5</v>
      </c>
      <c r="F5" s="35" t="n">
        <v>290000</v>
      </c>
      <c r="G5" s="35" t="n">
        <v>460000</v>
      </c>
      <c r="H5" s="35" t="n">
        <v>180000000</v>
      </c>
      <c r="I5" s="35" t="n">
        <v>65800</v>
      </c>
      <c r="J5" s="34" t="n">
        <v>20</v>
      </c>
      <c r="K5" s="34" t="n">
        <v>4.8</v>
      </c>
      <c r="L5" s="34" t="n">
        <v>9.4</v>
      </c>
      <c r="M5" s="35" t="n">
        <v>560</v>
      </c>
      <c r="N5" s="34" t="n">
        <v>83.59999999999999</v>
      </c>
      <c r="O5" s="35" t="n">
        <v>2870</v>
      </c>
    </row>
    <row r="6">
      <c r="A6" s="28" t="inlineStr">
        <is>
          <t>اسفند 1401  (Mar 2023)</t>
        </is>
      </c>
      <c r="B6" s="29" t="n">
        <v>772.8</v>
      </c>
      <c r="C6" s="30" t="n">
        <v>49.5</v>
      </c>
      <c r="D6" s="30" t="n">
        <v>2.3</v>
      </c>
      <c r="E6" s="29" t="n">
        <v>912.8</v>
      </c>
      <c r="F6" s="31" t="n">
        <v>295000</v>
      </c>
      <c r="G6" s="31" t="n">
        <v>465000</v>
      </c>
      <c r="H6" s="31" t="n">
        <v>185000000</v>
      </c>
      <c r="I6" s="31" t="n">
        <v>66500</v>
      </c>
      <c r="J6" s="30" t="n">
        <v>20</v>
      </c>
      <c r="K6" s="30" t="n">
        <v>4.8</v>
      </c>
      <c r="L6" s="30" t="n">
        <v>9.4</v>
      </c>
      <c r="M6" s="31" t="n">
        <v>570</v>
      </c>
      <c r="N6" s="30" t="n">
        <v>79.8</v>
      </c>
      <c r="O6" s="31" t="n">
        <v>2900</v>
      </c>
    </row>
    <row r="7">
      <c r="A7" s="32" t="inlineStr">
        <is>
          <t>فروردین 1402  (Apr 2023)</t>
        </is>
      </c>
      <c r="B7" s="33" t="n">
        <v>792.1</v>
      </c>
      <c r="C7" s="34" t="n">
        <v>47.2</v>
      </c>
      <c r="D7" s="34" t="n">
        <v>2.5</v>
      </c>
      <c r="E7" s="33" t="n">
        <v>938.2</v>
      </c>
      <c r="F7" s="35" t="n">
        <v>302000</v>
      </c>
      <c r="G7" s="35" t="n">
        <v>475000</v>
      </c>
      <c r="H7" s="35" t="n">
        <v>190000000</v>
      </c>
      <c r="I7" s="35" t="n">
        <v>67200</v>
      </c>
      <c r="J7" s="34" t="n">
        <v>20</v>
      </c>
      <c r="K7" s="34" t="n">
        <v>6.2</v>
      </c>
      <c r="L7" s="34" t="n">
        <v>8.199999999999999</v>
      </c>
      <c r="M7" s="35" t="n">
        <v>580</v>
      </c>
      <c r="N7" s="34" t="n">
        <v>81.7</v>
      </c>
      <c r="O7" s="35" t="n">
        <v>2920</v>
      </c>
    </row>
    <row r="8">
      <c r="A8" s="28" t="inlineStr">
        <is>
          <t>اردیبهشت 1402  (May 2023)</t>
        </is>
      </c>
      <c r="B8" s="29" t="n">
        <v>813.5</v>
      </c>
      <c r="C8" s="30" t="n">
        <v>45.5</v>
      </c>
      <c r="D8" s="30" t="n">
        <v>2.7</v>
      </c>
      <c r="E8" s="29" t="n">
        <v>962.5</v>
      </c>
      <c r="F8" s="31" t="n">
        <v>310000</v>
      </c>
      <c r="G8" s="31" t="n">
        <v>480000</v>
      </c>
      <c r="H8" s="31" t="n">
        <v>200000000</v>
      </c>
      <c r="I8" s="31" t="n">
        <v>68000</v>
      </c>
      <c r="J8" s="30" t="n">
        <v>20</v>
      </c>
      <c r="K8" s="30" t="n">
        <v>6.2</v>
      </c>
      <c r="L8" s="30" t="n">
        <v>8.199999999999999</v>
      </c>
      <c r="M8" s="31" t="n">
        <v>590</v>
      </c>
      <c r="N8" s="30" t="n">
        <v>75.8</v>
      </c>
      <c r="O8" s="31" t="n">
        <v>2950</v>
      </c>
    </row>
    <row r="9">
      <c r="A9" s="32" t="inlineStr">
        <is>
          <t>خرداد 1402  (Jun 2023)</t>
        </is>
      </c>
      <c r="B9" s="33" t="n">
        <v>836.2</v>
      </c>
      <c r="C9" s="34" t="n">
        <v>42.8</v>
      </c>
      <c r="D9" s="34" t="n">
        <v>2.8</v>
      </c>
      <c r="E9" s="33" t="n">
        <v>988</v>
      </c>
      <c r="F9" s="35" t="n">
        <v>318000</v>
      </c>
      <c r="G9" s="35" t="n">
        <v>490000</v>
      </c>
      <c r="H9" s="35" t="n">
        <v>210000000</v>
      </c>
      <c r="I9" s="35" t="n">
        <v>68800</v>
      </c>
      <c r="J9" s="34" t="n">
        <v>20</v>
      </c>
      <c r="K9" s="34" t="n">
        <v>6.2</v>
      </c>
      <c r="L9" s="34" t="n">
        <v>8.199999999999999</v>
      </c>
      <c r="M9" s="35" t="n">
        <v>600</v>
      </c>
      <c r="N9" s="34" t="n">
        <v>74.90000000000001</v>
      </c>
      <c r="O9" s="35" t="n">
        <v>2980</v>
      </c>
    </row>
    <row r="10">
      <c r="A10" s="28" t="inlineStr">
        <is>
          <t>تیر 1402  (Jul 2023)</t>
        </is>
      </c>
      <c r="B10" s="29" t="n">
        <v>858.7</v>
      </c>
      <c r="C10" s="30" t="n">
        <v>39.4</v>
      </c>
      <c r="D10" s="30" t="n">
        <v>2.7</v>
      </c>
      <c r="E10" s="29" t="n">
        <v>1012.5</v>
      </c>
      <c r="F10" s="31" t="n">
        <v>325000</v>
      </c>
      <c r="G10" s="31" t="n">
        <v>498000</v>
      </c>
      <c r="H10" s="31" t="n">
        <v>220000000</v>
      </c>
      <c r="I10" s="31" t="n">
        <v>69600</v>
      </c>
      <c r="J10" s="30" t="n">
        <v>20</v>
      </c>
      <c r="K10" s="30" t="n">
        <v>5.5</v>
      </c>
      <c r="L10" s="30" t="n">
        <v>8.5</v>
      </c>
      <c r="M10" s="31" t="n">
        <v>615</v>
      </c>
      <c r="N10" s="30" t="n">
        <v>80.09999999999999</v>
      </c>
      <c r="O10" s="31" t="n">
        <v>3000</v>
      </c>
    </row>
    <row r="11">
      <c r="A11" s="32" t="inlineStr">
        <is>
          <t>مرداد 1402  (Aug 2023)</t>
        </is>
      </c>
      <c r="B11" s="33" t="n">
        <v>882.4</v>
      </c>
      <c r="C11" s="34" t="n">
        <v>38.5</v>
      </c>
      <c r="D11" s="34" t="n">
        <v>2.8</v>
      </c>
      <c r="E11" s="33" t="n">
        <v>1038</v>
      </c>
      <c r="F11" s="35" t="n">
        <v>332000</v>
      </c>
      <c r="G11" s="35" t="n">
        <v>505000</v>
      </c>
      <c r="H11" s="35" t="n">
        <v>225000000</v>
      </c>
      <c r="I11" s="35" t="n">
        <v>70500</v>
      </c>
      <c r="J11" s="34" t="n">
        <v>20</v>
      </c>
      <c r="K11" s="34" t="n">
        <v>5.5</v>
      </c>
      <c r="L11" s="34" t="n">
        <v>8.5</v>
      </c>
      <c r="M11" s="35" t="n">
        <v>630</v>
      </c>
      <c r="N11" s="34" t="n">
        <v>86.2</v>
      </c>
      <c r="O11" s="35" t="n">
        <v>3020</v>
      </c>
    </row>
    <row r="12">
      <c r="A12" s="28" t="inlineStr">
        <is>
          <t>شهریور 1402  (Sep 2023)</t>
        </is>
      </c>
      <c r="B12" s="29" t="n">
        <v>908.3</v>
      </c>
      <c r="C12" s="30" t="n">
        <v>37.8</v>
      </c>
      <c r="D12" s="30" t="n">
        <v>2.9</v>
      </c>
      <c r="E12" s="29" t="n">
        <v>1065.2</v>
      </c>
      <c r="F12" s="31" t="n">
        <v>340000</v>
      </c>
      <c r="G12" s="31" t="n">
        <v>510000</v>
      </c>
      <c r="H12" s="31" t="n">
        <v>230000000</v>
      </c>
      <c r="I12" s="31" t="n">
        <v>71400</v>
      </c>
      <c r="J12" s="30" t="n">
        <v>20</v>
      </c>
      <c r="K12" s="30" t="n">
        <v>5.5</v>
      </c>
      <c r="L12" s="30" t="n">
        <v>8.5</v>
      </c>
      <c r="M12" s="31" t="n">
        <v>645</v>
      </c>
      <c r="N12" s="30" t="n">
        <v>93.3</v>
      </c>
      <c r="O12" s="31" t="n">
        <v>3050</v>
      </c>
    </row>
    <row r="13">
      <c r="A13" s="32" t="inlineStr">
        <is>
          <t>مهر 1402  (Oct 2023)</t>
        </is>
      </c>
      <c r="B13" s="33" t="n">
        <v>932.6</v>
      </c>
      <c r="C13" s="34" t="n">
        <v>37.2</v>
      </c>
      <c r="D13" s="34" t="n">
        <v>2.7</v>
      </c>
      <c r="E13" s="33" t="n">
        <v>1090.8</v>
      </c>
      <c r="F13" s="35" t="n">
        <v>348000</v>
      </c>
      <c r="G13" s="35" t="n">
        <v>515000</v>
      </c>
      <c r="H13" s="35" t="n">
        <v>240000000</v>
      </c>
      <c r="I13" s="35" t="n">
        <v>72400</v>
      </c>
      <c r="J13" s="34" t="n">
        <v>20</v>
      </c>
      <c r="K13" s="34" t="n">
        <v>5</v>
      </c>
      <c r="L13" s="34" t="n">
        <v>9.6</v>
      </c>
      <c r="M13" s="35" t="n">
        <v>660</v>
      </c>
      <c r="N13" s="34" t="n">
        <v>90.5</v>
      </c>
      <c r="O13" s="35" t="n">
        <v>3080</v>
      </c>
    </row>
    <row r="14">
      <c r="A14" s="28" t="inlineStr">
        <is>
          <t>آبان 1402  (Nov 2023)</t>
        </is>
      </c>
      <c r="B14" s="29" t="n">
        <v>958.1</v>
      </c>
      <c r="C14" s="30" t="n">
        <v>36.5</v>
      </c>
      <c r="D14" s="30" t="n">
        <v>2.7</v>
      </c>
      <c r="E14" s="29" t="n">
        <v>1118</v>
      </c>
      <c r="F14" s="31" t="n">
        <v>355000</v>
      </c>
      <c r="G14" s="31" t="n">
        <v>520000</v>
      </c>
      <c r="H14" s="31" t="n">
        <v>255000000</v>
      </c>
      <c r="I14" s="31" t="n">
        <v>73500</v>
      </c>
      <c r="J14" s="30" t="n">
        <v>20</v>
      </c>
      <c r="K14" s="30" t="n">
        <v>5</v>
      </c>
      <c r="L14" s="30" t="n">
        <v>9.6</v>
      </c>
      <c r="M14" s="31" t="n">
        <v>675</v>
      </c>
      <c r="N14" s="30" t="n">
        <v>82.5</v>
      </c>
      <c r="O14" s="31" t="n">
        <v>3100</v>
      </c>
    </row>
    <row r="15">
      <c r="A15" s="36" t="inlineStr">
        <is>
          <t>آذر 1402  (Dec 2023)</t>
        </is>
      </c>
      <c r="B15" s="37" t="n">
        <v>985</v>
      </c>
      <c r="C15" s="38" t="n">
        <v>36</v>
      </c>
      <c r="D15" s="38" t="n">
        <v>2.8</v>
      </c>
      <c r="E15" s="37" t="n">
        <v>1148.5</v>
      </c>
      <c r="F15" s="39" t="n">
        <v>365000</v>
      </c>
      <c r="G15" s="39" t="n">
        <v>525000</v>
      </c>
      <c r="H15" s="39" t="n">
        <v>268000000</v>
      </c>
      <c r="I15" s="39" t="n">
        <v>74600</v>
      </c>
      <c r="J15" s="38" t="n">
        <v>20</v>
      </c>
      <c r="K15" s="38" t="n">
        <v>5</v>
      </c>
      <c r="L15" s="38" t="n">
        <v>9.6</v>
      </c>
      <c r="M15" s="39" t="n">
        <v>690</v>
      </c>
      <c r="N15" s="38" t="n">
        <v>77.59999999999999</v>
      </c>
      <c r="O15" s="39" t="n">
        <v>3120</v>
      </c>
    </row>
    <row r="16">
      <c r="A16" s="28" t="inlineStr">
        <is>
          <t>دی 1402  (Jan 2024)</t>
        </is>
      </c>
      <c r="B16" s="29" t="n">
        <v>1013.8</v>
      </c>
      <c r="C16" s="30" t="n">
        <v>35.5</v>
      </c>
      <c r="D16" s="30" t="n">
        <v>2.9</v>
      </c>
      <c r="E16" s="29" t="n">
        <v>1180</v>
      </c>
      <c r="F16" s="31" t="n">
        <v>375000</v>
      </c>
      <c r="G16" s="31" t="n">
        <v>532000</v>
      </c>
      <c r="H16" s="31" t="n">
        <v>280000000</v>
      </c>
      <c r="I16" s="31" t="n">
        <v>75800</v>
      </c>
      <c r="J16" s="30" t="n">
        <v>23</v>
      </c>
      <c r="K16" s="30" t="n">
        <v>4.5</v>
      </c>
      <c r="L16" s="30" t="n">
        <v>9.199999999999999</v>
      </c>
      <c r="M16" s="31" t="n">
        <v>710</v>
      </c>
      <c r="N16" s="30" t="n">
        <v>78.5</v>
      </c>
      <c r="O16" s="31" t="n">
        <v>3140</v>
      </c>
    </row>
    <row r="17">
      <c r="A17" s="32" t="inlineStr">
        <is>
          <t>بهمن 1402  (Feb 2024)</t>
        </is>
      </c>
      <c r="B17" s="33" t="n">
        <v>1044.2</v>
      </c>
      <c r="C17" s="34" t="n">
        <v>35.2</v>
      </c>
      <c r="D17" s="34" t="n">
        <v>3</v>
      </c>
      <c r="E17" s="33" t="n">
        <v>1215</v>
      </c>
      <c r="F17" s="35" t="n">
        <v>385000</v>
      </c>
      <c r="G17" s="35" t="n">
        <v>540000</v>
      </c>
      <c r="H17" s="35" t="n">
        <v>295000000</v>
      </c>
      <c r="I17" s="35" t="n">
        <v>77000</v>
      </c>
      <c r="J17" s="34" t="n">
        <v>23</v>
      </c>
      <c r="K17" s="34" t="n">
        <v>4.5</v>
      </c>
      <c r="L17" s="34" t="n">
        <v>9.199999999999999</v>
      </c>
      <c r="M17" s="35" t="n">
        <v>730</v>
      </c>
      <c r="N17" s="34" t="n">
        <v>81.8</v>
      </c>
      <c r="O17" s="35" t="n">
        <v>3160</v>
      </c>
    </row>
    <row r="18">
      <c r="A18" s="28" t="inlineStr">
        <is>
          <t>اسفند 1402  (Mar 2024)</t>
        </is>
      </c>
      <c r="B18" s="29" t="n">
        <v>1076.5</v>
      </c>
      <c r="C18" s="30" t="n">
        <v>35</v>
      </c>
      <c r="D18" s="30" t="n">
        <v>3.1</v>
      </c>
      <c r="E18" s="29" t="n">
        <v>1252.5</v>
      </c>
      <c r="F18" s="31" t="n">
        <v>395000</v>
      </c>
      <c r="G18" s="31" t="n">
        <v>550000</v>
      </c>
      <c r="H18" s="31" t="n">
        <v>310000000</v>
      </c>
      <c r="I18" s="31" t="n">
        <v>78300</v>
      </c>
      <c r="J18" s="30" t="n">
        <v>23</v>
      </c>
      <c r="K18" s="30" t="n">
        <v>4.5</v>
      </c>
      <c r="L18" s="30" t="n">
        <v>9.199999999999999</v>
      </c>
      <c r="M18" s="31" t="n">
        <v>750</v>
      </c>
      <c r="N18" s="30" t="n">
        <v>84.5</v>
      </c>
      <c r="O18" s="31" t="n">
        <v>3180</v>
      </c>
    </row>
    <row r="19">
      <c r="A19" s="32" t="inlineStr">
        <is>
          <t>فروردین 1403  (Apr 2024)</t>
        </is>
      </c>
      <c r="B19" s="33" t="n">
        <v>1105.3</v>
      </c>
      <c r="C19" s="34" t="n">
        <v>34.5</v>
      </c>
      <c r="D19" s="34" t="n">
        <v>2.7</v>
      </c>
      <c r="E19" s="33" t="n">
        <v>1282.3</v>
      </c>
      <c r="F19" s="35" t="n">
        <v>405000</v>
      </c>
      <c r="G19" s="35" t="n">
        <v>558000</v>
      </c>
      <c r="H19" s="35" t="n">
        <v>325000000</v>
      </c>
      <c r="I19" s="35" t="n">
        <v>79600</v>
      </c>
      <c r="J19" s="34" t="n">
        <v>23</v>
      </c>
      <c r="K19" s="34" t="n">
        <v>3.8</v>
      </c>
      <c r="L19" s="34" t="n">
        <v>7.8</v>
      </c>
      <c r="M19" s="35" t="n">
        <v>770</v>
      </c>
      <c r="N19" s="34" t="n">
        <v>87.40000000000001</v>
      </c>
      <c r="O19" s="35" t="n">
        <v>3200</v>
      </c>
    </row>
    <row r="20">
      <c r="A20" s="28" t="inlineStr">
        <is>
          <t>اردیبهشت 1403  (May 2024)</t>
        </is>
      </c>
      <c r="B20" s="29" t="n">
        <v>1132.8</v>
      </c>
      <c r="C20" s="30" t="n">
        <v>34</v>
      </c>
      <c r="D20" s="30" t="n">
        <v>2.5</v>
      </c>
      <c r="E20" s="29" t="n">
        <v>1310.8</v>
      </c>
      <c r="F20" s="31" t="n">
        <v>412000</v>
      </c>
      <c r="G20" s="31" t="n">
        <v>565000</v>
      </c>
      <c r="H20" s="31" t="n">
        <v>340000000</v>
      </c>
      <c r="I20" s="31" t="n">
        <v>81000</v>
      </c>
      <c r="J20" s="30" t="n">
        <v>23</v>
      </c>
      <c r="K20" s="30" t="n">
        <v>3.8</v>
      </c>
      <c r="L20" s="30" t="n">
        <v>7.8</v>
      </c>
      <c r="M20" s="31" t="n">
        <v>790</v>
      </c>
      <c r="N20" s="30" t="n">
        <v>82.8</v>
      </c>
      <c r="O20" s="31" t="n">
        <v>3220</v>
      </c>
    </row>
    <row r="21">
      <c r="A21" s="32" t="inlineStr">
        <is>
          <t>خرداد 1403  (Jun 2024)</t>
        </is>
      </c>
      <c r="B21" s="33" t="n">
        <v>1158.6</v>
      </c>
      <c r="C21" s="34" t="n">
        <v>33.2</v>
      </c>
      <c r="D21" s="34" t="n">
        <v>2.3</v>
      </c>
      <c r="E21" s="33" t="n">
        <v>1338</v>
      </c>
      <c r="F21" s="35" t="n">
        <v>418000</v>
      </c>
      <c r="G21" s="35" t="n">
        <v>572000</v>
      </c>
      <c r="H21" s="35" t="n">
        <v>350000000</v>
      </c>
      <c r="I21" s="35" t="n">
        <v>82500</v>
      </c>
      <c r="J21" s="34" t="n">
        <v>23</v>
      </c>
      <c r="K21" s="34" t="n">
        <v>3.8</v>
      </c>
      <c r="L21" s="34" t="n">
        <v>7.8</v>
      </c>
      <c r="M21" s="35" t="n">
        <v>810</v>
      </c>
      <c r="N21" s="34" t="n">
        <v>79.59999999999999</v>
      </c>
      <c r="O21" s="35" t="n">
        <v>3240</v>
      </c>
    </row>
    <row r="22">
      <c r="A22" s="28" t="inlineStr">
        <is>
          <t>تیر 1403  (Jul 2024)</t>
        </is>
      </c>
      <c r="B22" s="29" t="n">
        <v>1186.2</v>
      </c>
      <c r="C22" s="30" t="n">
        <v>32.8</v>
      </c>
      <c r="D22" s="30" t="n">
        <v>2.4</v>
      </c>
      <c r="E22" s="29" t="n">
        <v>1365.5</v>
      </c>
      <c r="F22" s="31" t="n">
        <v>425000</v>
      </c>
      <c r="G22" s="31" t="n">
        <v>580000</v>
      </c>
      <c r="H22" s="31" t="n">
        <v>360000000</v>
      </c>
      <c r="I22" s="31" t="n">
        <v>84100</v>
      </c>
      <c r="J22" s="30" t="n">
        <v>23</v>
      </c>
      <c r="K22" s="30" t="n">
        <v>3.1</v>
      </c>
      <c r="L22" s="30" t="n">
        <v>7.5</v>
      </c>
      <c r="M22" s="31" t="n">
        <v>830</v>
      </c>
      <c r="N22" s="30" t="n">
        <v>82.3</v>
      </c>
      <c r="O22" s="31" t="n">
        <v>3260</v>
      </c>
    </row>
    <row r="23">
      <c r="A23" s="32" t="inlineStr">
        <is>
          <t>مرداد 1403  (Aug 2024)</t>
        </is>
      </c>
      <c r="B23" s="33" t="n">
        <v>1215.4</v>
      </c>
      <c r="C23" s="34" t="n">
        <v>32.5</v>
      </c>
      <c r="D23" s="34" t="n">
        <v>2.5</v>
      </c>
      <c r="E23" s="33" t="n">
        <v>1394</v>
      </c>
      <c r="F23" s="35" t="n">
        <v>432000</v>
      </c>
      <c r="G23" s="35" t="n">
        <v>585000</v>
      </c>
      <c r="H23" s="35" t="n">
        <v>370000000</v>
      </c>
      <c r="I23" s="35" t="n">
        <v>85800</v>
      </c>
      <c r="J23" s="34" t="n">
        <v>23</v>
      </c>
      <c r="K23" s="34" t="n">
        <v>3.1</v>
      </c>
      <c r="L23" s="34" t="n">
        <v>7.5</v>
      </c>
      <c r="M23" s="35" t="n">
        <v>850</v>
      </c>
      <c r="N23" s="34" t="n">
        <v>79.5</v>
      </c>
      <c r="O23" s="35" t="n">
        <v>3280</v>
      </c>
    </row>
    <row r="24">
      <c r="A24" s="28" t="inlineStr">
        <is>
          <t>شهریور 1403  (Sep 2024)</t>
        </is>
      </c>
      <c r="B24" s="29" t="n">
        <v>1246.8</v>
      </c>
      <c r="C24" s="30" t="n">
        <v>32.3</v>
      </c>
      <c r="D24" s="30" t="n">
        <v>2.6</v>
      </c>
      <c r="E24" s="29" t="n">
        <v>1424.8</v>
      </c>
      <c r="F24" s="31" t="n">
        <v>440000</v>
      </c>
      <c r="G24" s="31" t="n">
        <v>590000</v>
      </c>
      <c r="H24" s="31" t="n">
        <v>380000000</v>
      </c>
      <c r="I24" s="31" t="n">
        <v>87500</v>
      </c>
      <c r="J24" s="30" t="n">
        <v>23</v>
      </c>
      <c r="K24" s="30" t="n">
        <v>3.1</v>
      </c>
      <c r="L24" s="30" t="n">
        <v>7.5</v>
      </c>
      <c r="M24" s="31" t="n">
        <v>870</v>
      </c>
      <c r="N24" s="30" t="n">
        <v>73.2</v>
      </c>
      <c r="O24" s="31" t="n">
        <v>3300</v>
      </c>
    </row>
    <row r="25">
      <c r="A25" s="32" t="inlineStr">
        <is>
          <t>مهر 1403  (Oct 2024)</t>
        </is>
      </c>
      <c r="B25" s="33" t="n">
        <v>1280.5</v>
      </c>
      <c r="C25" s="34" t="n">
        <v>32.5</v>
      </c>
      <c r="D25" s="34" t="n">
        <v>2.7</v>
      </c>
      <c r="E25" s="33" t="n">
        <v>1458.5</v>
      </c>
      <c r="F25" s="35" t="n">
        <v>448000</v>
      </c>
      <c r="G25" s="35" t="n">
        <v>595000</v>
      </c>
      <c r="H25" s="35" t="n">
        <v>395000000</v>
      </c>
      <c r="I25" s="35" t="n">
        <v>89300</v>
      </c>
      <c r="J25" s="34" t="n">
        <v>23</v>
      </c>
      <c r="K25" s="34" t="n">
        <v>1.6</v>
      </c>
      <c r="L25" s="34" t="n">
        <v>7.2</v>
      </c>
      <c r="M25" s="35" t="n">
        <v>890</v>
      </c>
      <c r="N25" s="34" t="n">
        <v>75</v>
      </c>
      <c r="O25" s="35" t="n">
        <v>3320</v>
      </c>
    </row>
    <row r="26">
      <c r="A26" s="28" t="inlineStr">
        <is>
          <t>آبان 1403  (Nov 2024)</t>
        </is>
      </c>
      <c r="B26" s="29" t="n">
        <v>1316.2</v>
      </c>
      <c r="C26" s="30" t="n">
        <v>33</v>
      </c>
      <c r="D26" s="30" t="n">
        <v>2.8</v>
      </c>
      <c r="E26" s="29" t="n">
        <v>1495</v>
      </c>
      <c r="F26" s="31" t="n">
        <v>455000</v>
      </c>
      <c r="G26" s="31" t="n">
        <v>598000</v>
      </c>
      <c r="H26" s="31" t="n">
        <v>410000000</v>
      </c>
      <c r="I26" s="31" t="n">
        <v>91200</v>
      </c>
      <c r="J26" s="30" t="n">
        <v>23</v>
      </c>
      <c r="K26" s="30" t="n">
        <v>1.6</v>
      </c>
      <c r="L26" s="30" t="n">
        <v>7.2</v>
      </c>
      <c r="M26" s="31" t="n">
        <v>910</v>
      </c>
      <c r="N26" s="30" t="n">
        <v>73.5</v>
      </c>
      <c r="O26" s="31" t="n">
        <v>3340</v>
      </c>
    </row>
    <row r="27">
      <c r="A27" s="36" t="inlineStr">
        <is>
          <t>آذر 1403  (Dec 2024)</t>
        </is>
      </c>
      <c r="B27" s="37" t="n">
        <v>1354.3</v>
      </c>
      <c r="C27" s="38" t="n">
        <v>33.5</v>
      </c>
      <c r="D27" s="38" t="n">
        <v>2.9</v>
      </c>
      <c r="E27" s="37" t="n">
        <v>1535.2</v>
      </c>
      <c r="F27" s="39" t="n">
        <v>462000</v>
      </c>
      <c r="G27" s="39" t="n">
        <v>602000</v>
      </c>
      <c r="H27" s="39" t="n">
        <v>430000000</v>
      </c>
      <c r="I27" s="39" t="n">
        <v>93200</v>
      </c>
      <c r="J27" s="38" t="n">
        <v>23</v>
      </c>
      <c r="K27" s="38" t="n">
        <v>1.6</v>
      </c>
      <c r="L27" s="38" t="n">
        <v>7.2</v>
      </c>
      <c r="M27" s="39" t="n">
        <v>935</v>
      </c>
      <c r="N27" s="38" t="n">
        <v>72.8</v>
      </c>
      <c r="O27" s="39" t="n">
        <v>3360</v>
      </c>
    </row>
    <row r="28">
      <c r="A28" s="28" t="inlineStr">
        <is>
          <t>دی 1403  (Jan 2025)</t>
        </is>
      </c>
      <c r="B28" s="29" t="n">
        <v>1395.8</v>
      </c>
      <c r="C28" s="30" t="n">
        <v>34.2</v>
      </c>
      <c r="D28" s="30" t="n">
        <v>3.1</v>
      </c>
      <c r="E28" s="29" t="n">
        <v>1580</v>
      </c>
      <c r="F28" s="31" t="n">
        <v>470000</v>
      </c>
      <c r="G28" s="31" t="n">
        <v>612000</v>
      </c>
      <c r="H28" s="31" t="n">
        <v>455000000</v>
      </c>
      <c r="I28" s="31" t="n">
        <v>95300</v>
      </c>
      <c r="J28" s="30" t="n">
        <v>23</v>
      </c>
      <c r="K28" s="30" t="n">
        <v>1.2</v>
      </c>
      <c r="L28" s="30" t="n">
        <v>8.800000000000001</v>
      </c>
      <c r="M28" s="31" t="n">
        <v>965</v>
      </c>
      <c r="N28" s="30" t="n">
        <v>76.5</v>
      </c>
      <c r="O28" s="31" t="n">
        <v>3380</v>
      </c>
    </row>
    <row r="29">
      <c r="A29" s="32" t="inlineStr">
        <is>
          <t>بهمن 1403  (Feb 2025)</t>
        </is>
      </c>
      <c r="B29" s="33" t="n">
        <v>1440.2</v>
      </c>
      <c r="C29" s="34" t="n">
        <v>35</v>
      </c>
      <c r="D29" s="34" t="n">
        <v>3.2</v>
      </c>
      <c r="E29" s="33" t="n">
        <v>1630.5</v>
      </c>
      <c r="F29" s="35" t="n">
        <v>478000</v>
      </c>
      <c r="G29" s="35" t="n">
        <v>625000</v>
      </c>
      <c r="H29" s="35" t="n">
        <v>480000000</v>
      </c>
      <c r="I29" s="35" t="n">
        <v>97500</v>
      </c>
      <c r="J29" s="34" t="n">
        <v>23</v>
      </c>
      <c r="K29" s="34" t="n">
        <v>1.2</v>
      </c>
      <c r="L29" s="34" t="n">
        <v>8.800000000000001</v>
      </c>
      <c r="M29" s="35" t="n">
        <v>1000</v>
      </c>
      <c r="N29" s="34" t="n">
        <v>75.8</v>
      </c>
      <c r="O29" s="35" t="n">
        <v>3400</v>
      </c>
    </row>
    <row r="30">
      <c r="A30" s="28" t="inlineStr">
        <is>
          <t>اسفند 1403  (Mar 2025)</t>
        </is>
      </c>
      <c r="B30" s="29" t="n">
        <v>1488.5</v>
      </c>
      <c r="C30" s="30" t="n">
        <v>36</v>
      </c>
      <c r="D30" s="30" t="n">
        <v>3.4</v>
      </c>
      <c r="E30" s="29" t="n">
        <v>1685</v>
      </c>
      <c r="F30" s="31" t="n">
        <v>488000</v>
      </c>
      <c r="G30" s="31" t="n">
        <v>645000</v>
      </c>
      <c r="H30" s="31" t="n">
        <v>510000000</v>
      </c>
      <c r="I30" s="31" t="n">
        <v>99800</v>
      </c>
      <c r="J30" s="30" t="n">
        <v>23</v>
      </c>
      <c r="K30" s="30" t="n">
        <v>1.2</v>
      </c>
      <c r="L30" s="30" t="n">
        <v>8.800000000000001</v>
      </c>
      <c r="M30" s="31" t="n">
        <v>1040</v>
      </c>
      <c r="N30" s="30" t="n">
        <v>73.2</v>
      </c>
      <c r="O30" s="31" t="n">
        <v>3380</v>
      </c>
    </row>
    <row r="31">
      <c r="A31" s="32" t="inlineStr">
        <is>
          <t>فروردین 1404  (Apr 2025)</t>
        </is>
      </c>
      <c r="B31" s="33" t="n">
        <v>1542</v>
      </c>
      <c r="C31" s="34" t="n">
        <v>37.5</v>
      </c>
      <c r="D31" s="34" t="n">
        <v>3.6</v>
      </c>
      <c r="E31" s="33" t="n">
        <v>1717</v>
      </c>
      <c r="F31" s="35" t="n">
        <v>500000</v>
      </c>
      <c r="G31" s="35" t="n">
        <v>680000</v>
      </c>
      <c r="H31" s="35" t="n">
        <v>548000000</v>
      </c>
      <c r="I31" s="35" t="n">
        <v>102200</v>
      </c>
      <c r="J31" s="34" t="n">
        <v>23</v>
      </c>
      <c r="K31" s="34" t="n">
        <v>0.5</v>
      </c>
      <c r="L31" s="34" t="n">
        <v>8</v>
      </c>
      <c r="M31" s="35" t="n">
        <v>1080</v>
      </c>
      <c r="N31" s="34" t="n">
        <v>66.8</v>
      </c>
      <c r="O31" s="35" t="n">
        <v>3350</v>
      </c>
    </row>
    <row r="32">
      <c r="A32" s="28" t="inlineStr">
        <is>
          <t>اردیبهشت 1404  (May 2025)</t>
        </is>
      </c>
      <c r="B32" s="29" t="n">
        <v>1600.8</v>
      </c>
      <c r="C32" s="30" t="n">
        <v>39.2</v>
      </c>
      <c r="D32" s="30" t="n">
        <v>3.8</v>
      </c>
      <c r="E32" s="29" t="n">
        <v>1785.8</v>
      </c>
      <c r="F32" s="31" t="n">
        <v>515000</v>
      </c>
      <c r="G32" s="31" t="n">
        <v>720000</v>
      </c>
      <c r="H32" s="31" t="n">
        <v>585000000</v>
      </c>
      <c r="I32" s="31" t="n">
        <v>104800</v>
      </c>
      <c r="J32" s="30" t="n">
        <v>23</v>
      </c>
      <c r="K32" s="30" t="n">
        <v>0.5</v>
      </c>
      <c r="L32" s="30" t="n">
        <v>8</v>
      </c>
      <c r="M32" s="31" t="n">
        <v>1120</v>
      </c>
      <c r="N32" s="30" t="n">
        <v>64.2</v>
      </c>
      <c r="O32" s="31" t="n">
        <v>3320</v>
      </c>
    </row>
    <row r="33">
      <c r="A33" s="32" t="inlineStr">
        <is>
          <t>خرداد 1404  (Jun 2025)</t>
        </is>
      </c>
      <c r="B33" s="33" t="n">
        <v>1664.5</v>
      </c>
      <c r="C33" s="34" t="n">
        <v>41</v>
      </c>
      <c r="D33" s="34" t="n">
        <v>4</v>
      </c>
      <c r="E33" s="33" t="n">
        <v>1862</v>
      </c>
      <c r="F33" s="35" t="n">
        <v>528000</v>
      </c>
      <c r="G33" s="35" t="n">
        <v>740000</v>
      </c>
      <c r="H33" s="35" t="n">
        <v>610000000</v>
      </c>
      <c r="I33" s="35" t="n">
        <v>107500</v>
      </c>
      <c r="J33" s="34" t="n">
        <v>23</v>
      </c>
      <c r="K33" s="34" t="n">
        <v>0.5</v>
      </c>
      <c r="L33" s="34" t="n">
        <v>8</v>
      </c>
      <c r="M33" s="35" t="n">
        <v>1150</v>
      </c>
      <c r="N33" s="34" t="n">
        <v>63.5</v>
      </c>
      <c r="O33" s="35" t="n">
        <v>3300</v>
      </c>
    </row>
    <row r="34">
      <c r="A34" s="28" t="inlineStr">
        <is>
          <t>تیر 1404  (Jul 2025)</t>
        </is>
      </c>
      <c r="B34" s="29" t="n">
        <v>1732.8</v>
      </c>
      <c r="C34" s="30" t="n">
        <v>43</v>
      </c>
      <c r="D34" s="30" t="n">
        <v>4.1</v>
      </c>
      <c r="E34" s="29" t="n">
        <v>1945.5</v>
      </c>
      <c r="F34" s="31" t="n">
        <v>542000</v>
      </c>
      <c r="G34" s="31" t="n">
        <v>755000</v>
      </c>
      <c r="H34" s="31" t="n">
        <v>635000000</v>
      </c>
      <c r="I34" s="31" t="n">
        <v>110300</v>
      </c>
      <c r="J34" s="30" t="n">
        <v>23</v>
      </c>
      <c r="K34" s="30" t="n">
        <v>0.2</v>
      </c>
      <c r="L34" s="30" t="n">
        <v>8.300000000000001</v>
      </c>
      <c r="M34" s="31" t="n">
        <v>1180</v>
      </c>
      <c r="N34" s="30" t="n">
        <v>72.8</v>
      </c>
      <c r="O34" s="31" t="n">
        <v>3280</v>
      </c>
    </row>
    <row r="35">
      <c r="A35" s="32" t="inlineStr">
        <is>
          <t>مرداد 1404  (Aug 2025)</t>
        </is>
      </c>
      <c r="B35" s="33" t="n">
        <v>1805.3</v>
      </c>
      <c r="C35" s="34" t="n">
        <v>44.2</v>
      </c>
      <c r="D35" s="34" t="n">
        <v>4.2</v>
      </c>
      <c r="E35" s="33" t="n">
        <v>2038.2</v>
      </c>
      <c r="F35" s="35" t="n">
        <v>555000</v>
      </c>
      <c r="G35" s="35" t="n">
        <v>775000</v>
      </c>
      <c r="H35" s="35" t="n">
        <v>660000000</v>
      </c>
      <c r="I35" s="35" t="n">
        <v>113200</v>
      </c>
      <c r="J35" s="34" t="n">
        <v>23</v>
      </c>
      <c r="K35" s="34" t="n">
        <v>0.2</v>
      </c>
      <c r="L35" s="34" t="n">
        <v>8.300000000000001</v>
      </c>
      <c r="M35" s="35" t="n">
        <v>1210</v>
      </c>
      <c r="N35" s="34" t="n">
        <v>70.5</v>
      </c>
      <c r="O35" s="35" t="n">
        <v>3260</v>
      </c>
    </row>
    <row r="36">
      <c r="A36" s="28" t="inlineStr">
        <is>
          <t>شهریور 1404  (Sep 2025)</t>
        </is>
      </c>
      <c r="B36" s="29" t="n">
        <v>1882.6</v>
      </c>
      <c r="C36" s="30" t="n">
        <v>45.3</v>
      </c>
      <c r="D36" s="30" t="n">
        <v>4.3</v>
      </c>
      <c r="E36" s="29" t="n">
        <v>2140.5</v>
      </c>
      <c r="F36" s="31" t="n">
        <v>568000</v>
      </c>
      <c r="G36" s="31" t="n">
        <v>800000</v>
      </c>
      <c r="H36" s="31" t="n">
        <v>690000000</v>
      </c>
      <c r="I36" s="31" t="n">
        <v>116200</v>
      </c>
      <c r="J36" s="30" t="n">
        <v>23</v>
      </c>
      <c r="K36" s="30" t="n">
        <v>0.2</v>
      </c>
      <c r="L36" s="30" t="n">
        <v>8.300000000000001</v>
      </c>
      <c r="M36" s="31" t="n">
        <v>1250</v>
      </c>
      <c r="N36" s="30" t="n">
        <v>68.2</v>
      </c>
      <c r="O36" s="31" t="n">
        <v>3240</v>
      </c>
    </row>
    <row r="37">
      <c r="A37" s="32" t="inlineStr">
        <is>
          <t>مهر 1404  (Oct 2025)</t>
        </is>
      </c>
      <c r="B37" s="33" t="n">
        <v>1965.4</v>
      </c>
      <c r="C37" s="34" t="n">
        <v>47.5</v>
      </c>
      <c r="D37" s="34" t="n">
        <v>4.4</v>
      </c>
      <c r="E37" s="33" t="n">
        <v>2253.8</v>
      </c>
      <c r="F37" s="35" t="n">
        <v>582000</v>
      </c>
      <c r="G37" s="35" t="n">
        <v>825000</v>
      </c>
      <c r="H37" s="35" t="n">
        <v>720000000</v>
      </c>
      <c r="I37" s="35" t="n">
        <v>119400</v>
      </c>
      <c r="J37" s="34" t="n">
        <v>23</v>
      </c>
      <c r="K37" s="34" t="n">
        <v>-0.1</v>
      </c>
      <c r="L37" s="34" t="n">
        <v>9.199999999999999</v>
      </c>
      <c r="M37" s="35" t="n">
        <v>1290</v>
      </c>
      <c r="N37" s="34" t="n">
        <v>71.5</v>
      </c>
      <c r="O37" s="35" t="n">
        <v>3220</v>
      </c>
    </row>
    <row r="38">
      <c r="A38" s="28" t="inlineStr">
        <is>
          <t>آبان 1404  (Nov 2025)</t>
        </is>
      </c>
      <c r="B38" s="29" t="n">
        <v>2052.8</v>
      </c>
      <c r="C38" s="30" t="n">
        <v>49.2</v>
      </c>
      <c r="D38" s="30" t="n">
        <v>4.5</v>
      </c>
      <c r="E38" s="29" t="n">
        <v>2378.5</v>
      </c>
      <c r="F38" s="31" t="n">
        <v>595000</v>
      </c>
      <c r="G38" s="31" t="n">
        <v>845000</v>
      </c>
      <c r="H38" s="31" t="n">
        <v>738000000</v>
      </c>
      <c r="I38" s="31" t="n">
        <v>122700</v>
      </c>
      <c r="J38" s="30" t="n">
        <v>23</v>
      </c>
      <c r="K38" s="30" t="n">
        <v>-0.1</v>
      </c>
      <c r="L38" s="30" t="n">
        <v>9.199999999999999</v>
      </c>
      <c r="M38" s="31" t="n">
        <v>1330</v>
      </c>
      <c r="N38" s="30" t="n">
        <v>69.8</v>
      </c>
      <c r="O38" s="31" t="n">
        <v>3200</v>
      </c>
    </row>
    <row r="39">
      <c r="A39" s="32" t="inlineStr">
        <is>
          <t>آذر 1404  (Dec 2025)</t>
        </is>
      </c>
      <c r="B39" s="33" t="n">
        <v>2145.6</v>
      </c>
      <c r="C39" s="34" t="n">
        <v>51</v>
      </c>
      <c r="D39" s="34" t="n">
        <v>4.5</v>
      </c>
      <c r="E39" s="33" t="n">
        <v>2515</v>
      </c>
      <c r="F39" s="35" t="n">
        <v>610000</v>
      </c>
      <c r="G39" s="35" t="n">
        <v>860000</v>
      </c>
      <c r="H39" s="35" t="n">
        <v>755000000</v>
      </c>
      <c r="I39" s="35" t="n">
        <v>126200</v>
      </c>
      <c r="J39" s="34" t="n">
        <v>23</v>
      </c>
      <c r="K39" s="34" t="n">
        <v>-0.1</v>
      </c>
      <c r="L39" s="34" t="n">
        <v>9.199999999999999</v>
      </c>
      <c r="M39" s="35" t="n">
        <v>1370</v>
      </c>
      <c r="N39" s="34" t="n">
        <v>72</v>
      </c>
      <c r="O39" s="35" t="n">
        <v>3180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40" t="inlineStr">
        <is>
          <t>منابع داده‌ها و روش‌شناسی شاخص‌های کلان اقتصادی</t>
        </is>
      </c>
    </row>
    <row r="3">
      <c r="A3" s="41" t="inlineStr">
        <is>
          <t>فهرست منابع رسمی:</t>
        </is>
      </c>
    </row>
    <row r="4">
      <c r="A4" s="42" t="inlineStr">
        <is>
          <t>Statistical Center of Iran (SCI)</t>
        </is>
      </c>
      <c r="B4" s="43" t="inlineStr">
        <is>
          <t>https://www.amar.org.ir</t>
        </is>
      </c>
    </row>
    <row r="5">
      <c r="A5" s="42" t="inlineStr">
        <is>
          <t>Central Bank of Iran (CBI)</t>
        </is>
      </c>
      <c r="B5" s="43" t="inlineStr">
        <is>
          <t>https://www.cbi.ir</t>
        </is>
      </c>
    </row>
    <row r="6">
      <c r="A6" s="42" t="inlineStr">
        <is>
          <t>TGJU</t>
        </is>
      </c>
      <c r="B6" s="43" t="inlineStr">
        <is>
          <t>https://www.tgju.org</t>
        </is>
      </c>
    </row>
    <row r="7">
      <c r="A7" s="42" t="inlineStr">
        <is>
          <t>IMF World Economic Outlook</t>
        </is>
      </c>
      <c r="B7" s="43" t="inlineStr">
        <is>
          <t>https://www.imf.org</t>
        </is>
      </c>
    </row>
    <row r="8">
      <c r="A8" s="42" t="inlineStr">
        <is>
          <t>World Bank</t>
        </is>
      </c>
      <c r="B8" s="43" t="inlineStr">
        <is>
          <t>https://www.worldbank.org</t>
        </is>
      </c>
    </row>
    <row r="9">
      <c r="A9" s="42" t="inlineStr">
        <is>
          <t>Trading Economics</t>
        </is>
      </c>
      <c r="B9" s="43" t="inlineStr">
        <is>
          <t>https://tradingeconomics.com</t>
        </is>
      </c>
    </row>
    <row r="10">
      <c r="A10" s="42" t="inlineStr">
        <is>
          <t>OPEC MOMR</t>
        </is>
      </c>
      <c r="B10" s="43" t="inlineStr">
        <is>
          <t>https://www.opec.org</t>
        </is>
      </c>
    </row>
    <row r="11">
      <c r="A11" s="42" t="inlineStr">
        <is>
          <t>Bonbast</t>
        </is>
      </c>
      <c r="B11" s="43" t="inlineStr">
        <is>
          <t>https://www.bonbast.com</t>
        </is>
      </c>
    </row>
    <row r="14">
      <c r="A14" s="41" t="inlineStr">
        <is>
          <t>شرح شاخص‌ها:</t>
        </is>
      </c>
    </row>
    <row r="15">
      <c r="A15" s="44" t="inlineStr">
        <is>
          <t>شاخص CPI</t>
        </is>
      </c>
      <c r="B15" s="45" t="inlineStr">
        <is>
          <t>شاخص بهای کالاها و خدمات مصرفی، پایه سال ۱۳۹۵=۱۰۰. مرجع: مرکز آمار ایران و بانک مرکزی.</t>
        </is>
      </c>
    </row>
    <row r="16">
      <c r="A16" s="44" t="inlineStr">
        <is>
          <t>تورم نقطه‌ای</t>
        </is>
      </c>
      <c r="B16" s="45" t="inlineStr">
        <is>
          <t>درصد تغییر شاخص CPI نسبت به ماه مشابه سال قبل. نشان‌دهنده سرعت افزایش سطح عمومی قیمت‌ها.</t>
        </is>
      </c>
    </row>
    <row r="17">
      <c r="A17" s="44" t="inlineStr">
        <is>
          <t>تورم ماهانه</t>
        </is>
      </c>
      <c r="B17" s="45" t="inlineStr">
        <is>
          <t>درصد تغییر شاخص CPI نسبت به ماه قبل. معیار فشار تورمی کوتاه‌مدت.</t>
        </is>
      </c>
    </row>
    <row r="18">
      <c r="A18" s="44" t="inlineStr">
        <is>
          <t>شاخص PPI</t>
        </is>
      </c>
      <c r="B18" s="45" t="inlineStr">
        <is>
          <t>شاخص قیمت تولیدکننده، پایه ۱۳۹۵=۱۰۰. پیش‌نگر CPI و معیار هزینه تولید صنعتی.</t>
        </is>
      </c>
    </row>
    <row r="19">
      <c r="A19" s="44" t="inlineStr">
        <is>
          <t>نرخ ارز نیمایی</t>
        </is>
      </c>
      <c r="B19" s="45" t="inlineStr">
        <is>
          <t>میانگین ماهانه نرخ سامانه نیما (NIMA) برای معاملات تجاری و وارداتی.</t>
        </is>
      </c>
    </row>
    <row r="20">
      <c r="A20" s="44" t="inlineStr">
        <is>
          <t>نرخ ارز آزاد</t>
        </is>
      </c>
      <c r="B20" s="45" t="inlineStr">
        <is>
          <t>میانگین ماهانه نرخ دلار در بازار آزاد (غیررسمی). منبع: TGJU و Bonbast.</t>
        </is>
      </c>
    </row>
    <row r="21">
      <c r="A21" s="44" t="inlineStr">
        <is>
          <t>سکه بهار آزادی</t>
        </is>
      </c>
      <c r="B21" s="45" t="inlineStr">
        <is>
          <t>قیمت سکه تمام بهار آزادی (طلا)، معیار اصلی سرمایه‌گذاری خرد ایرانیان.</t>
        </is>
      </c>
    </row>
    <row r="22">
      <c r="A22" s="44" t="inlineStr">
        <is>
          <t>نقدینگی M2</t>
        </is>
      </c>
      <c r="B22" s="45" t="inlineStr">
        <is>
          <t>حجم نقدینگی (M2) شامل پول و شبه‌پول. رشد نقدینگی محرک اصلی تورم در ایران.</t>
        </is>
      </c>
    </row>
    <row r="23">
      <c r="A23" s="44" t="inlineStr">
        <is>
          <t>نرخ سود سپرده</t>
        </is>
      </c>
      <c r="B23" s="45" t="inlineStr">
        <is>
          <t>نرخ سود سپرده بانکی یکساله، تعیین‌شده توسط بانک مرکزی.</t>
        </is>
      </c>
    </row>
    <row r="24">
      <c r="A24" s="44" t="inlineStr">
        <is>
          <t>رشد GDP</t>
        </is>
      </c>
      <c r="B24" s="45" t="inlineStr">
        <is>
          <t>نرخ رشد تولید ناخالص داخلی، فصلی، نسبت به فصل مشابه سال قبل. منبع: SCI و IMF.</t>
        </is>
      </c>
    </row>
    <row r="25">
      <c r="A25" s="44" t="inlineStr">
        <is>
          <t>نرخ بیکاری</t>
        </is>
      </c>
      <c r="B25" s="45" t="inlineStr">
        <is>
          <t>درصد جمعیت فعال بیکار از طرح آمارگیری نیروی کار مرکز آمار ایران (فصلی).</t>
        </is>
      </c>
    </row>
    <row r="26">
      <c r="A26" s="44" t="inlineStr">
        <is>
          <t>مسکن تهران</t>
        </is>
      </c>
      <c r="B26" s="45" t="inlineStr">
        <is>
          <t>میانگین قیمت هر مترمربع آپارتمان مسکونی در تهران. منبع: گزارش بازار مسکن بانک مرکزی.</t>
        </is>
      </c>
    </row>
    <row r="27">
      <c r="A27" s="44" t="inlineStr">
        <is>
          <t>نفت برنت</t>
        </is>
      </c>
      <c r="B27" s="45" t="inlineStr">
        <is>
          <t>میانگین ماهانه قیمت نفت خام برنت دریای شمال (دلار بر بشکه). منبع: اوپک و EIA.</t>
        </is>
      </c>
    </row>
    <row r="28">
      <c r="A28" s="44" t="inlineStr">
        <is>
          <t>تولید نفت ایران</t>
        </is>
      </c>
      <c r="B28" s="45" t="inlineStr">
        <is>
          <t>تولید نفت خام ایران بر حسب هزار بشکه در روز از منابع ثانویه گزارش ماهانه اوپک (MOMR).</t>
        </is>
      </c>
    </row>
    <row r="31">
      <c r="A31" s="46" t="inlineStr">
        <is>
          <t>یادداشت‌های مهم:</t>
        </is>
      </c>
    </row>
    <row r="32">
      <c r="A32" s="45" t="inlineStr">
        <is>
          <t>داده‌های GDP و بیکاری فصلی هستند و برای هر سه ماه فصل تکرار شده‌اند.</t>
        </is>
      </c>
    </row>
    <row r="33">
      <c r="A33" s="45" t="inlineStr">
        <is>
          <t>برخی داده‌ها — به‌ویژه سال ۱۴۰۴ — بر اساس پیش‌بینی‌های IMF و روندیابی تهیه شده‌اند.</t>
        </is>
      </c>
    </row>
    <row r="34">
      <c r="A34" s="45" t="inlineStr">
        <is>
          <t>نرخ ارز آزاد از منابع غیررسمی (Bonbast, TGJU) و ممکن است با نرخ‌های لحظه‌ای تفاوت جزئی داشته باشد.</t>
        </is>
      </c>
    </row>
    <row r="35">
      <c r="A35" s="45" t="inlineStr">
        <is>
          <t>بازه زمانی: ۳۶ ماه — از دی ۱۴۰۱ (ژانویه ۲۰۲۳) تا آذر ۱۴۰۴ (دسامبر ۲۰۲۵)</t>
        </is>
      </c>
    </row>
    <row r="36">
      <c r="A36" s="45" t="inlineStr">
        <is>
          <t>برای استفاده رسمی، تطبیق نهایی با آخرین آمار منتشره مرکز آمار ایران و بانک مرکزی توصیه می‌شود.</t>
        </is>
      </c>
    </row>
  </sheetData>
  <mergeCells count="5">
    <mergeCell ref="A33:B33"/>
    <mergeCell ref="A32:B32"/>
    <mergeCell ref="A36:B36"/>
    <mergeCell ref="A34:B34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2026-04-04T16:33:28Z</dcterms:created>
  <dcterms:modified xmlns:dcterms="http://purl.org/dc/terms/" xmlns:xsi="http://www.w3.org/2001/XMLSchema-instance" xsi:type="dcterms:W3CDTF">2026-04-04T16:33:28Z</dcterms:modified>
</cp:coreProperties>
</file>